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Cost Assumptions" sheetId="2" state="visible" r:id="rId4"/>
    <sheet name="Category Markup Bands" sheetId="3" state="visible" r:id="rId5"/>
    <sheet name="Customer Tiers" sheetId="4" state="visible" r:id="rId6"/>
    <sheet name="Delivery &amp; Additional Charges" sheetId="5" state="visible" r:id="rId7"/>
    <sheet name="Competitive Benchmark" sheetId="6" state="visible" r:id="rId8"/>
    <sheet name="Priced Catalogue" sheetId="7" state="visible" r:id="rId9"/>
  </sheets>
  <definedNames>
    <definedName function="false" hidden="false" localSheetId="1" name="_xlnm.Print_Area" vbProcedure="false">'Cost Assumptions'!$A$1:$C$127</definedName>
    <definedName function="false" hidden="false" localSheetId="6" name="_xlnm.Print_Area" vbProcedure="false">'Priced Catalogue'!$A$1:$T$2148</definedName>
    <definedName function="false" hidden="false" localSheetId="0" name="_xlnm.Print_Area" vbProcedure="false">'Read Me'!$A$1:$C$30</definedName>
    <definedName function="false" hidden="false" name="AlumCostPerKg" vbProcedure="false">'Cost Assumptions'!$C$3</definedName>
    <definedName function="false" hidden="false" name="AreaRate_Keys" vbProcedure="false">'Cost Assumptions'!$B$24:$B$44</definedName>
    <definedName function="false" hidden="false" name="AreaRate_Vals" vbProcedure="false">'Cost Assumptions'!$C$24:$C$44</definedName>
    <definedName function="false" hidden="false" name="ExtShape_Keys" vbProcedure="false">'Cost Assumptions'!$B$114:$B$125</definedName>
    <definedName function="false" hidden="false" name="ExtShape_Vals" vbProcedure="false">'Cost Assumptions'!$C$114:$C$125</definedName>
    <definedName function="false" hidden="false" name="FabricationPct" vbProcedure="false">'Cost Assumptions'!$C$4</definedName>
    <definedName function="false" hidden="false" name="Finish_Keys" vbProcedure="false">'Cost Assumptions'!$B$16:$B$20</definedName>
    <definedName function="false" hidden="false" name="Finish_Vals" vbProcedure="false">'Cost Assumptions'!$C$16:$C$20</definedName>
    <definedName function="false" hidden="false" name="FlatBarInfillRate" vbProcedure="false">'Cost Assumptions'!$C$5</definedName>
    <definedName function="false" hidden="false" name="FrameWeight_Keys" vbProcedure="false">'Cost Assumptions'!$B$8:$B$12</definedName>
    <definedName function="false" hidden="false" name="FrameWeight_Vals" vbProcedure="false">'Cost Assumptions'!$C$8:$C$12</definedName>
    <definedName function="false" hidden="false" name="Glass_Keys" vbProcedure="false">'Cost Assumptions'!$B$60:$B$90</definedName>
    <definedName function="false" hidden="false" name="Glass_Vals" vbProcedure="false">'Cost Assumptions'!$C$60:$C$90</definedName>
    <definedName function="false" hidden="false" name="GlazingUpg_Keys" vbProcedure="false">'Cost Assumptions'!$B$48:$B$56</definedName>
    <definedName function="false" hidden="false" name="GlazingUpg_Vals" vbProcedure="false">'Cost Assumptions'!$C$48:$C$56</definedName>
    <definedName function="false" hidden="false" name="Hardware_Keys" vbProcedure="false">'Cost Assumptions'!$B$94:$B$103</definedName>
    <definedName function="false" hidden="false" name="Hardware_Vals" vbProcedure="false">'Cost Assumptions'!$C$94:$C$103</definedName>
    <definedName function="false" hidden="false" name="InfillRun_Keys" vbProcedure="false">'Cost Assumptions'!$B$107:$B$110</definedName>
    <definedName function="false" hidden="false" name="InfillRun_Vals" vbProcedure="false">'Cost Assumptions'!$C$107:$C$110</definedName>
    <definedName function="false" hidden="false" name="MarkupCat_Keys" vbProcedure="false">'Category Markup Bands'!$A$2:$A$13</definedName>
    <definedName function="false" hidden="false" name="MarkupSub_Keys" vbProcedure="false">'Category Markup Bands'!$B$2:$B$13</definedName>
    <definedName function="false" hidden="false" name="Markup_Vals" vbProcedure="false">'Category Markup Bands'!$C$2:$C$13</definedName>
    <definedName function="false" hidden="false" name="TradeDiscount" vbProcedure="false">'Customer Tiers'!$B$3</definedName>
    <definedName function="false" hidden="false" name="VolumeDiscount" vbProcedure="false">'Customer Tiers'!$B$4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<sst xmlns="http://schemas.openxmlformats.org/spreadsheetml/2006/main" count="25685" uniqueCount="4716">
  <si>
    <t xml:space="preserve">ALUMINIUM STORE</t>
  </si>
  <si>
    <t xml:space="preserve">Pricing Framework — v1.0</t>
  </si>
  <si>
    <t xml:space="preserve">A Specialised Operating Division of Besbpo Group  ·  September 2026</t>
  </si>
  <si>
    <t xml:space="preserve">Overview</t>
  </si>
  <si>
    <t xml:space="preserve">This workbook prices all 2,147 SKUs in the Master Product Catalogue using a cost-basis engine: a Base Cost is built up from real physical inputs (aluminium weight, glass area, finish, hardware) on the Priced Catalogue sheet, then marked up per the Category Markup Bands and split into Retail / Trade / Volume tiers. Every price is a live formula — change an assumption on the Cost Assumptions or Markup Bands sheet and the full catalogue recalculates.</t>
  </si>
  <si>
    <t xml:space="preserve">How Base Cost is built</t>
  </si>
  <si>
    <t xml:space="preserve">Dimensioned finished products (windows, doors, skylights, garage doors, awnings, louvres, pergolas, carports, balcony/Juliet balustrades): Base Cost = opening area × a fully-loaded Area Rate for that product sub-category (frame, standard glazing/infill, and fabrication already included), plus a glazing upgrade differential where the line specifies IGU or another premium glazing over that product's baseline, plus a flat per-unit hardware allowance. The Area Rates are calibrated against real 2026 SA market pricing for equivalent products (see the Competitive Benchmark sheet) rather than built up from raw aluminium weight — an early first-principles version of this model, costed purely from profile weight and glass area, understated real finished-window and door pricing by roughly three times once checked against the market, because it missed the die, hardware, and fabrication value a finished system actually carries.</t>
  </si>
  <si>
    <t xml:space="preserve">Balustrade runs: Base Cost = length × (post/rail material cost, from aluminium weight/m and finish) + length × an infill rate that varies by type (glass, flat-bar, cable, or picket).</t>
  </si>
  <si>
    <t xml:space="preserve">Raw extrusion stock: priced on weight (length × profile kg/m × aluminium R/kg) plus finish — no fabrication loading and a thin resale margin, since this line sells to other fabricators as a near-commodity input rather than as a finished product.</t>
  </si>
  <si>
    <t xml:space="preserve">Non-dimensioned lines (shopfronts, curtain walling, partitioning, fascias/gutters, hardware, glass rate-card, sealants, fixings): Base Cost is a direct market-rate input (shown in blue), the same way the Area Rates and aluminium R/kg figures are inputs — these are still genuine costs, just not derived from a parsed dimension.</t>
  </si>
  <si>
    <t xml:space="preserve">Key assumptions (all illustrative — validate before going live)</t>
  </si>
  <si>
    <t xml:space="preserve">Aluminium cost: R18.5/kg — derived from an FOB South African mill-finish window/door profile quote of roughly US$1,050-1,200/tonne, converted at ~R16.40/USD. LME aluminium plus billet premium moves; re-check before relying on this for a live quote.</t>
  </si>
  <si>
    <t xml:space="preserve">Glass rates, frame weights, hardware allowances, and finish costs are engineering-illustrative figures, not supplier quotes — every rate lives on the Cost Assumptions sheet in one place so they can be replaced with real supplier pricing without touching the catalogue formulas.</t>
  </si>
  <si>
    <t xml:space="preserve">Fabrication/labour loading: 32% of materials cost on finished products.</t>
  </si>
  <si>
    <t xml:space="preserve">Customer tiers</t>
  </si>
  <si>
    <t xml:space="preserve">Retail (list) · Trade (-12%) · Volume (-20%) — the same tier structure and discount levels already standing on Bricksplaza, kept consistent across the Group's materials divisions.</t>
  </si>
  <si>
    <t xml:space="preserve">Sheet guide</t>
  </si>
  <si>
    <t xml:space="preserve">Cost Assumptions — every rate table (aluminium R/kg, frame weights, finishes, glass, hardware, balustrade infill, extrusion shapes) as named ranges the Priced Catalogue formulas reference.</t>
  </si>
  <si>
    <t xml:space="preserve">Category Markup Bands — retail markup % by category (and, for Raw Material &amp; Hardware, by sub-category, since commodity extrusion and small accessories carry very different margins).</t>
  </si>
  <si>
    <t xml:space="preserve">Customer Tiers — Trade and Volume discount off Retail.</t>
  </si>
  <si>
    <t xml:space="preserve">Delivery &amp; Additional Charges — freight banding and the fragile-glazing handling surcharge.</t>
  </si>
  <si>
    <t xml:space="preserve">Competitive Benchmark — real 2026 SA market pricing for equivalent lines, checked against this workbook's computed retail prices.</t>
  </si>
  <si>
    <t xml:space="preserve">Priced Catalogue — all 2,147 SKUs with Base Cost, Markup %, and Retail/Trade/Volume price, live via formula.</t>
  </si>
  <si>
    <t xml:space="preserve">COST ASSUMPTIONS</t>
  </si>
  <si>
    <t xml:space="preserve">Global Inputs</t>
  </si>
  <si>
    <t xml:space="preserve">Aluminium Cost (R/kg)</t>
  </si>
  <si>
    <t xml:space="preserve">Fabrication &amp; Labour Loading (%)</t>
  </si>
  <si>
    <t xml:space="preserve">Flat-Bar / Panel Infill Rate (R/m²)</t>
  </si>
  <si>
    <t xml:space="preserve">Frame Weight per Linear Metre (kg/m) — extrusion stock &amp; balustrade posts only</t>
  </si>
  <si>
    <t xml:space="preserve">WINDOW</t>
  </si>
  <si>
    <t xml:space="preserve">DOOR</t>
  </si>
  <si>
    <t xml:space="preserve">LIGHT</t>
  </si>
  <si>
    <t xml:space="preserve">STRUCTURAL</t>
  </si>
  <si>
    <t xml:space="preserve">BALUSTRADE</t>
  </si>
  <si>
    <t xml:space="preserve">Finish Cost per Linear Metre (R/m) — extrusion stock &amp; balustrade posts only</t>
  </si>
  <si>
    <t xml:space="preserve">Natural Anodised</t>
  </si>
  <si>
    <t xml:space="preserve">Satin White (RAL 9016)</t>
  </si>
  <si>
    <t xml:space="preserve">Charcoal Grey (RAL 7016)</t>
  </si>
  <si>
    <t xml:space="preserve">Graphite Black (RAL 9005)</t>
  </si>
  <si>
    <t xml:space="preserve">Bronze Anodised</t>
  </si>
  <si>
    <t xml:space="preserve">Fully-Loaded Area Rate (R/m²) — windows, doors, pergolas/carports, screens, skylights, garage doors, balcony</t>
  </si>
  <si>
    <t xml:space="preserve">Sliding Windows</t>
  </si>
  <si>
    <t xml:space="preserve">Casement Windows</t>
  </si>
  <si>
    <t xml:space="preserve">Awning Windows</t>
  </si>
  <si>
    <t xml:space="preserve">Hopper Windows</t>
  </si>
  <si>
    <t xml:space="preserve">Louvre Windows</t>
  </si>
  <si>
    <t xml:space="preserve">Fixed / Picture Windows</t>
  </si>
  <si>
    <t xml:space="preserve">Tilt &amp; Turn Windows</t>
  </si>
  <si>
    <t xml:space="preserve">Bay &amp; Bow Window Units</t>
  </si>
  <si>
    <t xml:space="preserve">Sliding Doors</t>
  </si>
  <si>
    <t xml:space="preserve">Stacking &amp; Folding Doors</t>
  </si>
  <si>
    <t xml:space="preserve">Hinged / Casement Doors</t>
  </si>
  <si>
    <t xml:space="preserve">French Doors</t>
  </si>
  <si>
    <t xml:space="preserve">Pivot Doors</t>
  </si>
  <si>
    <t xml:space="preserve">Security &amp; Screen Doors</t>
  </si>
  <si>
    <t xml:space="preserve">Pergolas</t>
  </si>
  <si>
    <t xml:space="preserve">Carports &amp; Canopies</t>
  </si>
  <si>
    <t xml:space="preserve">Awnings &amp; Canopy Shading</t>
  </si>
  <si>
    <t xml:space="preserve">Louvres &amp; Privacy Screens</t>
  </si>
  <si>
    <t xml:space="preserve">Skylights &amp; Roof Glazing</t>
  </si>
  <si>
    <t xml:space="preserve">Garage Doors</t>
  </si>
  <si>
    <t xml:space="preserve">Balcony &amp; Juliet Balustrades</t>
  </si>
  <si>
    <t xml:space="preserve">Glazing Upgrade over Baseline (R/m²) — windows &amp; doors only</t>
  </si>
  <si>
    <t xml:space="preserve">Standard Single-Glazed (4mm Clear Float)</t>
  </si>
  <si>
    <t xml:space="preserve">IGU Double-Glazed (4-12Ar-4 Low-E)</t>
  </si>
  <si>
    <t xml:space="preserve">6.38mm Laminated Safety</t>
  </si>
  <si>
    <t xml:space="preserve">IGU Double-Glazed Laminated (6.38-12Ar-4 Low-E)</t>
  </si>
  <si>
    <t xml:space="preserve">4mm Clear Float</t>
  </si>
  <si>
    <t xml:space="preserve">6mm Toughened Louvre Blade</t>
  </si>
  <si>
    <t xml:space="preserve">Aluminium Louvre Blade</t>
  </si>
  <si>
    <t xml:space="preserve">Stainless Security Mesh</t>
  </si>
  <si>
    <t xml:space="preserve">10mm Toughened Glass</t>
  </si>
  <si>
    <t xml:space="preserve">Glass / Glazing Rate (R/m²) — shopfront, curtain walling, partitioning, raw glass card</t>
  </si>
  <si>
    <t xml:space="preserve">Solar-Control Tinted IGU</t>
  </si>
  <si>
    <t xml:space="preserve">Float Glass — Clear 4mm</t>
  </si>
  <si>
    <t xml:space="preserve">Float Glass — Clear 5mm</t>
  </si>
  <si>
    <t xml:space="preserve">Float Glass — Clear 6mm</t>
  </si>
  <si>
    <t xml:space="preserve">Toughened Safety Glass — Clear 4mm</t>
  </si>
  <si>
    <t xml:space="preserve">Toughened Safety Glass — Clear 5mm</t>
  </si>
  <si>
    <t xml:space="preserve">Toughened Safety Glass — Clear 6mm</t>
  </si>
  <si>
    <t xml:space="preserve">Toughened Safety Glass — Clear 8mm</t>
  </si>
  <si>
    <t xml:space="preserve">Toughened Safety Glass — Clear 10mm</t>
  </si>
  <si>
    <t xml:space="preserve">Laminated Safety Glass — Clear 6.38mm</t>
  </si>
  <si>
    <t xml:space="preserve">Laminated Safety Glass — Clear 8.38mm</t>
  </si>
  <si>
    <t xml:space="preserve">Obscure Glass 4mm</t>
  </si>
  <si>
    <t xml:space="preserve">Obscure Glass 5mm</t>
  </si>
  <si>
    <t xml:space="preserve">Tinted Solar-Control Glass 6mm Grey</t>
  </si>
  <si>
    <t xml:space="preserve">Tinted Solar-Control Glass 6mm Bronze</t>
  </si>
  <si>
    <t xml:space="preserve">Tinted Solar-Control Glass 6mm Green</t>
  </si>
  <si>
    <t xml:space="preserve">Low-E Coated Glass (Single Pane) 4mm</t>
  </si>
  <si>
    <t xml:space="preserve">Low-E Coated Glass (Single Pane) 6mm</t>
  </si>
  <si>
    <t xml:space="preserve">Insulated Glass Unit (IGU) — Double-Glazed 4-12Ar-4 Low-E</t>
  </si>
  <si>
    <t xml:space="preserve">Insulated Glass Unit (IGU) — Double-Glazed 6-16Ar-6 Low-E</t>
  </si>
  <si>
    <t xml:space="preserve">Mirror Glass 4mm</t>
  </si>
  <si>
    <t xml:space="preserve">Mirror Glass 6mm</t>
  </si>
  <si>
    <t xml:space="preserve">Hardware Allowance per Unit (R/each)</t>
  </si>
  <si>
    <t xml:space="preserve">Windows</t>
  </si>
  <si>
    <t xml:space="preserve">Doors</t>
  </si>
  <si>
    <t xml:space="preserve">Balustrade Infill Rate (R per metre run)</t>
  </si>
  <si>
    <t xml:space="preserve">Glass-Infill Balustrade (Post &amp; Handrail)</t>
  </si>
  <si>
    <t xml:space="preserve">Flat-Bar Infill Balustrade</t>
  </si>
  <si>
    <t xml:space="preserve">Cable-Infill Balustrade</t>
  </si>
  <si>
    <t xml:space="preserve">Picket-Infill Balustrade</t>
  </si>
  <si>
    <t xml:space="preserve">Extrusion Shape Weight per Metre (kg/m)</t>
  </si>
  <si>
    <t xml:space="preserve">Box Section 20x20mm</t>
  </si>
  <si>
    <t xml:space="preserve">Box Section 25x25mm</t>
  </si>
  <si>
    <t xml:space="preserve">Box Section 40x40mm</t>
  </si>
  <si>
    <t xml:space="preserve">Box Section 50x50mm</t>
  </si>
  <si>
    <t xml:space="preserve">Angle 25x25x3mm</t>
  </si>
  <si>
    <t xml:space="preserve">Angle 40x40x3mm</t>
  </si>
  <si>
    <t xml:space="preserve">Flat Bar 25x3mm</t>
  </si>
  <si>
    <t xml:space="preserve">Flat Bar 40x5mm</t>
  </si>
  <si>
    <t xml:space="preserve">Round Tube 25mm OD</t>
  </si>
  <si>
    <t xml:space="preserve">Round Tube 32mm OD</t>
  </si>
  <si>
    <t xml:space="preserve">U-Channel 20x20x2mm</t>
  </si>
  <si>
    <t xml:space="preserve">T-Section 25x25x3mm</t>
  </si>
  <si>
    <t xml:space="preserve">Category</t>
  </si>
  <si>
    <t xml:space="preserve">Sub-Category (override, if any)</t>
  </si>
  <si>
    <t xml:space="preserve">Markup %</t>
  </si>
  <si>
    <t xml:space="preserve">— (applies to all sub-categories)</t>
  </si>
  <si>
    <t xml:space="preserve">Facade &amp; Structural Systems</t>
  </si>
  <si>
    <t xml:space="preserve">Outdoor Living &amp; Shading</t>
  </si>
  <si>
    <t xml:space="preserve">Railing &amp; Screening Systems</t>
  </si>
  <si>
    <t xml:space="preserve">Roofing Glazing &amp; Garage Doors</t>
  </si>
  <si>
    <t xml:space="preserve">Raw Material &amp; Hardware</t>
  </si>
  <si>
    <t xml:space="preserve">Extrusion Profiles &amp; Raw Stock</t>
  </si>
  <si>
    <t xml:space="preserve">Hardware &amp; Ironmongery</t>
  </si>
  <si>
    <t xml:space="preserve">Glazing &amp; Glass</t>
  </si>
  <si>
    <t xml:space="preserve">Sealants, Gaskets &amp; Weatherproofing</t>
  </si>
  <si>
    <t xml:space="preserve">Fixings, Fasteners &amp; Brackets</t>
  </si>
  <si>
    <t xml:space="preserve">Tier</t>
  </si>
  <si>
    <t xml:space="preserve">Discount off Retail</t>
  </si>
  <si>
    <t xml:space="preserve">Retail (List Price)</t>
  </si>
  <si>
    <t xml:space="preserve">Trade</t>
  </si>
  <si>
    <t xml:space="preserve">Volume</t>
  </si>
  <si>
    <t xml:space="preserve">Trade tier: registered installers, builders, and fabricators buying on account.</t>
  </si>
  <si>
    <t xml:space="preserve">Volume tier: developer/contractor project quantities and CMI Partner Network project work.</t>
  </si>
  <si>
    <t xml:space="preserve">Charge</t>
  </si>
  <si>
    <t xml:space="preserve">Rate</t>
  </si>
  <si>
    <t xml:space="preserve">Local delivery — within 30km of nearest yard/branch (standard goods, up to 1,000kg)</t>
  </si>
  <si>
    <t xml:space="preserve">Local delivery — within 30km, 1,000–3,000kg</t>
  </si>
  <si>
    <t xml:space="preserve">Local delivery — above 3,000kg or beyond 30km</t>
  </si>
  <si>
    <t xml:space="preserve">Quote individually</t>
  </si>
  <si>
    <t xml:space="preserve">Fragile-goods handling surcharge — glazed units, curtain-wall/shopfront panels (% of order value)</t>
  </si>
  <si>
    <t xml:space="preserve">Oversized/abnormal load permit — case-by-case (long extrusion runs, large structural members)</t>
  </si>
  <si>
    <t xml:space="preserve">Made-to-Order lead time — standard finish, standard glazing</t>
  </si>
  <si>
    <t xml:space="preserve">Made-to-Order lead time — CMI Partner Network (curtain walling, large facade packages)</t>
  </si>
  <si>
    <t xml:space="preserve">Delivery banding follows the same weight-based, distance-banded model standing as policy on Roofsteel; the fragile-goods surcharge is new for glazed product.</t>
  </si>
  <si>
    <t xml:space="preserve">Product Line</t>
  </si>
  <si>
    <t xml:space="preserve">SA Market Range (2026)</t>
  </si>
  <si>
    <t xml:space="preserve">Aluminium Store Retail (comparable size)</t>
  </si>
  <si>
    <t xml:space="preserve">Source / Note</t>
  </si>
  <si>
    <t xml:space="preserve">Standard sliding window (1209×909mm)</t>
  </si>
  <si>
    <t xml:space="preserve">R2,500 – R6,000</t>
  </si>
  <si>
    <t xml:space="preserve">Van Acht (Gauteng/North West/Western Cape installer), 2026 published guide pricing</t>
  </si>
  <si>
    <t xml:space="preserve">Casement window (1209×1209mm)</t>
  </si>
  <si>
    <t xml:space="preserve">R3,000 – R7,000</t>
  </si>
  <si>
    <t xml:space="preserve">Van Acht, 2026 published guide pricing</t>
  </si>
  <si>
    <t xml:space="preserve">Custom/large window (2409×1509mm fixed)</t>
  </si>
  <si>
    <t xml:space="preserve">R8,000 – R20,000+</t>
  </si>
  <si>
    <t xml:space="preserve">Standard sliding door (1809×2090mm)</t>
  </si>
  <si>
    <t xml:space="preserve">R8,000 – R15,000</t>
  </si>
  <si>
    <t xml:space="preserve">Stacking/folding door (3-leaf, 3609×2090mm)</t>
  </si>
  <si>
    <t xml:space="preserve">R25,000 – R60,000+</t>
  </si>
  <si>
    <t xml:space="preserve">Standard framed pivot door (1509×2700mm) — see note</t>
  </si>
  <si>
    <t xml:space="preserve">R40,000 – R100,000+ (frameless, not this line)</t>
  </si>
  <si>
    <t xml:space="preserve">Van Acht cites this range for fully frameless structural-glass entrance systems — a different product to the standard framed Pivot Door priced alongside it here. A directly comparable frameless system would be quoted through Curtain Walling / Structural Glazing (per m²), not this catalogue line.</t>
  </si>
  <si>
    <t xml:space="preserve">Comparable-size cell references point at specific rows in the Priced Catalogue; re-check the row references if the catalogue is re-sorted or re-filtered.</t>
  </si>
  <si>
    <t xml:space="preserve">SKU</t>
  </si>
  <si>
    <t xml:space="preserve">Sub-Category</t>
  </si>
  <si>
    <t xml:space="preserve">Product Name</t>
  </si>
  <si>
    <t xml:space="preserve">Configuration</t>
  </si>
  <si>
    <t xml:space="preserve">Standard Size</t>
  </si>
  <si>
    <t xml:space="preserve">Finish</t>
  </si>
  <si>
    <t xml:space="preserve">Glazing / Material Spec</t>
  </si>
  <si>
    <t xml:space="preserve">Unit of Sale</t>
  </si>
  <si>
    <t xml:space="preserve">Segment(s) Served</t>
  </si>
  <si>
    <t xml:space="preserve">Fulfilment Type</t>
  </si>
  <si>
    <t xml:space="preserve">Frame Class</t>
  </si>
  <si>
    <t xml:space="preserve">Width (mm)</t>
  </si>
  <si>
    <t xml:space="preserve">Height (mm)</t>
  </si>
  <si>
    <t xml:space="preserve">Length (m)</t>
  </si>
  <si>
    <t xml:space="preserve">Base Cost (R)</t>
  </si>
  <si>
    <t xml:space="preserve">Retail (R)</t>
  </si>
  <si>
    <t xml:space="preserve">Trade (R)</t>
  </si>
  <si>
    <t xml:space="preserve">Volume (R)</t>
  </si>
  <si>
    <t xml:space="preserve">ALS-SLW-0001</t>
  </si>
  <si>
    <t xml:space="preserve">Aluminium Sliding Window — 2-Pane Slider (1 Fixed + 1 Sliding) — 609x609mm — Natural Anodised — Standard Single-Glazed (4mm Clear Float)</t>
  </si>
  <si>
    <t xml:space="preserve">2-Pane Slider (1 Fixed + 1 Sliding)</t>
  </si>
  <si>
    <t xml:space="preserve">609x609mm</t>
  </si>
  <si>
    <t xml:space="preserve">Each</t>
  </si>
  <si>
    <t xml:space="preserve">Residential/Commercial</t>
  </si>
  <si>
    <t xml:space="preserve">Stock</t>
  </si>
  <si>
    <t xml:space="preserve">ALS-SLW-0002</t>
  </si>
  <si>
    <t xml:space="preserve">Aluminium Sliding Window — 2-Pane Slider (1 Fixed + 1 Sliding) — 609x609mm — Satin White (RAL 9016) — Standard Single-Glazed (4mm Clear Float)</t>
  </si>
  <si>
    <t xml:space="preserve">ALS-SLW-0003</t>
  </si>
  <si>
    <t xml:space="preserve">Aluminium Sliding Window — 2-Pane Slider (1 Fixed + 1 Sliding) — 609x609mm — Charcoal Grey (RAL 7016) — Standard Single-Glazed (4mm Clear Float)</t>
  </si>
  <si>
    <t xml:space="preserve">ALS-SLW-0004</t>
  </si>
  <si>
    <t xml:space="preserve">Aluminium Sliding Window — 2-Pane Slider (1 Fixed + 1 Sliding) — 609x609mm — Bronze Anodised — Standard Single-Glazed (4mm Clear Float)</t>
  </si>
  <si>
    <t xml:space="preserve">ALS-SLW-0005</t>
  </si>
  <si>
    <t xml:space="preserve">Aluminium Sliding Window — 2-Pane Slider (1 Fixed + 1 Sliding) — 609x609mm — Graphite Black (RAL 9005) — Standard Single-Glazed (4mm Clear Float)</t>
  </si>
  <si>
    <t xml:space="preserve">ALS-SLW-0006</t>
  </si>
  <si>
    <t xml:space="preserve">Aluminium Sliding Window — 2-Pane Slider (1 Fixed + 1 Sliding) — 609x609mm — Natural Anodised — IGU Double-Glazed (4-12Ar-4 Low-E)</t>
  </si>
  <si>
    <t xml:space="preserve">ALS-SLW-0007</t>
  </si>
  <si>
    <t xml:space="preserve">Aluminium Sliding Window — 2-Pane Slider (1 Fixed + 1 Sliding) — 609x609mm — Satin White (RAL 9016) — IGU Double-Glazed (4-12Ar-4 Low-E)</t>
  </si>
  <si>
    <t xml:space="preserve">ALS-SLW-0008</t>
  </si>
  <si>
    <t xml:space="preserve">Aluminium Sliding Window — 2-Pane Slider (1 Fixed + 1 Sliding) — 609x609mm — Charcoal Grey (RAL 7016) — IGU Double-Glazed (4-12Ar-4 Low-E)</t>
  </si>
  <si>
    <t xml:space="preserve">ALS-SLW-0009</t>
  </si>
  <si>
    <t xml:space="preserve">Aluminium Sliding Window — 2-Pane Slider (1 Fixed + 1 Sliding) — 609x609mm — Bronze Anodised — IGU Double-Glazed (4-12Ar-4 Low-E)</t>
  </si>
  <si>
    <t xml:space="preserve">ALS-SLW-0010</t>
  </si>
  <si>
    <t xml:space="preserve">Aluminium Sliding Window — 2-Pane Slider (1 Fixed + 1 Sliding) — 609x609mm — Graphite Black (RAL 9005) — IGU Double-Glazed (4-12Ar-4 Low-E)</t>
  </si>
  <si>
    <t xml:space="preserve">ALS-SLW-0011</t>
  </si>
  <si>
    <t xml:space="preserve">Aluminium Sliding Window — 2-Pane Slider (1 Fixed + 1 Sliding) — 1209x609mm — Natural Anodised — Standard Single-Glazed (4mm Clear Float)</t>
  </si>
  <si>
    <t xml:space="preserve">1209x609mm</t>
  </si>
  <si>
    <t xml:space="preserve">ALS-SLW-0012</t>
  </si>
  <si>
    <t xml:space="preserve">Aluminium Sliding Window — 2-Pane Slider (1 Fixed + 1 Sliding) — 1209x609mm — Satin White (RAL 9016) — Standard Single-Glazed (4mm Clear Float)</t>
  </si>
  <si>
    <t xml:space="preserve">ALS-SLW-0013</t>
  </si>
  <si>
    <t xml:space="preserve">Aluminium Sliding Window — 2-Pane Slider (1 Fixed + 1 Sliding) — 1209x609mm — Charcoal Grey (RAL 7016) — Standard Single-Glazed (4mm Clear Float)</t>
  </si>
  <si>
    <t xml:space="preserve">ALS-SLW-0014</t>
  </si>
  <si>
    <t xml:space="preserve">Aluminium Sliding Window — 2-Pane Slider (1 Fixed + 1 Sliding) — 1209x609mm — Bronze Anodised — Standard Single-Glazed (4mm Clear Float)</t>
  </si>
  <si>
    <t xml:space="preserve">ALS-SLW-0015</t>
  </si>
  <si>
    <t xml:space="preserve">Aluminium Sliding Window — 2-Pane Slider (1 Fixed + 1 Sliding) — 1209x609mm — Graphite Black (RAL 9005) — Standard Single-Glazed (4mm Clear Float)</t>
  </si>
  <si>
    <t xml:space="preserve">ALS-SLW-0016</t>
  </si>
  <si>
    <t xml:space="preserve">Aluminium Sliding Window — 2-Pane Slider (1 Fixed + 1 Sliding) — 1209x609mm — Natural Anodised — IGU Double-Glazed (4-12Ar-4 Low-E)</t>
  </si>
  <si>
    <t xml:space="preserve">ALS-SLW-0017</t>
  </si>
  <si>
    <t xml:space="preserve">Aluminium Sliding Window — 2-Pane Slider (1 Fixed + 1 Sliding) — 1209x609mm — Satin White (RAL 9016) — IGU Double-Glazed (4-12Ar-4 Low-E)</t>
  </si>
  <si>
    <t xml:space="preserve">ALS-SLW-0018</t>
  </si>
  <si>
    <t xml:space="preserve">Aluminium Sliding Window — 2-Pane Slider (1 Fixed + 1 Sliding) — 1209x609mm — Charcoal Grey (RAL 7016) — IGU Double-Glazed (4-12Ar-4 Low-E)</t>
  </si>
  <si>
    <t xml:space="preserve">ALS-SLW-0019</t>
  </si>
  <si>
    <t xml:space="preserve">Aluminium Sliding Window — 2-Pane Slider (1 Fixed + 1 Sliding) — 1209x609mm — Bronze Anodised — IGU Double-Glazed (4-12Ar-4 Low-E)</t>
  </si>
  <si>
    <t xml:space="preserve">ALS-SLW-0020</t>
  </si>
  <si>
    <t xml:space="preserve">Aluminium Sliding Window — 2-Pane Slider (1 Fixed + 1 Sliding) — 1209x609mm — Graphite Black (RAL 9005) — IGU Double-Glazed (4-12Ar-4 Low-E)</t>
  </si>
  <si>
    <t xml:space="preserve">ALS-SLW-0021</t>
  </si>
  <si>
    <t xml:space="preserve">Aluminium Sliding Window — 2-Pane Slider (1 Fixed + 1 Sliding) — 1209x909mm — Natural Anodised — Standard Single-Glazed (4mm Clear Float)</t>
  </si>
  <si>
    <t xml:space="preserve">1209x909mm</t>
  </si>
  <si>
    <t xml:space="preserve">ALS-SLW-0022</t>
  </si>
  <si>
    <t xml:space="preserve">Aluminium Sliding Window — 2-Pane Slider (1 Fixed + 1 Sliding) — 1209x909mm — Satin White (RAL 9016) — Standard Single-Glazed (4mm Clear Float)</t>
  </si>
  <si>
    <t xml:space="preserve">ALS-SLW-0023</t>
  </si>
  <si>
    <t xml:space="preserve">Aluminium Sliding Window — 2-Pane Slider (1 Fixed + 1 Sliding) — 1209x909mm — Charcoal Grey (RAL 7016) — Standard Single-Glazed (4mm Clear Float)</t>
  </si>
  <si>
    <t xml:space="preserve">ALS-SLW-0024</t>
  </si>
  <si>
    <t xml:space="preserve">Aluminium Sliding Window — 2-Pane Slider (1 Fixed + 1 Sliding) — 1209x909mm — Bronze Anodised — Standard Single-Glazed (4mm Clear Float)</t>
  </si>
  <si>
    <t xml:space="preserve">ALS-SLW-0025</t>
  </si>
  <si>
    <t xml:space="preserve">Aluminium Sliding Window — 2-Pane Slider (1 Fixed + 1 Sliding) — 1209x909mm — Graphite Black (RAL 9005) — Standard Single-Glazed (4mm Clear Float)</t>
  </si>
  <si>
    <t xml:space="preserve">ALS-SLW-0026</t>
  </si>
  <si>
    <t xml:space="preserve">Aluminium Sliding Window — 2-Pane Slider (1 Fixed + 1 Sliding) — 1209x909mm — Natural Anodised — IGU Double-Glazed (4-12Ar-4 Low-E)</t>
  </si>
  <si>
    <t xml:space="preserve">ALS-SLW-0027</t>
  </si>
  <si>
    <t xml:space="preserve">Aluminium Sliding Window — 2-Pane Slider (1 Fixed + 1 Sliding) — 1209x909mm — Satin White (RAL 9016) — IGU Double-Glazed (4-12Ar-4 Low-E)</t>
  </si>
  <si>
    <t xml:space="preserve">ALS-SLW-0028</t>
  </si>
  <si>
    <t xml:space="preserve">Aluminium Sliding Window — 2-Pane Slider (1 Fixed + 1 Sliding) — 1209x909mm — Charcoal Grey (RAL 7016) — IGU Double-Glazed (4-12Ar-4 Low-E)</t>
  </si>
  <si>
    <t xml:space="preserve">ALS-SLW-0029</t>
  </si>
  <si>
    <t xml:space="preserve">Aluminium Sliding Window — 2-Pane Slider (1 Fixed + 1 Sliding) — 1209x909mm — Bronze Anodised — IGU Double-Glazed (4-12Ar-4 Low-E)</t>
  </si>
  <si>
    <t xml:space="preserve">ALS-SLW-0030</t>
  </si>
  <si>
    <t xml:space="preserve">Aluminium Sliding Window — 2-Pane Slider (1 Fixed + 1 Sliding) — 1209x909mm — Graphite Black (RAL 9005) — IGU Double-Glazed (4-12Ar-4 Low-E)</t>
  </si>
  <si>
    <t xml:space="preserve">ALS-SLW-0031</t>
  </si>
  <si>
    <t xml:space="preserve">Aluminium Sliding Window — 2-Pane Slider (1 Fixed + 1 Sliding) — 1809x909mm — Natural Anodised — Standard Single-Glazed (4mm Clear Float)</t>
  </si>
  <si>
    <t xml:space="preserve">1809x909mm</t>
  </si>
  <si>
    <t xml:space="preserve">ALS-SLW-0032</t>
  </si>
  <si>
    <t xml:space="preserve">Aluminium Sliding Window — 2-Pane Slider (1 Fixed + 1 Sliding) — 1809x909mm — Satin White (RAL 9016) — Standard Single-Glazed (4mm Clear Float)</t>
  </si>
  <si>
    <t xml:space="preserve">ALS-SLW-0033</t>
  </si>
  <si>
    <t xml:space="preserve">Aluminium Sliding Window — 2-Pane Slider (1 Fixed + 1 Sliding) — 1809x909mm — Charcoal Grey (RAL 7016) — Standard Single-Glazed (4mm Clear Float)</t>
  </si>
  <si>
    <t xml:space="preserve">ALS-SLW-0034</t>
  </si>
  <si>
    <t xml:space="preserve">Aluminium Sliding Window — 2-Pane Slider (1 Fixed + 1 Sliding) — 1809x909mm — Bronze Anodised — Standard Single-Glazed (4mm Clear Float)</t>
  </si>
  <si>
    <t xml:space="preserve">ALS-SLW-0035</t>
  </si>
  <si>
    <t xml:space="preserve">Aluminium Sliding Window — 2-Pane Slider (1 Fixed + 1 Sliding) — 1809x909mm — Graphite Black (RAL 9005) — Standard Single-Glazed (4mm Clear Float)</t>
  </si>
  <si>
    <t xml:space="preserve">ALS-SLW-0036</t>
  </si>
  <si>
    <t xml:space="preserve">Aluminium Sliding Window — 2-Pane Slider (1 Fixed + 1 Sliding) — 1809x909mm — Natural Anodised — IGU Double-Glazed (4-12Ar-4 Low-E)</t>
  </si>
  <si>
    <t xml:space="preserve">ALS-SLW-0037</t>
  </si>
  <si>
    <t xml:space="preserve">Aluminium Sliding Window — 2-Pane Slider (1 Fixed + 1 Sliding) — 1809x909mm — Satin White (RAL 9016) — IGU Double-Glazed (4-12Ar-4 Low-E)</t>
  </si>
  <si>
    <t xml:space="preserve">ALS-SLW-0038</t>
  </si>
  <si>
    <t xml:space="preserve">Aluminium Sliding Window — 2-Pane Slider (1 Fixed + 1 Sliding) — 1809x909mm — Charcoal Grey (RAL 7016) — IGU Double-Glazed (4-12Ar-4 Low-E)</t>
  </si>
  <si>
    <t xml:space="preserve">ALS-SLW-0039</t>
  </si>
  <si>
    <t xml:space="preserve">Aluminium Sliding Window — 2-Pane Slider (1 Fixed + 1 Sliding) — 1809x909mm — Bronze Anodised — IGU Double-Glazed (4-12Ar-4 Low-E)</t>
  </si>
  <si>
    <t xml:space="preserve">ALS-SLW-0040</t>
  </si>
  <si>
    <t xml:space="preserve">Aluminium Sliding Window — 2-Pane Slider (1 Fixed + 1 Sliding) — 1809x909mm — Graphite Black (RAL 9005) — IGU Double-Glazed (4-12Ar-4 Low-E)</t>
  </si>
  <si>
    <t xml:space="preserve">ALS-SLW-0041</t>
  </si>
  <si>
    <t xml:space="preserve">Aluminium Sliding Window — 2-Pane Slider (1 Fixed + 1 Sliding) — 1809x1209mm — Natural Anodised — Standard Single-Glazed (4mm Clear Float)</t>
  </si>
  <si>
    <t xml:space="preserve">1809x1209mm</t>
  </si>
  <si>
    <t xml:space="preserve">ALS-SLW-0042</t>
  </si>
  <si>
    <t xml:space="preserve">Aluminium Sliding Window — 2-Pane Slider (1 Fixed + 1 Sliding) — 1809x1209mm — Satin White (RAL 9016) — Standard Single-Glazed (4mm Clear Float)</t>
  </si>
  <si>
    <t xml:space="preserve">ALS-SLW-0043</t>
  </si>
  <si>
    <t xml:space="preserve">Aluminium Sliding Window — 2-Pane Slider (1 Fixed + 1 Sliding) — 1809x1209mm — Charcoal Grey (RAL 7016) — Standard Single-Glazed (4mm Clear Float)</t>
  </si>
  <si>
    <t xml:space="preserve">ALS-SLW-0044</t>
  </si>
  <si>
    <t xml:space="preserve">Aluminium Sliding Window — 2-Pane Slider (1 Fixed + 1 Sliding) — 1809x1209mm — Bronze Anodised — Standard Single-Glazed (4mm Clear Float)</t>
  </si>
  <si>
    <t xml:space="preserve">ALS-SLW-0045</t>
  </si>
  <si>
    <t xml:space="preserve">Aluminium Sliding Window — 2-Pane Slider (1 Fixed + 1 Sliding) — 1809x1209mm — Graphite Black (RAL 9005) — Standard Single-Glazed (4mm Clear Float)</t>
  </si>
  <si>
    <t xml:space="preserve">ALS-SLW-0046</t>
  </si>
  <si>
    <t xml:space="preserve">Aluminium Sliding Window — 2-Pane Slider (1 Fixed + 1 Sliding) — 1809x1209mm — Natural Anodised — IGU Double-Glazed (4-12Ar-4 Low-E)</t>
  </si>
  <si>
    <t xml:space="preserve">ALS-SLW-0047</t>
  </si>
  <si>
    <t xml:space="preserve">Aluminium Sliding Window — 2-Pane Slider (1 Fixed + 1 Sliding) — 1809x1209mm — Satin White (RAL 9016) — IGU Double-Glazed (4-12Ar-4 Low-E)</t>
  </si>
  <si>
    <t xml:space="preserve">ALS-SLW-0048</t>
  </si>
  <si>
    <t xml:space="preserve">Aluminium Sliding Window — 2-Pane Slider (1 Fixed + 1 Sliding) — 1809x1209mm — Charcoal Grey (RAL 7016) — IGU Double-Glazed (4-12Ar-4 Low-E)</t>
  </si>
  <si>
    <t xml:space="preserve">ALS-SLW-0049</t>
  </si>
  <si>
    <t xml:space="preserve">Aluminium Sliding Window — 2-Pane Slider (1 Fixed + 1 Sliding) — 1809x1209mm — Bronze Anodised — IGU Double-Glazed (4-12Ar-4 Low-E)</t>
  </si>
  <si>
    <t xml:space="preserve">ALS-SLW-0050</t>
  </si>
  <si>
    <t xml:space="preserve">Aluminium Sliding Window — 2-Pane Slider (1 Fixed + 1 Sliding) — 1809x1209mm — Graphite Black (RAL 9005) — IGU Double-Glazed (4-12Ar-4 Low-E)</t>
  </si>
  <si>
    <t xml:space="preserve">ALS-SLW-0051</t>
  </si>
  <si>
    <t xml:space="preserve">Aluminium Sliding Window — 2-Pane Slider (1 Fixed + 1 Sliding) — 2409x1209mm — Natural Anodised — Standard Single-Glazed (4mm Clear Float)</t>
  </si>
  <si>
    <t xml:space="preserve">2409x1209mm</t>
  </si>
  <si>
    <t xml:space="preserve">Made-to-Order</t>
  </si>
  <si>
    <t xml:space="preserve">ALS-SLW-0052</t>
  </si>
  <si>
    <t xml:space="preserve">Aluminium Sliding Window — 2-Pane Slider (1 Fixed + 1 Sliding) — 2409x1209mm — Satin White (RAL 9016) — Standard Single-Glazed (4mm Clear Float)</t>
  </si>
  <si>
    <t xml:space="preserve">ALS-SLW-0053</t>
  </si>
  <si>
    <t xml:space="preserve">Aluminium Sliding Window — 2-Pane Slider (1 Fixed + 1 Sliding) — 2409x1209mm — Charcoal Grey (RAL 7016) — Standard Single-Glazed (4mm Clear Float)</t>
  </si>
  <si>
    <t xml:space="preserve">ALS-SLW-0054</t>
  </si>
  <si>
    <t xml:space="preserve">Aluminium Sliding Window — 2-Pane Slider (1 Fixed + 1 Sliding) — 2409x1209mm — Bronze Anodised — Standard Single-Glazed (4mm Clear Float)</t>
  </si>
  <si>
    <t xml:space="preserve">ALS-SLW-0055</t>
  </si>
  <si>
    <t xml:space="preserve">Aluminium Sliding Window — 2-Pane Slider (1 Fixed + 1 Sliding) — 2409x1209mm — Graphite Black (RAL 9005) — Standard Single-Glazed (4mm Clear Float)</t>
  </si>
  <si>
    <t xml:space="preserve">ALS-SLW-0056</t>
  </si>
  <si>
    <t xml:space="preserve">Aluminium Sliding Window — 2-Pane Slider (1 Fixed + 1 Sliding) — 2409x1209mm — Natural Anodised — IGU Double-Glazed (4-12Ar-4 Low-E)</t>
  </si>
  <si>
    <t xml:space="preserve">ALS-SLW-0057</t>
  </si>
  <si>
    <t xml:space="preserve">Aluminium Sliding Window — 2-Pane Slider (1 Fixed + 1 Sliding) — 2409x1209mm — Satin White (RAL 9016) — IGU Double-Glazed (4-12Ar-4 Low-E)</t>
  </si>
  <si>
    <t xml:space="preserve">ALS-SLW-0058</t>
  </si>
  <si>
    <t xml:space="preserve">Aluminium Sliding Window — 2-Pane Slider (1 Fixed + 1 Sliding) — 2409x1209mm — Charcoal Grey (RAL 7016) — IGU Double-Glazed (4-12Ar-4 Low-E)</t>
  </si>
  <si>
    <t xml:space="preserve">ALS-SLW-0059</t>
  </si>
  <si>
    <t xml:space="preserve">Aluminium Sliding Window — 2-Pane Slider (1 Fixed + 1 Sliding) — 2409x1209mm — Bronze Anodised — IGU Double-Glazed (4-12Ar-4 Low-E)</t>
  </si>
  <si>
    <t xml:space="preserve">ALS-SLW-0060</t>
  </si>
  <si>
    <t xml:space="preserve">Aluminium Sliding Window — 2-Pane Slider (1 Fixed + 1 Sliding) — 2409x1209mm — Graphite Black (RAL 9005) — IGU Double-Glazed (4-12Ar-4 Low-E)</t>
  </si>
  <si>
    <t xml:space="preserve">ALS-SLW-0061</t>
  </si>
  <si>
    <t xml:space="preserve">Aluminium Sliding Window — 2-Pane Slider (1 Fixed + 1 Sliding) — 2409x1509mm — Natural Anodised — Standard Single-Glazed (4mm Clear Float)</t>
  </si>
  <si>
    <t xml:space="preserve">2409x1509mm</t>
  </si>
  <si>
    <t xml:space="preserve">ALS-SLW-0062</t>
  </si>
  <si>
    <t xml:space="preserve">Aluminium Sliding Window — 2-Pane Slider (1 Fixed + 1 Sliding) — 2409x1509mm — Satin White (RAL 9016) — Standard Single-Glazed (4mm Clear Float)</t>
  </si>
  <si>
    <t xml:space="preserve">ALS-SLW-0063</t>
  </si>
  <si>
    <t xml:space="preserve">Aluminium Sliding Window — 2-Pane Slider (1 Fixed + 1 Sliding) — 2409x1509mm — Charcoal Grey (RAL 7016) — Standard Single-Glazed (4mm Clear Float)</t>
  </si>
  <si>
    <t xml:space="preserve">ALS-SLW-0064</t>
  </si>
  <si>
    <t xml:space="preserve">Aluminium Sliding Window — 2-Pane Slider (1 Fixed + 1 Sliding) — 2409x1509mm — Bronze Anodised — Standard Single-Glazed (4mm Clear Float)</t>
  </si>
  <si>
    <t xml:space="preserve">ALS-SLW-0065</t>
  </si>
  <si>
    <t xml:space="preserve">Aluminium Sliding Window — 2-Pane Slider (1 Fixed + 1 Sliding) — 2409x1509mm — Graphite Black (RAL 9005) — Standard Single-Glazed (4mm Clear Float)</t>
  </si>
  <si>
    <t xml:space="preserve">ALS-SLW-0066</t>
  </si>
  <si>
    <t xml:space="preserve">Aluminium Sliding Window — 2-Pane Slider (1 Fixed + 1 Sliding) — 2409x1509mm — Natural Anodised — IGU Double-Glazed (4-12Ar-4 Low-E)</t>
  </si>
  <si>
    <t xml:space="preserve">ALS-SLW-0067</t>
  </si>
  <si>
    <t xml:space="preserve">Aluminium Sliding Window — 2-Pane Slider (1 Fixed + 1 Sliding) — 2409x1509mm — Satin White (RAL 9016) — IGU Double-Glazed (4-12Ar-4 Low-E)</t>
  </si>
  <si>
    <t xml:space="preserve">ALS-SLW-0068</t>
  </si>
  <si>
    <t xml:space="preserve">Aluminium Sliding Window — 2-Pane Slider (1 Fixed + 1 Sliding) — 2409x1509mm — Charcoal Grey (RAL 7016) — IGU Double-Glazed (4-12Ar-4 Low-E)</t>
  </si>
  <si>
    <t xml:space="preserve">ALS-SLW-0069</t>
  </si>
  <si>
    <t xml:space="preserve">Aluminium Sliding Window — 2-Pane Slider (1 Fixed + 1 Sliding) — 2409x1509mm — Bronze Anodised — IGU Double-Glazed (4-12Ar-4 Low-E)</t>
  </si>
  <si>
    <t xml:space="preserve">ALS-SLW-0070</t>
  </si>
  <si>
    <t xml:space="preserve">Aluminium Sliding Window — 2-Pane Slider (1 Fixed + 1 Sliding) — 2409x1509mm — Graphite Black (RAL 9005) — IGU Double-Glazed (4-12Ar-4 Low-E)</t>
  </si>
  <si>
    <t xml:space="preserve">ALS-SLW-0071</t>
  </si>
  <si>
    <t xml:space="preserve">Aluminium Sliding Window — 2-Pane Slider (1 Fixed + 1 Sliding) — 3009x1509mm — Natural Anodised — Standard Single-Glazed (4mm Clear Float)</t>
  </si>
  <si>
    <t xml:space="preserve">3009x1509mm</t>
  </si>
  <si>
    <t xml:space="preserve">ALS-SLW-0072</t>
  </si>
  <si>
    <t xml:space="preserve">Aluminium Sliding Window — 2-Pane Slider (1 Fixed + 1 Sliding) — 3009x1509mm — Satin White (RAL 9016) — Standard Single-Glazed (4mm Clear Float)</t>
  </si>
  <si>
    <t xml:space="preserve">ALS-SLW-0073</t>
  </si>
  <si>
    <t xml:space="preserve">Aluminium Sliding Window — 2-Pane Slider (1 Fixed + 1 Sliding) — 3009x1509mm — Charcoal Grey (RAL 7016) — Standard Single-Glazed (4mm Clear Float)</t>
  </si>
  <si>
    <t xml:space="preserve">ALS-SLW-0074</t>
  </si>
  <si>
    <t xml:space="preserve">Aluminium Sliding Window — 2-Pane Slider (1 Fixed + 1 Sliding) — 3009x1509mm — Bronze Anodised — Standard Single-Glazed (4mm Clear Float)</t>
  </si>
  <si>
    <t xml:space="preserve">ALS-SLW-0075</t>
  </si>
  <si>
    <t xml:space="preserve">Aluminium Sliding Window — 2-Pane Slider (1 Fixed + 1 Sliding) — 3009x1509mm — Graphite Black (RAL 9005) — Standard Single-Glazed (4mm Clear Float)</t>
  </si>
  <si>
    <t xml:space="preserve">ALS-SLW-0076</t>
  </si>
  <si>
    <t xml:space="preserve">Aluminium Sliding Window — 2-Pane Slider (1 Fixed + 1 Sliding) — 3009x1509mm — Natural Anodised — IGU Double-Glazed (4-12Ar-4 Low-E)</t>
  </si>
  <si>
    <t xml:space="preserve">ALS-SLW-0077</t>
  </si>
  <si>
    <t xml:space="preserve">Aluminium Sliding Window — 2-Pane Slider (1 Fixed + 1 Sliding) — 3009x1509mm — Satin White (RAL 9016) — IGU Double-Glazed (4-12Ar-4 Low-E)</t>
  </si>
  <si>
    <t xml:space="preserve">ALS-SLW-0078</t>
  </si>
  <si>
    <t xml:space="preserve">Aluminium Sliding Window — 2-Pane Slider (1 Fixed + 1 Sliding) — 3009x1509mm — Charcoal Grey (RAL 7016) — IGU Double-Glazed (4-12Ar-4 Low-E)</t>
  </si>
  <si>
    <t xml:space="preserve">ALS-SLW-0079</t>
  </si>
  <si>
    <t xml:space="preserve">Aluminium Sliding Window — 2-Pane Slider (1 Fixed + 1 Sliding) — 3009x1509mm — Bronze Anodised — IGU Double-Glazed (4-12Ar-4 Low-E)</t>
  </si>
  <si>
    <t xml:space="preserve">ALS-SLW-0080</t>
  </si>
  <si>
    <t xml:space="preserve">Aluminium Sliding Window — 2-Pane Slider (1 Fixed + 1 Sliding) — 3009x1509mm — Graphite Black (RAL 9005) — IGU Double-Glazed (4-12Ar-4 Low-E)</t>
  </si>
  <si>
    <t xml:space="preserve">ALS-SLW-0081</t>
  </si>
  <si>
    <t xml:space="preserve">Aluminium Sliding Window — 3-Pane Slider (Centre Slide) — 609x609mm — Natural Anodised — Standard Single-Glazed (4mm Clear Float)</t>
  </si>
  <si>
    <t xml:space="preserve">3-Pane Slider (Centre Slide)</t>
  </si>
  <si>
    <t xml:space="preserve">ALS-SLW-0082</t>
  </si>
  <si>
    <t xml:space="preserve">Aluminium Sliding Window — 3-Pane Slider (Centre Slide) — 609x609mm — Satin White (RAL 9016) — Standard Single-Glazed (4mm Clear Float)</t>
  </si>
  <si>
    <t xml:space="preserve">ALS-SLW-0083</t>
  </si>
  <si>
    <t xml:space="preserve">Aluminium Sliding Window — 3-Pane Slider (Centre Slide) — 609x609mm — Charcoal Grey (RAL 7016) — Standard Single-Glazed (4mm Clear Float)</t>
  </si>
  <si>
    <t xml:space="preserve">ALS-SLW-0084</t>
  </si>
  <si>
    <t xml:space="preserve">Aluminium Sliding Window — 3-Pane Slider (Centre Slide) — 609x609mm — Bronze Anodised — Standard Single-Glazed (4mm Clear Float)</t>
  </si>
  <si>
    <t xml:space="preserve">ALS-SLW-0085</t>
  </si>
  <si>
    <t xml:space="preserve">Aluminium Sliding Window — 3-Pane Slider (Centre Slide) — 609x609mm — Graphite Black (RAL 9005) — Standard Single-Glazed (4mm Clear Float)</t>
  </si>
  <si>
    <t xml:space="preserve">ALS-SLW-0086</t>
  </si>
  <si>
    <t xml:space="preserve">Aluminium Sliding Window — 3-Pane Slider (Centre Slide) — 609x609mm — Natural Anodised — IGU Double-Glazed (4-12Ar-4 Low-E)</t>
  </si>
  <si>
    <t xml:space="preserve">ALS-SLW-0087</t>
  </si>
  <si>
    <t xml:space="preserve">Aluminium Sliding Window — 3-Pane Slider (Centre Slide) — 609x609mm — Satin White (RAL 9016) — IGU Double-Glazed (4-12Ar-4 Low-E)</t>
  </si>
  <si>
    <t xml:space="preserve">ALS-SLW-0088</t>
  </si>
  <si>
    <t xml:space="preserve">Aluminium Sliding Window — 3-Pane Slider (Centre Slide) — 609x609mm — Charcoal Grey (RAL 7016) — IGU Double-Glazed (4-12Ar-4 Low-E)</t>
  </si>
  <si>
    <t xml:space="preserve">ALS-SLW-0089</t>
  </si>
  <si>
    <t xml:space="preserve">Aluminium Sliding Window — 3-Pane Slider (Centre Slide) — 609x609mm — Bronze Anodised — IGU Double-Glazed (4-12Ar-4 Low-E)</t>
  </si>
  <si>
    <t xml:space="preserve">ALS-SLW-0090</t>
  </si>
  <si>
    <t xml:space="preserve">Aluminium Sliding Window — 3-Pane Slider (Centre Slide) — 609x609mm — Graphite Black (RAL 9005) — IGU Double-Glazed (4-12Ar-4 Low-E)</t>
  </si>
  <si>
    <t xml:space="preserve">ALS-SLW-0091</t>
  </si>
  <si>
    <t xml:space="preserve">Aluminium Sliding Window — 3-Pane Slider (Centre Slide) — 1209x609mm — Natural Anodised — Standard Single-Glazed (4mm Clear Float)</t>
  </si>
  <si>
    <t xml:space="preserve">ALS-SLW-0092</t>
  </si>
  <si>
    <t xml:space="preserve">Aluminium Sliding Window — 3-Pane Slider (Centre Slide) — 1209x609mm — Satin White (RAL 9016) — Standard Single-Glazed (4mm Clear Float)</t>
  </si>
  <si>
    <t xml:space="preserve">ALS-SLW-0093</t>
  </si>
  <si>
    <t xml:space="preserve">Aluminium Sliding Window — 3-Pane Slider (Centre Slide) — 1209x609mm — Charcoal Grey (RAL 7016) — Standard Single-Glazed (4mm Clear Float)</t>
  </si>
  <si>
    <t xml:space="preserve">ALS-SLW-0094</t>
  </si>
  <si>
    <t xml:space="preserve">Aluminium Sliding Window — 3-Pane Slider (Centre Slide) — 1209x609mm — Bronze Anodised — Standard Single-Glazed (4mm Clear Float)</t>
  </si>
  <si>
    <t xml:space="preserve">ALS-SLW-0095</t>
  </si>
  <si>
    <t xml:space="preserve">Aluminium Sliding Window — 3-Pane Slider (Centre Slide) — 1209x609mm — Graphite Black (RAL 9005) — Standard Single-Glazed (4mm Clear Float)</t>
  </si>
  <si>
    <t xml:space="preserve">ALS-SLW-0096</t>
  </si>
  <si>
    <t xml:space="preserve">Aluminium Sliding Window — 3-Pane Slider (Centre Slide) — 1209x609mm — Natural Anodised — IGU Double-Glazed (4-12Ar-4 Low-E)</t>
  </si>
  <si>
    <t xml:space="preserve">ALS-SLW-0097</t>
  </si>
  <si>
    <t xml:space="preserve">Aluminium Sliding Window — 3-Pane Slider (Centre Slide) — 1209x609mm — Satin White (RAL 9016) — IGU Double-Glazed (4-12Ar-4 Low-E)</t>
  </si>
  <si>
    <t xml:space="preserve">ALS-SLW-0098</t>
  </si>
  <si>
    <t xml:space="preserve">Aluminium Sliding Window — 3-Pane Slider (Centre Slide) — 1209x609mm — Charcoal Grey (RAL 7016) — IGU Double-Glazed (4-12Ar-4 Low-E)</t>
  </si>
  <si>
    <t xml:space="preserve">ALS-SLW-0099</t>
  </si>
  <si>
    <t xml:space="preserve">Aluminium Sliding Window — 3-Pane Slider (Centre Slide) — 1209x609mm — Bronze Anodised — IGU Double-Glazed (4-12Ar-4 Low-E)</t>
  </si>
  <si>
    <t xml:space="preserve">ALS-SLW-0100</t>
  </si>
  <si>
    <t xml:space="preserve">Aluminium Sliding Window — 3-Pane Slider (Centre Slide) — 1209x609mm — Graphite Black (RAL 9005) — IGU Double-Glazed (4-12Ar-4 Low-E)</t>
  </si>
  <si>
    <t xml:space="preserve">ALS-SLW-0101</t>
  </si>
  <si>
    <t xml:space="preserve">Aluminium Sliding Window — 3-Pane Slider (Centre Slide) — 1209x909mm — Natural Anodised — Standard Single-Glazed (4mm Clear Float)</t>
  </si>
  <si>
    <t xml:space="preserve">ALS-SLW-0102</t>
  </si>
  <si>
    <t xml:space="preserve">Aluminium Sliding Window — 3-Pane Slider (Centre Slide) — 1209x909mm — Satin White (RAL 9016) — Standard Single-Glazed (4mm Clear Float)</t>
  </si>
  <si>
    <t xml:space="preserve">ALS-SLW-0103</t>
  </si>
  <si>
    <t xml:space="preserve">Aluminium Sliding Window — 3-Pane Slider (Centre Slide) — 1209x909mm — Charcoal Grey (RAL 7016) — Standard Single-Glazed (4mm Clear Float)</t>
  </si>
  <si>
    <t xml:space="preserve">ALS-SLW-0104</t>
  </si>
  <si>
    <t xml:space="preserve">Aluminium Sliding Window — 3-Pane Slider (Centre Slide) — 1209x909mm — Bronze Anodised — Standard Single-Glazed (4mm Clear Float)</t>
  </si>
  <si>
    <t xml:space="preserve">ALS-SLW-0105</t>
  </si>
  <si>
    <t xml:space="preserve">Aluminium Sliding Window — 3-Pane Slider (Centre Slide) — 1209x909mm — Graphite Black (RAL 9005) — Standard Single-Glazed (4mm Clear Float)</t>
  </si>
  <si>
    <t xml:space="preserve">ALS-SLW-0106</t>
  </si>
  <si>
    <t xml:space="preserve">Aluminium Sliding Window — 3-Pane Slider (Centre Slide) — 1209x909mm — Natural Anodised — IGU Double-Glazed (4-12Ar-4 Low-E)</t>
  </si>
  <si>
    <t xml:space="preserve">ALS-SLW-0107</t>
  </si>
  <si>
    <t xml:space="preserve">Aluminium Sliding Window — 3-Pane Slider (Centre Slide) — 1209x909mm — Satin White (RAL 9016) — IGU Double-Glazed (4-12Ar-4 Low-E)</t>
  </si>
  <si>
    <t xml:space="preserve">ALS-SLW-0108</t>
  </si>
  <si>
    <t xml:space="preserve">Aluminium Sliding Window — 3-Pane Slider (Centre Slide) — 1209x909mm — Charcoal Grey (RAL 7016) — IGU Double-Glazed (4-12Ar-4 Low-E)</t>
  </si>
  <si>
    <t xml:space="preserve">ALS-SLW-0109</t>
  </si>
  <si>
    <t xml:space="preserve">Aluminium Sliding Window — 3-Pane Slider (Centre Slide) — 1209x909mm — Bronze Anodised — IGU Double-Glazed (4-12Ar-4 Low-E)</t>
  </si>
  <si>
    <t xml:space="preserve">ALS-SLW-0110</t>
  </si>
  <si>
    <t xml:space="preserve">Aluminium Sliding Window — 3-Pane Slider (Centre Slide) — 1209x909mm — Graphite Black (RAL 9005) — IGU Double-Glazed (4-12Ar-4 Low-E)</t>
  </si>
  <si>
    <t xml:space="preserve">ALS-SLW-0111</t>
  </si>
  <si>
    <t xml:space="preserve">Aluminium Sliding Window — 3-Pane Slider (Centre Slide) — 1809x909mm — Natural Anodised — Standard Single-Glazed (4mm Clear Float)</t>
  </si>
  <si>
    <t xml:space="preserve">ALS-SLW-0112</t>
  </si>
  <si>
    <t xml:space="preserve">Aluminium Sliding Window — 3-Pane Slider (Centre Slide) — 1809x909mm — Satin White (RAL 9016) — Standard Single-Glazed (4mm Clear Float)</t>
  </si>
  <si>
    <t xml:space="preserve">ALS-SLW-0113</t>
  </si>
  <si>
    <t xml:space="preserve">Aluminium Sliding Window — 3-Pane Slider (Centre Slide) — 1809x909mm — Charcoal Grey (RAL 7016) — Standard Single-Glazed (4mm Clear Float)</t>
  </si>
  <si>
    <t xml:space="preserve">ALS-SLW-0114</t>
  </si>
  <si>
    <t xml:space="preserve">Aluminium Sliding Window — 3-Pane Slider (Centre Slide) — 1809x909mm — Bronze Anodised — Standard Single-Glazed (4mm Clear Float)</t>
  </si>
  <si>
    <t xml:space="preserve">ALS-SLW-0115</t>
  </si>
  <si>
    <t xml:space="preserve">Aluminium Sliding Window — 3-Pane Slider (Centre Slide) — 1809x909mm — Graphite Black (RAL 9005) — Standard Single-Glazed (4mm Clear Float)</t>
  </si>
  <si>
    <t xml:space="preserve">ALS-SLW-0116</t>
  </si>
  <si>
    <t xml:space="preserve">Aluminium Sliding Window — 3-Pane Slider (Centre Slide) — 1809x909mm — Natural Anodised — IGU Double-Glazed (4-12Ar-4 Low-E)</t>
  </si>
  <si>
    <t xml:space="preserve">ALS-SLW-0117</t>
  </si>
  <si>
    <t xml:space="preserve">Aluminium Sliding Window — 3-Pane Slider (Centre Slide) — 1809x909mm — Satin White (RAL 9016) — IGU Double-Glazed (4-12Ar-4 Low-E)</t>
  </si>
  <si>
    <t xml:space="preserve">ALS-SLW-0118</t>
  </si>
  <si>
    <t xml:space="preserve">Aluminium Sliding Window — 3-Pane Slider (Centre Slide) — 1809x909mm — Charcoal Grey (RAL 7016) — IGU Double-Glazed (4-12Ar-4 Low-E)</t>
  </si>
  <si>
    <t xml:space="preserve">ALS-SLW-0119</t>
  </si>
  <si>
    <t xml:space="preserve">Aluminium Sliding Window — 3-Pane Slider (Centre Slide) — 1809x909mm — Bronze Anodised — IGU Double-Glazed (4-12Ar-4 Low-E)</t>
  </si>
  <si>
    <t xml:space="preserve">ALS-SLW-0120</t>
  </si>
  <si>
    <t xml:space="preserve">Aluminium Sliding Window — 3-Pane Slider (Centre Slide) — 1809x909mm — Graphite Black (RAL 9005) — IGU Double-Glazed (4-12Ar-4 Low-E)</t>
  </si>
  <si>
    <t xml:space="preserve">ALS-SLW-0121</t>
  </si>
  <si>
    <t xml:space="preserve">Aluminium Sliding Window — 3-Pane Slider (Centre Slide) — 1809x1209mm — Natural Anodised — Standard Single-Glazed (4mm Clear Float)</t>
  </si>
  <si>
    <t xml:space="preserve">ALS-SLW-0122</t>
  </si>
  <si>
    <t xml:space="preserve">Aluminium Sliding Window — 3-Pane Slider (Centre Slide) — 1809x1209mm — Satin White (RAL 9016) — Standard Single-Glazed (4mm Clear Float)</t>
  </si>
  <si>
    <t xml:space="preserve">ALS-SLW-0123</t>
  </si>
  <si>
    <t xml:space="preserve">Aluminium Sliding Window — 3-Pane Slider (Centre Slide) — 1809x1209mm — Charcoal Grey (RAL 7016) — Standard Single-Glazed (4mm Clear Float)</t>
  </si>
  <si>
    <t xml:space="preserve">ALS-SLW-0124</t>
  </si>
  <si>
    <t xml:space="preserve">Aluminium Sliding Window — 3-Pane Slider (Centre Slide) — 1809x1209mm — Bronze Anodised — Standard Single-Glazed (4mm Clear Float)</t>
  </si>
  <si>
    <t xml:space="preserve">ALS-SLW-0125</t>
  </si>
  <si>
    <t xml:space="preserve">Aluminium Sliding Window — 3-Pane Slider (Centre Slide) — 1809x1209mm — Graphite Black (RAL 9005) — Standard Single-Glazed (4mm Clear Float)</t>
  </si>
  <si>
    <t xml:space="preserve">ALS-SLW-0126</t>
  </si>
  <si>
    <t xml:space="preserve">Aluminium Sliding Window — 3-Pane Slider (Centre Slide) — 1809x1209mm — Natural Anodised — IGU Double-Glazed (4-12Ar-4 Low-E)</t>
  </si>
  <si>
    <t xml:space="preserve">ALS-SLW-0127</t>
  </si>
  <si>
    <t xml:space="preserve">Aluminium Sliding Window — 3-Pane Slider (Centre Slide) — 1809x1209mm — Satin White (RAL 9016) — IGU Double-Glazed (4-12Ar-4 Low-E)</t>
  </si>
  <si>
    <t xml:space="preserve">ALS-SLW-0128</t>
  </si>
  <si>
    <t xml:space="preserve">Aluminium Sliding Window — 3-Pane Slider (Centre Slide) — 1809x1209mm — Charcoal Grey (RAL 7016) — IGU Double-Glazed (4-12Ar-4 Low-E)</t>
  </si>
  <si>
    <t xml:space="preserve">ALS-SLW-0129</t>
  </si>
  <si>
    <t xml:space="preserve">Aluminium Sliding Window — 3-Pane Slider (Centre Slide) — 1809x1209mm — Bronze Anodised — IGU Double-Glazed (4-12Ar-4 Low-E)</t>
  </si>
  <si>
    <t xml:space="preserve">ALS-SLW-0130</t>
  </si>
  <si>
    <t xml:space="preserve">Aluminium Sliding Window — 3-Pane Slider (Centre Slide) — 1809x1209mm — Graphite Black (RAL 9005) — IGU Double-Glazed (4-12Ar-4 Low-E)</t>
  </si>
  <si>
    <t xml:space="preserve">ALS-SLW-0131</t>
  </si>
  <si>
    <t xml:space="preserve">Aluminium Sliding Window — 3-Pane Slider (Centre Slide) — 2409x1209mm — Natural Anodised — Standard Single-Glazed (4mm Clear Float)</t>
  </si>
  <si>
    <t xml:space="preserve">ALS-SLW-0132</t>
  </si>
  <si>
    <t xml:space="preserve">Aluminium Sliding Window — 3-Pane Slider (Centre Slide) — 2409x1209mm — Satin White (RAL 9016) — Standard Single-Glazed (4mm Clear Float)</t>
  </si>
  <si>
    <t xml:space="preserve">ALS-SLW-0133</t>
  </si>
  <si>
    <t xml:space="preserve">Aluminium Sliding Window — 3-Pane Slider (Centre Slide) — 2409x1209mm — Charcoal Grey (RAL 7016) — Standard Single-Glazed (4mm Clear Float)</t>
  </si>
  <si>
    <t xml:space="preserve">ALS-SLW-0134</t>
  </si>
  <si>
    <t xml:space="preserve">Aluminium Sliding Window — 3-Pane Slider (Centre Slide) — 2409x1209mm — Bronze Anodised — Standard Single-Glazed (4mm Clear Float)</t>
  </si>
  <si>
    <t xml:space="preserve">ALS-SLW-0135</t>
  </si>
  <si>
    <t xml:space="preserve">Aluminium Sliding Window — 3-Pane Slider (Centre Slide) — 2409x1209mm — Graphite Black (RAL 9005) — Standard Single-Glazed (4mm Clear Float)</t>
  </si>
  <si>
    <t xml:space="preserve">ALS-SLW-0136</t>
  </si>
  <si>
    <t xml:space="preserve">Aluminium Sliding Window — 3-Pane Slider (Centre Slide) — 2409x1209mm — Natural Anodised — IGU Double-Glazed (4-12Ar-4 Low-E)</t>
  </si>
  <si>
    <t xml:space="preserve">ALS-SLW-0137</t>
  </si>
  <si>
    <t xml:space="preserve">Aluminium Sliding Window — 3-Pane Slider (Centre Slide) — 2409x1209mm — Satin White (RAL 9016) — IGU Double-Glazed (4-12Ar-4 Low-E)</t>
  </si>
  <si>
    <t xml:space="preserve">ALS-SLW-0138</t>
  </si>
  <si>
    <t xml:space="preserve">Aluminium Sliding Window — 3-Pane Slider (Centre Slide) — 2409x1209mm — Charcoal Grey (RAL 7016) — IGU Double-Glazed (4-12Ar-4 Low-E)</t>
  </si>
  <si>
    <t xml:space="preserve">ALS-SLW-0139</t>
  </si>
  <si>
    <t xml:space="preserve">Aluminium Sliding Window — 3-Pane Slider (Centre Slide) — 2409x1209mm — Bronze Anodised — IGU Double-Glazed (4-12Ar-4 Low-E)</t>
  </si>
  <si>
    <t xml:space="preserve">ALS-SLW-0140</t>
  </si>
  <si>
    <t xml:space="preserve">Aluminium Sliding Window — 3-Pane Slider (Centre Slide) — 2409x1209mm — Graphite Black (RAL 9005) — IGU Double-Glazed (4-12Ar-4 Low-E)</t>
  </si>
  <si>
    <t xml:space="preserve">ALS-SLW-0141</t>
  </si>
  <si>
    <t xml:space="preserve">Aluminium Sliding Window — 3-Pane Slider (Centre Slide) — 2409x1509mm — Natural Anodised — Standard Single-Glazed (4mm Clear Float)</t>
  </si>
  <si>
    <t xml:space="preserve">ALS-SLW-0142</t>
  </si>
  <si>
    <t xml:space="preserve">Aluminium Sliding Window — 3-Pane Slider (Centre Slide) — 2409x1509mm — Satin White (RAL 9016) — Standard Single-Glazed (4mm Clear Float)</t>
  </si>
  <si>
    <t xml:space="preserve">ALS-SLW-0143</t>
  </si>
  <si>
    <t xml:space="preserve">Aluminium Sliding Window — 3-Pane Slider (Centre Slide) — 2409x1509mm — Charcoal Grey (RAL 7016) — Standard Single-Glazed (4mm Clear Float)</t>
  </si>
  <si>
    <t xml:space="preserve">ALS-SLW-0144</t>
  </si>
  <si>
    <t xml:space="preserve">Aluminium Sliding Window — 3-Pane Slider (Centre Slide) — 2409x1509mm — Bronze Anodised — Standard Single-Glazed (4mm Clear Float)</t>
  </si>
  <si>
    <t xml:space="preserve">ALS-SLW-0145</t>
  </si>
  <si>
    <t xml:space="preserve">Aluminium Sliding Window — 3-Pane Slider (Centre Slide) — 2409x1509mm — Graphite Black (RAL 9005) — Standard Single-Glazed (4mm Clear Float)</t>
  </si>
  <si>
    <t xml:space="preserve">ALS-SLW-0146</t>
  </si>
  <si>
    <t xml:space="preserve">Aluminium Sliding Window — 3-Pane Slider (Centre Slide) — 2409x1509mm — Natural Anodised — IGU Double-Glazed (4-12Ar-4 Low-E)</t>
  </si>
  <si>
    <t xml:space="preserve">ALS-SLW-0147</t>
  </si>
  <si>
    <t xml:space="preserve">Aluminium Sliding Window — 3-Pane Slider (Centre Slide) — 2409x1509mm — Satin White (RAL 9016) — IGU Double-Glazed (4-12Ar-4 Low-E)</t>
  </si>
  <si>
    <t xml:space="preserve">ALS-SLW-0148</t>
  </si>
  <si>
    <t xml:space="preserve">Aluminium Sliding Window — 3-Pane Slider (Centre Slide) — 2409x1509mm — Charcoal Grey (RAL 7016) — IGU Double-Glazed (4-12Ar-4 Low-E)</t>
  </si>
  <si>
    <t xml:space="preserve">ALS-SLW-0149</t>
  </si>
  <si>
    <t xml:space="preserve">Aluminium Sliding Window — 3-Pane Slider (Centre Slide) — 2409x1509mm — Bronze Anodised — IGU Double-Glazed (4-12Ar-4 Low-E)</t>
  </si>
  <si>
    <t xml:space="preserve">ALS-SLW-0150</t>
  </si>
  <si>
    <t xml:space="preserve">Aluminium Sliding Window — 3-Pane Slider (Centre Slide) — 2409x1509mm — Graphite Black (RAL 9005) — IGU Double-Glazed (4-12Ar-4 Low-E)</t>
  </si>
  <si>
    <t xml:space="preserve">ALS-SLW-0151</t>
  </si>
  <si>
    <t xml:space="preserve">Aluminium Sliding Window — 3-Pane Slider (Centre Slide) — 3009x1509mm — Natural Anodised — Standard Single-Glazed (4mm Clear Float)</t>
  </si>
  <si>
    <t xml:space="preserve">ALS-SLW-0152</t>
  </si>
  <si>
    <t xml:space="preserve">Aluminium Sliding Window — 3-Pane Slider (Centre Slide) — 3009x1509mm — Satin White (RAL 9016) — Standard Single-Glazed (4mm Clear Float)</t>
  </si>
  <si>
    <t xml:space="preserve">ALS-SLW-0153</t>
  </si>
  <si>
    <t xml:space="preserve">Aluminium Sliding Window — 3-Pane Slider (Centre Slide) — 3009x1509mm — Charcoal Grey (RAL 7016) — Standard Single-Glazed (4mm Clear Float)</t>
  </si>
  <si>
    <t xml:space="preserve">ALS-SLW-0154</t>
  </si>
  <si>
    <t xml:space="preserve">Aluminium Sliding Window — 3-Pane Slider (Centre Slide) — 3009x1509mm — Bronze Anodised — Standard Single-Glazed (4mm Clear Float)</t>
  </si>
  <si>
    <t xml:space="preserve">ALS-SLW-0155</t>
  </si>
  <si>
    <t xml:space="preserve">Aluminium Sliding Window — 3-Pane Slider (Centre Slide) — 3009x1509mm — Graphite Black (RAL 9005) — Standard Single-Glazed (4mm Clear Float)</t>
  </si>
  <si>
    <t xml:space="preserve">ALS-SLW-0156</t>
  </si>
  <si>
    <t xml:space="preserve">Aluminium Sliding Window — 3-Pane Slider (Centre Slide) — 3009x1509mm — Natural Anodised — IGU Double-Glazed (4-12Ar-4 Low-E)</t>
  </si>
  <si>
    <t xml:space="preserve">ALS-SLW-0157</t>
  </si>
  <si>
    <t xml:space="preserve">Aluminium Sliding Window — 3-Pane Slider (Centre Slide) — 3009x1509mm — Satin White (RAL 9016) — IGU Double-Glazed (4-12Ar-4 Low-E)</t>
  </si>
  <si>
    <t xml:space="preserve">ALS-SLW-0158</t>
  </si>
  <si>
    <t xml:space="preserve">Aluminium Sliding Window — 3-Pane Slider (Centre Slide) — 3009x1509mm — Charcoal Grey (RAL 7016) — IGU Double-Glazed (4-12Ar-4 Low-E)</t>
  </si>
  <si>
    <t xml:space="preserve">ALS-SLW-0159</t>
  </si>
  <si>
    <t xml:space="preserve">Aluminium Sliding Window — 3-Pane Slider (Centre Slide) — 3009x1509mm — Bronze Anodised — IGU Double-Glazed (4-12Ar-4 Low-E)</t>
  </si>
  <si>
    <t xml:space="preserve">ALS-SLW-0160</t>
  </si>
  <si>
    <t xml:space="preserve">Aluminium Sliding Window — 3-Pane Slider (Centre Slide) — 3009x1509mm — Graphite Black (RAL 9005) — IGU Double-Glazed (4-12Ar-4 Low-E)</t>
  </si>
  <si>
    <t xml:space="preserve">ALS-SLW-0161</t>
  </si>
  <si>
    <t xml:space="preserve">Aluminium Sliding Window — 4-Pane Slider (2 Sliding + 2 Fixed) — 609x609mm — Natural Anodised — Standard Single-Glazed (4mm Clear Float)</t>
  </si>
  <si>
    <t xml:space="preserve">4-Pane Slider (2 Sliding + 2 Fixed)</t>
  </si>
  <si>
    <t xml:space="preserve">ALS-SLW-0162</t>
  </si>
  <si>
    <t xml:space="preserve">Aluminium Sliding Window — 4-Pane Slider (2 Sliding + 2 Fixed) — 609x609mm — Satin White (RAL 9016) — Standard Single-Glazed (4mm Clear Float)</t>
  </si>
  <si>
    <t xml:space="preserve">ALS-SLW-0163</t>
  </si>
  <si>
    <t xml:space="preserve">Aluminium Sliding Window — 4-Pane Slider (2 Sliding + 2 Fixed) — 609x609mm — Charcoal Grey (RAL 7016) — Standard Single-Glazed (4mm Clear Float)</t>
  </si>
  <si>
    <t xml:space="preserve">ALS-SLW-0164</t>
  </si>
  <si>
    <t xml:space="preserve">Aluminium Sliding Window — 4-Pane Slider (2 Sliding + 2 Fixed) — 609x609mm — Bronze Anodised — Standard Single-Glazed (4mm Clear Float)</t>
  </si>
  <si>
    <t xml:space="preserve">ALS-SLW-0165</t>
  </si>
  <si>
    <t xml:space="preserve">Aluminium Sliding Window — 4-Pane Slider (2 Sliding + 2 Fixed) — 609x609mm — Graphite Black (RAL 9005) — Standard Single-Glazed (4mm Clear Float)</t>
  </si>
  <si>
    <t xml:space="preserve">ALS-SLW-0166</t>
  </si>
  <si>
    <t xml:space="preserve">Aluminium Sliding Window — 4-Pane Slider (2 Sliding + 2 Fixed) — 609x609mm — Natural Anodised — IGU Double-Glazed (4-12Ar-4 Low-E)</t>
  </si>
  <si>
    <t xml:space="preserve">ALS-SLW-0167</t>
  </si>
  <si>
    <t xml:space="preserve">Aluminium Sliding Window — 4-Pane Slider (2 Sliding + 2 Fixed) — 609x609mm — Satin White (RAL 9016) — IGU Double-Glazed (4-12Ar-4 Low-E)</t>
  </si>
  <si>
    <t xml:space="preserve">ALS-SLW-0168</t>
  </si>
  <si>
    <t xml:space="preserve">Aluminium Sliding Window — 4-Pane Slider (2 Sliding + 2 Fixed) — 609x609mm — Charcoal Grey (RAL 7016) — IGU Double-Glazed (4-12Ar-4 Low-E)</t>
  </si>
  <si>
    <t xml:space="preserve">ALS-SLW-0169</t>
  </si>
  <si>
    <t xml:space="preserve">Aluminium Sliding Window — 4-Pane Slider (2 Sliding + 2 Fixed) — 609x609mm — Bronze Anodised — IGU Double-Glazed (4-12Ar-4 Low-E)</t>
  </si>
  <si>
    <t xml:space="preserve">ALS-SLW-0170</t>
  </si>
  <si>
    <t xml:space="preserve">Aluminium Sliding Window — 4-Pane Slider (2 Sliding + 2 Fixed) — 609x609mm — Graphite Black (RAL 9005) — IGU Double-Glazed (4-12Ar-4 Low-E)</t>
  </si>
  <si>
    <t xml:space="preserve">ALS-SLW-0171</t>
  </si>
  <si>
    <t xml:space="preserve">Aluminium Sliding Window — 4-Pane Slider (2 Sliding + 2 Fixed) — 1209x609mm — Natural Anodised — Standard Single-Glazed (4mm Clear Float)</t>
  </si>
  <si>
    <t xml:space="preserve">ALS-SLW-0172</t>
  </si>
  <si>
    <t xml:space="preserve">Aluminium Sliding Window — 4-Pane Slider (2 Sliding + 2 Fixed) — 1209x609mm — Satin White (RAL 9016) — Standard Single-Glazed (4mm Clear Float)</t>
  </si>
  <si>
    <t xml:space="preserve">ALS-SLW-0173</t>
  </si>
  <si>
    <t xml:space="preserve">Aluminium Sliding Window — 4-Pane Slider (2 Sliding + 2 Fixed) — 1209x609mm — Charcoal Grey (RAL 7016) — Standard Single-Glazed (4mm Clear Float)</t>
  </si>
  <si>
    <t xml:space="preserve">ALS-SLW-0174</t>
  </si>
  <si>
    <t xml:space="preserve">Aluminium Sliding Window — 4-Pane Slider (2 Sliding + 2 Fixed) — 1209x609mm — Bronze Anodised — Standard Single-Glazed (4mm Clear Float)</t>
  </si>
  <si>
    <t xml:space="preserve">ALS-SLW-0175</t>
  </si>
  <si>
    <t xml:space="preserve">Aluminium Sliding Window — 4-Pane Slider (2 Sliding + 2 Fixed) — 1209x609mm — Graphite Black (RAL 9005) — Standard Single-Glazed (4mm Clear Float)</t>
  </si>
  <si>
    <t xml:space="preserve">ALS-SLW-0176</t>
  </si>
  <si>
    <t xml:space="preserve">Aluminium Sliding Window — 4-Pane Slider (2 Sliding + 2 Fixed) — 1209x609mm — Natural Anodised — IGU Double-Glazed (4-12Ar-4 Low-E)</t>
  </si>
  <si>
    <t xml:space="preserve">ALS-SLW-0177</t>
  </si>
  <si>
    <t xml:space="preserve">Aluminium Sliding Window — 4-Pane Slider (2 Sliding + 2 Fixed) — 1209x609mm — Satin White (RAL 9016) — IGU Double-Glazed (4-12Ar-4 Low-E)</t>
  </si>
  <si>
    <t xml:space="preserve">ALS-SLW-0178</t>
  </si>
  <si>
    <t xml:space="preserve">Aluminium Sliding Window — 4-Pane Slider (2 Sliding + 2 Fixed) — 1209x609mm — Charcoal Grey (RAL 7016) — IGU Double-Glazed (4-12Ar-4 Low-E)</t>
  </si>
  <si>
    <t xml:space="preserve">ALS-SLW-0179</t>
  </si>
  <si>
    <t xml:space="preserve">Aluminium Sliding Window — 4-Pane Slider (2 Sliding + 2 Fixed) — 1209x609mm — Bronze Anodised — IGU Double-Glazed (4-12Ar-4 Low-E)</t>
  </si>
  <si>
    <t xml:space="preserve">ALS-SLW-0180</t>
  </si>
  <si>
    <t xml:space="preserve">Aluminium Sliding Window — 4-Pane Slider (2 Sliding + 2 Fixed) — 1209x609mm — Graphite Black (RAL 9005) — IGU Double-Glazed (4-12Ar-4 Low-E)</t>
  </si>
  <si>
    <t xml:space="preserve">ALS-SLW-0181</t>
  </si>
  <si>
    <t xml:space="preserve">Aluminium Sliding Window — 4-Pane Slider (2 Sliding + 2 Fixed) — 1209x909mm — Natural Anodised — Standard Single-Glazed (4mm Clear Float)</t>
  </si>
  <si>
    <t xml:space="preserve">ALS-SLW-0182</t>
  </si>
  <si>
    <t xml:space="preserve">Aluminium Sliding Window — 4-Pane Slider (2 Sliding + 2 Fixed) — 1209x909mm — Satin White (RAL 9016) — Standard Single-Glazed (4mm Clear Float)</t>
  </si>
  <si>
    <t xml:space="preserve">ALS-SLW-0183</t>
  </si>
  <si>
    <t xml:space="preserve">Aluminium Sliding Window — 4-Pane Slider (2 Sliding + 2 Fixed) — 1209x909mm — Charcoal Grey (RAL 7016) — Standard Single-Glazed (4mm Clear Float)</t>
  </si>
  <si>
    <t xml:space="preserve">ALS-SLW-0184</t>
  </si>
  <si>
    <t xml:space="preserve">Aluminium Sliding Window — 4-Pane Slider (2 Sliding + 2 Fixed) — 1209x909mm — Bronze Anodised — Standard Single-Glazed (4mm Clear Float)</t>
  </si>
  <si>
    <t xml:space="preserve">ALS-SLW-0185</t>
  </si>
  <si>
    <t xml:space="preserve">Aluminium Sliding Window — 4-Pane Slider (2 Sliding + 2 Fixed) — 1209x909mm — Graphite Black (RAL 9005) — Standard Single-Glazed (4mm Clear Float)</t>
  </si>
  <si>
    <t xml:space="preserve">ALS-SLW-0186</t>
  </si>
  <si>
    <t xml:space="preserve">Aluminium Sliding Window — 4-Pane Slider (2 Sliding + 2 Fixed) — 1209x909mm — Natural Anodised — IGU Double-Glazed (4-12Ar-4 Low-E)</t>
  </si>
  <si>
    <t xml:space="preserve">ALS-SLW-0187</t>
  </si>
  <si>
    <t xml:space="preserve">Aluminium Sliding Window — 4-Pane Slider (2 Sliding + 2 Fixed) — 1209x909mm — Satin White (RAL 9016) — IGU Double-Glazed (4-12Ar-4 Low-E)</t>
  </si>
  <si>
    <t xml:space="preserve">ALS-SLW-0188</t>
  </si>
  <si>
    <t xml:space="preserve">Aluminium Sliding Window — 4-Pane Slider (2 Sliding + 2 Fixed) — 1209x909mm — Charcoal Grey (RAL 7016) — IGU Double-Glazed (4-12Ar-4 Low-E)</t>
  </si>
  <si>
    <t xml:space="preserve">ALS-SLW-0189</t>
  </si>
  <si>
    <t xml:space="preserve">Aluminium Sliding Window — 4-Pane Slider (2 Sliding + 2 Fixed) — 1209x909mm — Bronze Anodised — IGU Double-Glazed (4-12Ar-4 Low-E)</t>
  </si>
  <si>
    <t xml:space="preserve">ALS-SLW-0190</t>
  </si>
  <si>
    <t xml:space="preserve">Aluminium Sliding Window — 4-Pane Slider (2 Sliding + 2 Fixed) — 1209x909mm — Graphite Black (RAL 9005) — IGU Double-Glazed (4-12Ar-4 Low-E)</t>
  </si>
  <si>
    <t xml:space="preserve">ALS-SLW-0191</t>
  </si>
  <si>
    <t xml:space="preserve">Aluminium Sliding Window — 4-Pane Slider (2 Sliding + 2 Fixed) — 1809x909mm — Natural Anodised — Standard Single-Glazed (4mm Clear Float)</t>
  </si>
  <si>
    <t xml:space="preserve">ALS-SLW-0192</t>
  </si>
  <si>
    <t xml:space="preserve">Aluminium Sliding Window — 4-Pane Slider (2 Sliding + 2 Fixed) — 1809x909mm — Satin White (RAL 9016) — Standard Single-Glazed (4mm Clear Float)</t>
  </si>
  <si>
    <t xml:space="preserve">ALS-SLW-0193</t>
  </si>
  <si>
    <t xml:space="preserve">Aluminium Sliding Window — 4-Pane Slider (2 Sliding + 2 Fixed) — 1809x909mm — Charcoal Grey (RAL 7016) — Standard Single-Glazed (4mm Clear Float)</t>
  </si>
  <si>
    <t xml:space="preserve">ALS-SLW-0194</t>
  </si>
  <si>
    <t xml:space="preserve">Aluminium Sliding Window — 4-Pane Slider (2 Sliding + 2 Fixed) — 1809x909mm — Bronze Anodised — Standard Single-Glazed (4mm Clear Float)</t>
  </si>
  <si>
    <t xml:space="preserve">ALS-SLW-0195</t>
  </si>
  <si>
    <t xml:space="preserve">Aluminium Sliding Window — 4-Pane Slider (2 Sliding + 2 Fixed) — 1809x909mm — Graphite Black (RAL 9005) — Standard Single-Glazed (4mm Clear Float)</t>
  </si>
  <si>
    <t xml:space="preserve">ALS-SLW-0196</t>
  </si>
  <si>
    <t xml:space="preserve">Aluminium Sliding Window — 4-Pane Slider (2 Sliding + 2 Fixed) — 1809x909mm — Natural Anodised — IGU Double-Glazed (4-12Ar-4 Low-E)</t>
  </si>
  <si>
    <t xml:space="preserve">ALS-SLW-0197</t>
  </si>
  <si>
    <t xml:space="preserve">Aluminium Sliding Window — 4-Pane Slider (2 Sliding + 2 Fixed) — 1809x909mm — Satin White (RAL 9016) — IGU Double-Glazed (4-12Ar-4 Low-E)</t>
  </si>
  <si>
    <t xml:space="preserve">ALS-SLW-0198</t>
  </si>
  <si>
    <t xml:space="preserve">Aluminium Sliding Window — 4-Pane Slider (2 Sliding + 2 Fixed) — 1809x909mm — Charcoal Grey (RAL 7016) — IGU Double-Glazed (4-12Ar-4 Low-E)</t>
  </si>
  <si>
    <t xml:space="preserve">ALS-SLW-0199</t>
  </si>
  <si>
    <t xml:space="preserve">Aluminium Sliding Window — 4-Pane Slider (2 Sliding + 2 Fixed) — 1809x909mm — Bronze Anodised — IGU Double-Glazed (4-12Ar-4 Low-E)</t>
  </si>
  <si>
    <t xml:space="preserve">ALS-SLW-0200</t>
  </si>
  <si>
    <t xml:space="preserve">Aluminium Sliding Window — 4-Pane Slider (2 Sliding + 2 Fixed) — 1809x909mm — Graphite Black (RAL 9005) — IGU Double-Glazed (4-12Ar-4 Low-E)</t>
  </si>
  <si>
    <t xml:space="preserve">ALS-SLW-0201</t>
  </si>
  <si>
    <t xml:space="preserve">Aluminium Sliding Window — 4-Pane Slider (2 Sliding + 2 Fixed) — 1809x1209mm — Natural Anodised — Standard Single-Glazed (4mm Clear Float)</t>
  </si>
  <si>
    <t xml:space="preserve">ALS-SLW-0202</t>
  </si>
  <si>
    <t xml:space="preserve">Aluminium Sliding Window — 4-Pane Slider (2 Sliding + 2 Fixed) — 1809x1209mm — Satin White (RAL 9016) — Standard Single-Glazed (4mm Clear Float)</t>
  </si>
  <si>
    <t xml:space="preserve">ALS-SLW-0203</t>
  </si>
  <si>
    <t xml:space="preserve">Aluminium Sliding Window — 4-Pane Slider (2 Sliding + 2 Fixed) — 1809x1209mm — Charcoal Grey (RAL 7016) — Standard Single-Glazed (4mm Clear Float)</t>
  </si>
  <si>
    <t xml:space="preserve">ALS-SLW-0204</t>
  </si>
  <si>
    <t xml:space="preserve">Aluminium Sliding Window — 4-Pane Slider (2 Sliding + 2 Fixed) — 1809x1209mm — Bronze Anodised — Standard Single-Glazed (4mm Clear Float)</t>
  </si>
  <si>
    <t xml:space="preserve">ALS-SLW-0205</t>
  </si>
  <si>
    <t xml:space="preserve">Aluminium Sliding Window — 4-Pane Slider (2 Sliding + 2 Fixed) — 1809x1209mm — Graphite Black (RAL 9005) — Standard Single-Glazed (4mm Clear Float)</t>
  </si>
  <si>
    <t xml:space="preserve">ALS-SLW-0206</t>
  </si>
  <si>
    <t xml:space="preserve">Aluminium Sliding Window — 4-Pane Slider (2 Sliding + 2 Fixed) — 1809x1209mm — Natural Anodised — IGU Double-Glazed (4-12Ar-4 Low-E)</t>
  </si>
  <si>
    <t xml:space="preserve">ALS-SLW-0207</t>
  </si>
  <si>
    <t xml:space="preserve">Aluminium Sliding Window — 4-Pane Slider (2 Sliding + 2 Fixed) — 1809x1209mm — Satin White (RAL 9016) — IGU Double-Glazed (4-12Ar-4 Low-E)</t>
  </si>
  <si>
    <t xml:space="preserve">ALS-SLW-0208</t>
  </si>
  <si>
    <t xml:space="preserve">Aluminium Sliding Window — 4-Pane Slider (2 Sliding + 2 Fixed) — 1809x1209mm — Charcoal Grey (RAL 7016) — IGU Double-Glazed (4-12Ar-4 Low-E)</t>
  </si>
  <si>
    <t xml:space="preserve">ALS-SLW-0209</t>
  </si>
  <si>
    <t xml:space="preserve">Aluminium Sliding Window — 4-Pane Slider (2 Sliding + 2 Fixed) — 1809x1209mm — Bronze Anodised — IGU Double-Glazed (4-12Ar-4 Low-E)</t>
  </si>
  <si>
    <t xml:space="preserve">ALS-SLW-0210</t>
  </si>
  <si>
    <t xml:space="preserve">Aluminium Sliding Window — 4-Pane Slider (2 Sliding + 2 Fixed) — 1809x1209mm — Graphite Black (RAL 9005) — IGU Double-Glazed (4-12Ar-4 Low-E)</t>
  </si>
  <si>
    <t xml:space="preserve">ALS-SLW-0211</t>
  </si>
  <si>
    <t xml:space="preserve">Aluminium Sliding Window — 4-Pane Slider (2 Sliding + 2 Fixed) — 2409x1209mm — Natural Anodised — Standard Single-Glazed (4mm Clear Float)</t>
  </si>
  <si>
    <t xml:space="preserve">ALS-SLW-0212</t>
  </si>
  <si>
    <t xml:space="preserve">Aluminium Sliding Window — 4-Pane Slider (2 Sliding + 2 Fixed) — 2409x1209mm — Satin White (RAL 9016) — Standard Single-Glazed (4mm Clear Float)</t>
  </si>
  <si>
    <t xml:space="preserve">ALS-SLW-0213</t>
  </si>
  <si>
    <t xml:space="preserve">Aluminium Sliding Window — 4-Pane Slider (2 Sliding + 2 Fixed) — 2409x1209mm — Charcoal Grey (RAL 7016) — Standard Single-Glazed (4mm Clear Float)</t>
  </si>
  <si>
    <t xml:space="preserve">ALS-SLW-0214</t>
  </si>
  <si>
    <t xml:space="preserve">Aluminium Sliding Window — 4-Pane Slider (2 Sliding + 2 Fixed) — 2409x1209mm — Bronze Anodised — Standard Single-Glazed (4mm Clear Float)</t>
  </si>
  <si>
    <t xml:space="preserve">ALS-SLW-0215</t>
  </si>
  <si>
    <t xml:space="preserve">Aluminium Sliding Window — 4-Pane Slider (2 Sliding + 2 Fixed) — 2409x1209mm — Graphite Black (RAL 9005) — Standard Single-Glazed (4mm Clear Float)</t>
  </si>
  <si>
    <t xml:space="preserve">ALS-SLW-0216</t>
  </si>
  <si>
    <t xml:space="preserve">Aluminium Sliding Window — 4-Pane Slider (2 Sliding + 2 Fixed) — 2409x1209mm — Natural Anodised — IGU Double-Glazed (4-12Ar-4 Low-E)</t>
  </si>
  <si>
    <t xml:space="preserve">ALS-SLW-0217</t>
  </si>
  <si>
    <t xml:space="preserve">Aluminium Sliding Window — 4-Pane Slider (2 Sliding + 2 Fixed) — 2409x1209mm — Satin White (RAL 9016) — IGU Double-Glazed (4-12Ar-4 Low-E)</t>
  </si>
  <si>
    <t xml:space="preserve">ALS-SLW-0218</t>
  </si>
  <si>
    <t xml:space="preserve">Aluminium Sliding Window — 4-Pane Slider (2 Sliding + 2 Fixed) — 2409x1209mm — Charcoal Grey (RAL 7016) — IGU Double-Glazed (4-12Ar-4 Low-E)</t>
  </si>
  <si>
    <t xml:space="preserve">ALS-SLW-0219</t>
  </si>
  <si>
    <t xml:space="preserve">Aluminium Sliding Window — 4-Pane Slider (2 Sliding + 2 Fixed) — 2409x1209mm — Bronze Anodised — IGU Double-Glazed (4-12Ar-4 Low-E)</t>
  </si>
  <si>
    <t xml:space="preserve">ALS-SLW-0220</t>
  </si>
  <si>
    <t xml:space="preserve">Aluminium Sliding Window — 4-Pane Slider (2 Sliding + 2 Fixed) — 2409x1209mm — Graphite Black (RAL 9005) — IGU Double-Glazed (4-12Ar-4 Low-E)</t>
  </si>
  <si>
    <t xml:space="preserve">ALS-SLW-0221</t>
  </si>
  <si>
    <t xml:space="preserve">Aluminium Sliding Window — 4-Pane Slider (2 Sliding + 2 Fixed) — 2409x1509mm — Natural Anodised — Standard Single-Glazed (4mm Clear Float)</t>
  </si>
  <si>
    <t xml:space="preserve">ALS-SLW-0222</t>
  </si>
  <si>
    <t xml:space="preserve">Aluminium Sliding Window — 4-Pane Slider (2 Sliding + 2 Fixed) — 2409x1509mm — Satin White (RAL 9016) — Standard Single-Glazed (4mm Clear Float)</t>
  </si>
  <si>
    <t xml:space="preserve">ALS-SLW-0223</t>
  </si>
  <si>
    <t xml:space="preserve">Aluminium Sliding Window — 4-Pane Slider (2 Sliding + 2 Fixed) — 2409x1509mm — Charcoal Grey (RAL 7016) — Standard Single-Glazed (4mm Clear Float)</t>
  </si>
  <si>
    <t xml:space="preserve">ALS-SLW-0224</t>
  </si>
  <si>
    <t xml:space="preserve">Aluminium Sliding Window — 4-Pane Slider (2 Sliding + 2 Fixed) — 2409x1509mm — Bronze Anodised — Standard Single-Glazed (4mm Clear Float)</t>
  </si>
  <si>
    <t xml:space="preserve">ALS-SLW-0225</t>
  </si>
  <si>
    <t xml:space="preserve">Aluminium Sliding Window — 4-Pane Slider (2 Sliding + 2 Fixed) — 2409x1509mm — Graphite Black (RAL 9005) — Standard Single-Glazed (4mm Clear Float)</t>
  </si>
  <si>
    <t xml:space="preserve">ALS-SLW-0226</t>
  </si>
  <si>
    <t xml:space="preserve">Aluminium Sliding Window — 4-Pane Slider (2 Sliding + 2 Fixed) — 2409x1509mm — Natural Anodised — IGU Double-Glazed (4-12Ar-4 Low-E)</t>
  </si>
  <si>
    <t xml:space="preserve">ALS-SLW-0227</t>
  </si>
  <si>
    <t xml:space="preserve">Aluminium Sliding Window — 4-Pane Slider (2 Sliding + 2 Fixed) — 2409x1509mm — Satin White (RAL 9016) — IGU Double-Glazed (4-12Ar-4 Low-E)</t>
  </si>
  <si>
    <t xml:space="preserve">ALS-SLW-0228</t>
  </si>
  <si>
    <t xml:space="preserve">Aluminium Sliding Window — 4-Pane Slider (2 Sliding + 2 Fixed) — 2409x1509mm — Charcoal Grey (RAL 7016) — IGU Double-Glazed (4-12Ar-4 Low-E)</t>
  </si>
  <si>
    <t xml:space="preserve">ALS-SLW-0229</t>
  </si>
  <si>
    <t xml:space="preserve">Aluminium Sliding Window — 4-Pane Slider (2 Sliding + 2 Fixed) — 2409x1509mm — Bronze Anodised — IGU Double-Glazed (4-12Ar-4 Low-E)</t>
  </si>
  <si>
    <t xml:space="preserve">ALS-SLW-0230</t>
  </si>
  <si>
    <t xml:space="preserve">Aluminium Sliding Window — 4-Pane Slider (2 Sliding + 2 Fixed) — 2409x1509mm — Graphite Black (RAL 9005) — IGU Double-Glazed (4-12Ar-4 Low-E)</t>
  </si>
  <si>
    <t xml:space="preserve">ALS-SLW-0231</t>
  </si>
  <si>
    <t xml:space="preserve">Aluminium Sliding Window — 4-Pane Slider (2 Sliding + 2 Fixed) — 3009x1509mm — Natural Anodised — Standard Single-Glazed (4mm Clear Float)</t>
  </si>
  <si>
    <t xml:space="preserve">ALS-SLW-0232</t>
  </si>
  <si>
    <t xml:space="preserve">Aluminium Sliding Window — 4-Pane Slider (2 Sliding + 2 Fixed) — 3009x1509mm — Satin White (RAL 9016) — Standard Single-Glazed (4mm Clear Float)</t>
  </si>
  <si>
    <t xml:space="preserve">ALS-SLW-0233</t>
  </si>
  <si>
    <t xml:space="preserve">Aluminium Sliding Window — 4-Pane Slider (2 Sliding + 2 Fixed) — 3009x1509mm — Charcoal Grey (RAL 7016) — Standard Single-Glazed (4mm Clear Float)</t>
  </si>
  <si>
    <t xml:space="preserve">ALS-SLW-0234</t>
  </si>
  <si>
    <t xml:space="preserve">Aluminium Sliding Window — 4-Pane Slider (2 Sliding + 2 Fixed) — 3009x1509mm — Bronze Anodised — Standard Single-Glazed (4mm Clear Float)</t>
  </si>
  <si>
    <t xml:space="preserve">ALS-SLW-0235</t>
  </si>
  <si>
    <t xml:space="preserve">Aluminium Sliding Window — 4-Pane Slider (2 Sliding + 2 Fixed) — 3009x1509mm — Graphite Black (RAL 9005) — Standard Single-Glazed (4mm Clear Float)</t>
  </si>
  <si>
    <t xml:space="preserve">ALS-SLW-0236</t>
  </si>
  <si>
    <t xml:space="preserve">Aluminium Sliding Window — 4-Pane Slider (2 Sliding + 2 Fixed) — 3009x1509mm — Natural Anodised — IGU Double-Glazed (4-12Ar-4 Low-E)</t>
  </si>
  <si>
    <t xml:space="preserve">ALS-SLW-0237</t>
  </si>
  <si>
    <t xml:space="preserve">Aluminium Sliding Window — 4-Pane Slider (2 Sliding + 2 Fixed) — 3009x1509mm — Satin White (RAL 9016) — IGU Double-Glazed (4-12Ar-4 Low-E)</t>
  </si>
  <si>
    <t xml:space="preserve">ALS-SLW-0238</t>
  </si>
  <si>
    <t xml:space="preserve">Aluminium Sliding Window — 4-Pane Slider (2 Sliding + 2 Fixed) — 3009x1509mm — Charcoal Grey (RAL 7016) — IGU Double-Glazed (4-12Ar-4 Low-E)</t>
  </si>
  <si>
    <t xml:space="preserve">ALS-SLW-0239</t>
  </si>
  <si>
    <t xml:space="preserve">Aluminium Sliding Window — 4-Pane Slider (2 Sliding + 2 Fixed) — 3009x1509mm — Bronze Anodised — IGU Double-Glazed (4-12Ar-4 Low-E)</t>
  </si>
  <si>
    <t xml:space="preserve">ALS-SLW-0240</t>
  </si>
  <si>
    <t xml:space="preserve">Aluminium Sliding Window — 4-Pane Slider (2 Sliding + 2 Fixed) — 3009x1509mm — Graphite Black (RAL 9005) — IGU Double-Glazed (4-12Ar-4 Low-E)</t>
  </si>
  <si>
    <t xml:space="preserve">ALS-CMW-0001</t>
  </si>
  <si>
    <t xml:space="preserve">Aluminium Casement Window — Single Sash Side-Hung — 609x909mm — Natural Anodised — Standard Single-Glazed (4mm Clear Float)</t>
  </si>
  <si>
    <t xml:space="preserve">Single Sash Side-Hung</t>
  </si>
  <si>
    <t xml:space="preserve">609x909mm</t>
  </si>
  <si>
    <t xml:space="preserve">Residential/Institutional</t>
  </si>
  <si>
    <t xml:space="preserve">ALS-CMW-0002</t>
  </si>
  <si>
    <t xml:space="preserve">Aluminium Casement Window — Single Sash Side-Hung — 609x909mm — Satin White (RAL 9016) — Standard Single-Glazed (4mm Clear Float)</t>
  </si>
  <si>
    <t xml:space="preserve">ALS-CMW-0003</t>
  </si>
  <si>
    <t xml:space="preserve">Aluminium Casement Window — Single Sash Side-Hung — 609x909mm — Charcoal Grey (RAL 7016) — Standard Single-Glazed (4mm Clear Float)</t>
  </si>
  <si>
    <t xml:space="preserve">ALS-CMW-0004</t>
  </si>
  <si>
    <t xml:space="preserve">Aluminium Casement Window — Single Sash Side-Hung — 609x909mm — Bronze Anodised — Standard Single-Glazed (4mm Clear Float)</t>
  </si>
  <si>
    <t xml:space="preserve">ALS-CMW-0005</t>
  </si>
  <si>
    <t xml:space="preserve">Aluminium Casement Window — Single Sash Side-Hung — 609x909mm — Graphite Black (RAL 9005) — Standard Single-Glazed (4mm Clear Float)</t>
  </si>
  <si>
    <t xml:space="preserve">ALS-CMW-0006</t>
  </si>
  <si>
    <t xml:space="preserve">Aluminium Casement Window — Single Sash Side-Hung — 609x909mm — Natural Anodised — IGU Double-Glazed (4-12Ar-4 Low-E)</t>
  </si>
  <si>
    <t xml:space="preserve">ALS-CMW-0007</t>
  </si>
  <si>
    <t xml:space="preserve">Aluminium Casement Window — Single Sash Side-Hung — 609x909mm — Satin White (RAL 9016) — IGU Double-Glazed (4-12Ar-4 Low-E)</t>
  </si>
  <si>
    <t xml:space="preserve">ALS-CMW-0008</t>
  </si>
  <si>
    <t xml:space="preserve">Aluminium Casement Window — Single Sash Side-Hung — 609x909mm — Charcoal Grey (RAL 7016) — IGU Double-Glazed (4-12Ar-4 Low-E)</t>
  </si>
  <si>
    <t xml:space="preserve">ALS-CMW-0009</t>
  </si>
  <si>
    <t xml:space="preserve">Aluminium Casement Window — Single Sash Side-Hung — 609x909mm — Bronze Anodised — IGU Double-Glazed (4-12Ar-4 Low-E)</t>
  </si>
  <si>
    <t xml:space="preserve">ALS-CMW-0010</t>
  </si>
  <si>
    <t xml:space="preserve">Aluminium Casement Window — Single Sash Side-Hung — 609x909mm — Graphite Black (RAL 9005) — IGU Double-Glazed (4-12Ar-4 Low-E)</t>
  </si>
  <si>
    <t xml:space="preserve">ALS-CMW-0011</t>
  </si>
  <si>
    <t xml:space="preserve">Aluminium Casement Window — Single Sash Side-Hung — 609x1209mm — Natural Anodised — Standard Single-Glazed (4mm Clear Float)</t>
  </si>
  <si>
    <t xml:space="preserve">609x1209mm</t>
  </si>
  <si>
    <t xml:space="preserve">ALS-CMW-0012</t>
  </si>
  <si>
    <t xml:space="preserve">Aluminium Casement Window — Single Sash Side-Hung — 609x1209mm — Satin White (RAL 9016) — Standard Single-Glazed (4mm Clear Float)</t>
  </si>
  <si>
    <t xml:space="preserve">ALS-CMW-0013</t>
  </si>
  <si>
    <t xml:space="preserve">Aluminium Casement Window — Single Sash Side-Hung — 609x1209mm — Charcoal Grey (RAL 7016) — Standard Single-Glazed (4mm Clear Float)</t>
  </si>
  <si>
    <t xml:space="preserve">ALS-CMW-0014</t>
  </si>
  <si>
    <t xml:space="preserve">Aluminium Casement Window — Single Sash Side-Hung — 609x1209mm — Bronze Anodised — Standard Single-Glazed (4mm Clear Float)</t>
  </si>
  <si>
    <t xml:space="preserve">ALS-CMW-0015</t>
  </si>
  <si>
    <t xml:space="preserve">Aluminium Casement Window — Single Sash Side-Hung — 609x1209mm — Graphite Black (RAL 9005) — Standard Single-Glazed (4mm Clear Float)</t>
  </si>
  <si>
    <t xml:space="preserve">ALS-CMW-0016</t>
  </si>
  <si>
    <t xml:space="preserve">Aluminium Casement Window — Single Sash Side-Hung — 609x1209mm — Natural Anodised — IGU Double-Glazed (4-12Ar-4 Low-E)</t>
  </si>
  <si>
    <t xml:space="preserve">ALS-CMW-0017</t>
  </si>
  <si>
    <t xml:space="preserve">Aluminium Casement Window — Single Sash Side-Hung — 609x1209mm — Satin White (RAL 9016) — IGU Double-Glazed (4-12Ar-4 Low-E)</t>
  </si>
  <si>
    <t xml:space="preserve">ALS-CMW-0018</t>
  </si>
  <si>
    <t xml:space="preserve">Aluminium Casement Window — Single Sash Side-Hung — 609x1209mm — Charcoal Grey (RAL 7016) — IGU Double-Glazed (4-12Ar-4 Low-E)</t>
  </si>
  <si>
    <t xml:space="preserve">ALS-CMW-0019</t>
  </si>
  <si>
    <t xml:space="preserve">Aluminium Casement Window — Single Sash Side-Hung — 609x1209mm — Bronze Anodised — IGU Double-Glazed (4-12Ar-4 Low-E)</t>
  </si>
  <si>
    <t xml:space="preserve">ALS-CMW-0020</t>
  </si>
  <si>
    <t xml:space="preserve">Aluminium Casement Window — Single Sash Side-Hung — 609x1209mm — Graphite Black (RAL 9005) — IGU Double-Glazed (4-12Ar-4 Low-E)</t>
  </si>
  <si>
    <t xml:space="preserve">ALS-CMW-0021</t>
  </si>
  <si>
    <t xml:space="preserve">Aluminium Casement Window — Single Sash Side-Hung — 909x1209mm — Natural Anodised — Standard Single-Glazed (4mm Clear Float)</t>
  </si>
  <si>
    <t xml:space="preserve">909x1209mm</t>
  </si>
  <si>
    <t xml:space="preserve">ALS-CMW-0022</t>
  </si>
  <si>
    <t xml:space="preserve">Aluminium Casement Window — Single Sash Side-Hung — 909x1209mm — Satin White (RAL 9016) — Standard Single-Glazed (4mm Clear Float)</t>
  </si>
  <si>
    <t xml:space="preserve">ALS-CMW-0023</t>
  </si>
  <si>
    <t xml:space="preserve">Aluminium Casement Window — Single Sash Side-Hung — 909x1209mm — Charcoal Grey (RAL 7016) — Standard Single-Glazed (4mm Clear Float)</t>
  </si>
  <si>
    <t xml:space="preserve">ALS-CMW-0024</t>
  </si>
  <si>
    <t xml:space="preserve">Aluminium Casement Window — Single Sash Side-Hung — 909x1209mm — Bronze Anodised — Standard Single-Glazed (4mm Clear Float)</t>
  </si>
  <si>
    <t xml:space="preserve">ALS-CMW-0025</t>
  </si>
  <si>
    <t xml:space="preserve">Aluminium Casement Window — Single Sash Side-Hung — 909x1209mm — Graphite Black (RAL 9005) — Standard Single-Glazed (4mm Clear Float)</t>
  </si>
  <si>
    <t xml:space="preserve">ALS-CMW-0026</t>
  </si>
  <si>
    <t xml:space="preserve">Aluminium Casement Window — Single Sash Side-Hung — 909x1209mm — Natural Anodised — IGU Double-Glazed (4-12Ar-4 Low-E)</t>
  </si>
  <si>
    <t xml:space="preserve">ALS-CMW-0027</t>
  </si>
  <si>
    <t xml:space="preserve">Aluminium Casement Window — Single Sash Side-Hung — 909x1209mm — Satin White (RAL 9016) — IGU Double-Glazed (4-12Ar-4 Low-E)</t>
  </si>
  <si>
    <t xml:space="preserve">ALS-CMW-0028</t>
  </si>
  <si>
    <t xml:space="preserve">Aluminium Casement Window — Single Sash Side-Hung — 909x1209mm — Charcoal Grey (RAL 7016) — IGU Double-Glazed (4-12Ar-4 Low-E)</t>
  </si>
  <si>
    <t xml:space="preserve">ALS-CMW-0029</t>
  </si>
  <si>
    <t xml:space="preserve">Aluminium Casement Window — Single Sash Side-Hung — 909x1209mm — Bronze Anodised — IGU Double-Glazed (4-12Ar-4 Low-E)</t>
  </si>
  <si>
    <t xml:space="preserve">ALS-CMW-0030</t>
  </si>
  <si>
    <t xml:space="preserve">Aluminium Casement Window — Single Sash Side-Hung — 909x1209mm — Graphite Black (RAL 9005) — IGU Double-Glazed (4-12Ar-4 Low-E)</t>
  </si>
  <si>
    <t xml:space="preserve">ALS-CMW-0031</t>
  </si>
  <si>
    <t xml:space="preserve">Aluminium Casement Window — Single Sash Side-Hung — 1209x1209mm — Natural Anodised — Standard Single-Glazed (4mm Clear Float)</t>
  </si>
  <si>
    <t xml:space="preserve">1209x1209mm</t>
  </si>
  <si>
    <t xml:space="preserve">ALS-CMW-0032</t>
  </si>
  <si>
    <t xml:space="preserve">Aluminium Casement Window — Single Sash Side-Hung — 1209x1209mm — Satin White (RAL 9016) — Standard Single-Glazed (4mm Clear Float)</t>
  </si>
  <si>
    <t xml:space="preserve">ALS-CMW-0033</t>
  </si>
  <si>
    <t xml:space="preserve">Aluminium Casement Window — Single Sash Side-Hung — 1209x1209mm — Charcoal Grey (RAL 7016) — Standard Single-Glazed (4mm Clear Float)</t>
  </si>
  <si>
    <t xml:space="preserve">ALS-CMW-0034</t>
  </si>
  <si>
    <t xml:space="preserve">Aluminium Casement Window — Single Sash Side-Hung — 1209x1209mm — Bronze Anodised — Standard Single-Glazed (4mm Clear Float)</t>
  </si>
  <si>
    <t xml:space="preserve">ALS-CMW-0035</t>
  </si>
  <si>
    <t xml:space="preserve">Aluminium Casement Window — Single Sash Side-Hung — 1209x1209mm — Graphite Black (RAL 9005) — Standard Single-Glazed (4mm Clear Float)</t>
  </si>
  <si>
    <t xml:space="preserve">ALS-CMW-0036</t>
  </si>
  <si>
    <t xml:space="preserve">Aluminium Casement Window — Single Sash Side-Hung — 1209x1209mm — Natural Anodised — IGU Double-Glazed (4-12Ar-4 Low-E)</t>
  </si>
  <si>
    <t xml:space="preserve">ALS-CMW-0037</t>
  </si>
  <si>
    <t xml:space="preserve">Aluminium Casement Window — Single Sash Side-Hung — 1209x1209mm — Satin White (RAL 9016) — IGU Double-Glazed (4-12Ar-4 Low-E)</t>
  </si>
  <si>
    <t xml:space="preserve">ALS-CMW-0038</t>
  </si>
  <si>
    <t xml:space="preserve">Aluminium Casement Window — Single Sash Side-Hung — 1209x1209mm — Charcoal Grey (RAL 7016) — IGU Double-Glazed (4-12Ar-4 Low-E)</t>
  </si>
  <si>
    <t xml:space="preserve">ALS-CMW-0039</t>
  </si>
  <si>
    <t xml:space="preserve">Aluminium Casement Window — Single Sash Side-Hung — 1209x1209mm — Bronze Anodised — IGU Double-Glazed (4-12Ar-4 Low-E)</t>
  </si>
  <si>
    <t xml:space="preserve">ALS-CMW-0040</t>
  </si>
  <si>
    <t xml:space="preserve">Aluminium Casement Window — Single Sash Side-Hung — 1209x1209mm — Graphite Black (RAL 9005) — IGU Double-Glazed (4-12Ar-4 Low-E)</t>
  </si>
  <si>
    <t xml:space="preserve">ALS-CMW-0041</t>
  </si>
  <si>
    <t xml:space="preserve">Aluminium Casement Window — Single Sash Side-Hung — 1209x1509mm — Natural Anodised — Standard Single-Glazed (4mm Clear Float)</t>
  </si>
  <si>
    <t xml:space="preserve">1209x1509mm</t>
  </si>
  <si>
    <t xml:space="preserve">ALS-CMW-0042</t>
  </si>
  <si>
    <t xml:space="preserve">Aluminium Casement Window — Single Sash Side-Hung — 1209x1509mm — Satin White (RAL 9016) — Standard Single-Glazed (4mm Clear Float)</t>
  </si>
  <si>
    <t xml:space="preserve">ALS-CMW-0043</t>
  </si>
  <si>
    <t xml:space="preserve">Aluminium Casement Window — Single Sash Side-Hung — 1209x1509mm — Charcoal Grey (RAL 7016) — Standard Single-Glazed (4mm Clear Float)</t>
  </si>
  <si>
    <t xml:space="preserve">ALS-CMW-0044</t>
  </si>
  <si>
    <t xml:space="preserve">Aluminium Casement Window — Single Sash Side-Hung — 1209x1509mm — Bronze Anodised — Standard Single-Glazed (4mm Clear Float)</t>
  </si>
  <si>
    <t xml:space="preserve">ALS-CMW-0045</t>
  </si>
  <si>
    <t xml:space="preserve">Aluminium Casement Window — Single Sash Side-Hung — 1209x1509mm — Graphite Black (RAL 9005) — Standard Single-Glazed (4mm Clear Float)</t>
  </si>
  <si>
    <t xml:space="preserve">ALS-CMW-0046</t>
  </si>
  <si>
    <t xml:space="preserve">Aluminium Casement Window — Single Sash Side-Hung — 1209x1509mm — Natural Anodised — IGU Double-Glazed (4-12Ar-4 Low-E)</t>
  </si>
  <si>
    <t xml:space="preserve">ALS-CMW-0047</t>
  </si>
  <si>
    <t xml:space="preserve">Aluminium Casement Window — Single Sash Side-Hung — 1209x1509mm — Satin White (RAL 9016) — IGU Double-Glazed (4-12Ar-4 Low-E)</t>
  </si>
  <si>
    <t xml:space="preserve">ALS-CMW-0048</t>
  </si>
  <si>
    <t xml:space="preserve">Aluminium Casement Window — Single Sash Side-Hung — 1209x1509mm — Charcoal Grey (RAL 7016) — IGU Double-Glazed (4-12Ar-4 Low-E)</t>
  </si>
  <si>
    <t xml:space="preserve">ALS-CMW-0049</t>
  </si>
  <si>
    <t xml:space="preserve">Aluminium Casement Window — Single Sash Side-Hung — 1209x1509mm — Bronze Anodised — IGU Double-Glazed (4-12Ar-4 Low-E)</t>
  </si>
  <si>
    <t xml:space="preserve">ALS-CMW-0050</t>
  </si>
  <si>
    <t xml:space="preserve">Aluminium Casement Window — Single Sash Side-Hung — 1209x1509mm — Graphite Black (RAL 9005) — IGU Double-Glazed (4-12Ar-4 Low-E)</t>
  </si>
  <si>
    <t xml:space="preserve">ALS-CMW-0051</t>
  </si>
  <si>
    <t xml:space="preserve">Aluminium Casement Window — Single Sash Side-Hung — 1809x1209mm — Natural Anodised — Standard Single-Glazed (4mm Clear Float)</t>
  </si>
  <si>
    <t xml:space="preserve">ALS-CMW-0052</t>
  </si>
  <si>
    <t xml:space="preserve">Aluminium Casement Window — Single Sash Side-Hung — 1809x1209mm — Satin White (RAL 9016) — Standard Single-Glazed (4mm Clear Float)</t>
  </si>
  <si>
    <t xml:space="preserve">ALS-CMW-0053</t>
  </si>
  <si>
    <t xml:space="preserve">Aluminium Casement Window — Single Sash Side-Hung — 1809x1209mm — Charcoal Grey (RAL 7016) — Standard Single-Glazed (4mm Clear Float)</t>
  </si>
  <si>
    <t xml:space="preserve">ALS-CMW-0054</t>
  </si>
  <si>
    <t xml:space="preserve">Aluminium Casement Window — Single Sash Side-Hung — 1809x1209mm — Bronze Anodised — Standard Single-Glazed (4mm Clear Float)</t>
  </si>
  <si>
    <t xml:space="preserve">ALS-CMW-0055</t>
  </si>
  <si>
    <t xml:space="preserve">Aluminium Casement Window — Single Sash Side-Hung — 1809x1209mm — Graphite Black (RAL 9005) — Standard Single-Glazed (4mm Clear Float)</t>
  </si>
  <si>
    <t xml:space="preserve">ALS-CMW-0056</t>
  </si>
  <si>
    <t xml:space="preserve">Aluminium Casement Window — Single Sash Side-Hung — 1809x1209mm — Natural Anodised — IGU Double-Glazed (4-12Ar-4 Low-E)</t>
  </si>
  <si>
    <t xml:space="preserve">ALS-CMW-0057</t>
  </si>
  <si>
    <t xml:space="preserve">Aluminium Casement Window — Single Sash Side-Hung — 1809x1209mm — Satin White (RAL 9016) — IGU Double-Glazed (4-12Ar-4 Low-E)</t>
  </si>
  <si>
    <t xml:space="preserve">ALS-CMW-0058</t>
  </si>
  <si>
    <t xml:space="preserve">Aluminium Casement Window — Single Sash Side-Hung — 1809x1209mm — Charcoal Grey (RAL 7016) — IGU Double-Glazed (4-12Ar-4 Low-E)</t>
  </si>
  <si>
    <t xml:space="preserve">ALS-CMW-0059</t>
  </si>
  <si>
    <t xml:space="preserve">Aluminium Casement Window — Single Sash Side-Hung — 1809x1209mm — Bronze Anodised — IGU Double-Glazed (4-12Ar-4 Low-E)</t>
  </si>
  <si>
    <t xml:space="preserve">ALS-CMW-0060</t>
  </si>
  <si>
    <t xml:space="preserve">Aluminium Casement Window — Single Sash Side-Hung — 1809x1209mm — Graphite Black (RAL 9005) — IGU Double-Glazed (4-12Ar-4 Low-E)</t>
  </si>
  <si>
    <t xml:space="preserve">ALS-CMW-0061</t>
  </si>
  <si>
    <t xml:space="preserve">Aluminium Casement Window — Single Sash Side-Hung — 1809x1509mm — Natural Anodised — Standard Single-Glazed (4mm Clear Float)</t>
  </si>
  <si>
    <t xml:space="preserve">1809x1509mm</t>
  </si>
  <si>
    <t xml:space="preserve">ALS-CMW-0062</t>
  </si>
  <si>
    <t xml:space="preserve">Aluminium Casement Window — Single Sash Side-Hung — 1809x1509mm — Satin White (RAL 9016) — Standard Single-Glazed (4mm Clear Float)</t>
  </si>
  <si>
    <t xml:space="preserve">ALS-CMW-0063</t>
  </si>
  <si>
    <t xml:space="preserve">Aluminium Casement Window — Single Sash Side-Hung — 1809x1509mm — Charcoal Grey (RAL 7016) — Standard Single-Glazed (4mm Clear Float)</t>
  </si>
  <si>
    <t xml:space="preserve">ALS-CMW-0064</t>
  </si>
  <si>
    <t xml:space="preserve">Aluminium Casement Window — Single Sash Side-Hung — 1809x1509mm — Bronze Anodised — Standard Single-Glazed (4mm Clear Float)</t>
  </si>
  <si>
    <t xml:space="preserve">ALS-CMW-0065</t>
  </si>
  <si>
    <t xml:space="preserve">Aluminium Casement Window — Single Sash Side-Hung — 1809x1509mm — Graphite Black (RAL 9005) — Standard Single-Glazed (4mm Clear Float)</t>
  </si>
  <si>
    <t xml:space="preserve">ALS-CMW-0066</t>
  </si>
  <si>
    <t xml:space="preserve">Aluminium Casement Window — Single Sash Side-Hung — 1809x1509mm — Natural Anodised — IGU Double-Glazed (4-12Ar-4 Low-E)</t>
  </si>
  <si>
    <t xml:space="preserve">ALS-CMW-0067</t>
  </si>
  <si>
    <t xml:space="preserve">Aluminium Casement Window — Single Sash Side-Hung — 1809x1509mm — Satin White (RAL 9016) — IGU Double-Glazed (4-12Ar-4 Low-E)</t>
  </si>
  <si>
    <t xml:space="preserve">ALS-CMW-0068</t>
  </si>
  <si>
    <t xml:space="preserve">Aluminium Casement Window — Single Sash Side-Hung — 1809x1509mm — Charcoal Grey (RAL 7016) — IGU Double-Glazed (4-12Ar-4 Low-E)</t>
  </si>
  <si>
    <t xml:space="preserve">ALS-CMW-0069</t>
  </si>
  <si>
    <t xml:space="preserve">Aluminium Casement Window — Single Sash Side-Hung — 1809x1509mm — Bronze Anodised — IGU Double-Glazed (4-12Ar-4 Low-E)</t>
  </si>
  <si>
    <t xml:space="preserve">ALS-CMW-0070</t>
  </si>
  <si>
    <t xml:space="preserve">Aluminium Casement Window — Single Sash Side-Hung — 1809x1509mm — Graphite Black (RAL 9005) — IGU Double-Glazed (4-12Ar-4 Low-E)</t>
  </si>
  <si>
    <t xml:space="preserve">ALS-CMW-0071</t>
  </si>
  <si>
    <t xml:space="preserve">Aluminium Casement Window — Single Sash Side-Hung — 2409x1509mm — Natural Anodised — Standard Single-Glazed (4mm Clear Float)</t>
  </si>
  <si>
    <t xml:space="preserve">ALS-CMW-0072</t>
  </si>
  <si>
    <t xml:space="preserve">Aluminium Casement Window — Single Sash Side-Hung — 2409x1509mm — Satin White (RAL 9016) — Standard Single-Glazed (4mm Clear Float)</t>
  </si>
  <si>
    <t xml:space="preserve">ALS-CMW-0073</t>
  </si>
  <si>
    <t xml:space="preserve">Aluminium Casement Window — Single Sash Side-Hung — 2409x1509mm — Charcoal Grey (RAL 7016) — Standard Single-Glazed (4mm Clear Float)</t>
  </si>
  <si>
    <t xml:space="preserve">ALS-CMW-0074</t>
  </si>
  <si>
    <t xml:space="preserve">Aluminium Casement Window — Single Sash Side-Hung — 2409x1509mm — Bronze Anodised — Standard Single-Glazed (4mm Clear Float)</t>
  </si>
  <si>
    <t xml:space="preserve">ALS-CMW-0075</t>
  </si>
  <si>
    <t xml:space="preserve">Aluminium Casement Window — Single Sash Side-Hung — 2409x1509mm — Graphite Black (RAL 9005) — Standard Single-Glazed (4mm Clear Float)</t>
  </si>
  <si>
    <t xml:space="preserve">ALS-CMW-0076</t>
  </si>
  <si>
    <t xml:space="preserve">Aluminium Casement Window — Single Sash Side-Hung — 2409x1509mm — Natural Anodised — IGU Double-Glazed (4-12Ar-4 Low-E)</t>
  </si>
  <si>
    <t xml:space="preserve">ALS-CMW-0077</t>
  </si>
  <si>
    <t xml:space="preserve">Aluminium Casement Window — Single Sash Side-Hung — 2409x1509mm — Satin White (RAL 9016) — IGU Double-Glazed (4-12Ar-4 Low-E)</t>
  </si>
  <si>
    <t xml:space="preserve">ALS-CMW-0078</t>
  </si>
  <si>
    <t xml:space="preserve">Aluminium Casement Window — Single Sash Side-Hung — 2409x1509mm — Charcoal Grey (RAL 7016) — IGU Double-Glazed (4-12Ar-4 Low-E)</t>
  </si>
  <si>
    <t xml:space="preserve">ALS-CMW-0079</t>
  </si>
  <si>
    <t xml:space="preserve">Aluminium Casement Window — Single Sash Side-Hung — 2409x1509mm — Bronze Anodised — IGU Double-Glazed (4-12Ar-4 Low-E)</t>
  </si>
  <si>
    <t xml:space="preserve">ALS-CMW-0080</t>
  </si>
  <si>
    <t xml:space="preserve">Aluminium Casement Window — Single Sash Side-Hung — 2409x1509mm — Graphite Black (RAL 9005) — IGU Double-Glazed (4-12Ar-4 Low-E)</t>
  </si>
  <si>
    <t xml:space="preserve">ALS-CMW-0081</t>
  </si>
  <si>
    <t xml:space="preserve">Aluminium Casement Window — Double Sash Side-Hung — 609x909mm — Natural Anodised — Standard Single-Glazed (4mm Clear Float)</t>
  </si>
  <si>
    <t xml:space="preserve">Double Sash Side-Hung</t>
  </si>
  <si>
    <t xml:space="preserve">ALS-CMW-0082</t>
  </si>
  <si>
    <t xml:space="preserve">Aluminium Casement Window — Double Sash Side-Hung — 609x909mm — Satin White (RAL 9016) — Standard Single-Glazed (4mm Clear Float)</t>
  </si>
  <si>
    <t xml:space="preserve">ALS-CMW-0083</t>
  </si>
  <si>
    <t xml:space="preserve">Aluminium Casement Window — Double Sash Side-Hung — 609x909mm — Charcoal Grey (RAL 7016) — Standard Single-Glazed (4mm Clear Float)</t>
  </si>
  <si>
    <t xml:space="preserve">ALS-CMW-0084</t>
  </si>
  <si>
    <t xml:space="preserve">Aluminium Casement Window — Double Sash Side-Hung — 609x909mm — Bronze Anodised — Standard Single-Glazed (4mm Clear Float)</t>
  </si>
  <si>
    <t xml:space="preserve">ALS-CMW-0085</t>
  </si>
  <si>
    <t xml:space="preserve">Aluminium Casement Window — Double Sash Side-Hung — 609x909mm — Graphite Black (RAL 9005) — Standard Single-Glazed (4mm Clear Float)</t>
  </si>
  <si>
    <t xml:space="preserve">ALS-CMW-0086</t>
  </si>
  <si>
    <t xml:space="preserve">Aluminium Casement Window — Double Sash Side-Hung — 609x909mm — Natural Anodised — IGU Double-Glazed (4-12Ar-4 Low-E)</t>
  </si>
  <si>
    <t xml:space="preserve">ALS-CMW-0087</t>
  </si>
  <si>
    <t xml:space="preserve">Aluminium Casement Window — Double Sash Side-Hung — 609x909mm — Satin White (RAL 9016) — IGU Double-Glazed (4-12Ar-4 Low-E)</t>
  </si>
  <si>
    <t xml:space="preserve">ALS-CMW-0088</t>
  </si>
  <si>
    <t xml:space="preserve">Aluminium Casement Window — Double Sash Side-Hung — 609x909mm — Charcoal Grey (RAL 7016) — IGU Double-Glazed (4-12Ar-4 Low-E)</t>
  </si>
  <si>
    <t xml:space="preserve">ALS-CMW-0089</t>
  </si>
  <si>
    <t xml:space="preserve">Aluminium Casement Window — Double Sash Side-Hung — 609x909mm — Bronze Anodised — IGU Double-Glazed (4-12Ar-4 Low-E)</t>
  </si>
  <si>
    <t xml:space="preserve">ALS-CMW-0090</t>
  </si>
  <si>
    <t xml:space="preserve">Aluminium Casement Window — Double Sash Side-Hung — 609x909mm — Graphite Black (RAL 9005) — IGU Double-Glazed (4-12Ar-4 Low-E)</t>
  </si>
  <si>
    <t xml:space="preserve">ALS-CMW-0091</t>
  </si>
  <si>
    <t xml:space="preserve">Aluminium Casement Window — Double Sash Side-Hung — 609x1209mm — Natural Anodised — Standard Single-Glazed (4mm Clear Float)</t>
  </si>
  <si>
    <t xml:space="preserve">ALS-CMW-0092</t>
  </si>
  <si>
    <t xml:space="preserve">Aluminium Casement Window — Double Sash Side-Hung — 609x1209mm — Satin White (RAL 9016) — Standard Single-Glazed (4mm Clear Float)</t>
  </si>
  <si>
    <t xml:space="preserve">ALS-CMW-0093</t>
  </si>
  <si>
    <t xml:space="preserve">Aluminium Casement Window — Double Sash Side-Hung — 609x1209mm — Charcoal Grey (RAL 7016) — Standard Single-Glazed (4mm Clear Float)</t>
  </si>
  <si>
    <t xml:space="preserve">ALS-CMW-0094</t>
  </si>
  <si>
    <t xml:space="preserve">Aluminium Casement Window — Double Sash Side-Hung — 609x1209mm — Bronze Anodised — Standard Single-Glazed (4mm Clear Float)</t>
  </si>
  <si>
    <t xml:space="preserve">ALS-CMW-0095</t>
  </si>
  <si>
    <t xml:space="preserve">Aluminium Casement Window — Double Sash Side-Hung — 609x1209mm — Graphite Black (RAL 9005) — Standard Single-Glazed (4mm Clear Float)</t>
  </si>
  <si>
    <t xml:space="preserve">ALS-CMW-0096</t>
  </si>
  <si>
    <t xml:space="preserve">Aluminium Casement Window — Double Sash Side-Hung — 609x1209mm — Natural Anodised — IGU Double-Glazed (4-12Ar-4 Low-E)</t>
  </si>
  <si>
    <t xml:space="preserve">ALS-CMW-0097</t>
  </si>
  <si>
    <t xml:space="preserve">Aluminium Casement Window — Double Sash Side-Hung — 609x1209mm — Satin White (RAL 9016) — IGU Double-Glazed (4-12Ar-4 Low-E)</t>
  </si>
  <si>
    <t xml:space="preserve">ALS-CMW-0098</t>
  </si>
  <si>
    <t xml:space="preserve">Aluminium Casement Window — Double Sash Side-Hung — 609x1209mm — Charcoal Grey (RAL 7016) — IGU Double-Glazed (4-12Ar-4 Low-E)</t>
  </si>
  <si>
    <t xml:space="preserve">ALS-CMW-0099</t>
  </si>
  <si>
    <t xml:space="preserve">Aluminium Casement Window — Double Sash Side-Hung — 609x1209mm — Bronze Anodised — IGU Double-Glazed (4-12Ar-4 Low-E)</t>
  </si>
  <si>
    <t xml:space="preserve">ALS-CMW-0100</t>
  </si>
  <si>
    <t xml:space="preserve">Aluminium Casement Window — Double Sash Side-Hung — 609x1209mm — Graphite Black (RAL 9005) — IGU Double-Glazed (4-12Ar-4 Low-E)</t>
  </si>
  <si>
    <t xml:space="preserve">ALS-CMW-0101</t>
  </si>
  <si>
    <t xml:space="preserve">Aluminium Casement Window — Double Sash Side-Hung — 909x1209mm — Natural Anodised — Standard Single-Glazed (4mm Clear Float)</t>
  </si>
  <si>
    <t xml:space="preserve">ALS-CMW-0102</t>
  </si>
  <si>
    <t xml:space="preserve">Aluminium Casement Window — Double Sash Side-Hung — 909x1209mm — Satin White (RAL 9016) — Standard Single-Glazed (4mm Clear Float)</t>
  </si>
  <si>
    <t xml:space="preserve">ALS-CMW-0103</t>
  </si>
  <si>
    <t xml:space="preserve">Aluminium Casement Window — Double Sash Side-Hung — 909x1209mm — Charcoal Grey (RAL 7016) — Standard Single-Glazed (4mm Clear Float)</t>
  </si>
  <si>
    <t xml:space="preserve">ALS-CMW-0104</t>
  </si>
  <si>
    <t xml:space="preserve">Aluminium Casement Window — Double Sash Side-Hung — 909x1209mm — Bronze Anodised — Standard Single-Glazed (4mm Clear Float)</t>
  </si>
  <si>
    <t xml:space="preserve">ALS-CMW-0105</t>
  </si>
  <si>
    <t xml:space="preserve">Aluminium Casement Window — Double Sash Side-Hung — 909x1209mm — Graphite Black (RAL 9005) — Standard Single-Glazed (4mm Clear Float)</t>
  </si>
  <si>
    <t xml:space="preserve">ALS-CMW-0106</t>
  </si>
  <si>
    <t xml:space="preserve">Aluminium Casement Window — Double Sash Side-Hung — 909x1209mm — Natural Anodised — IGU Double-Glazed (4-12Ar-4 Low-E)</t>
  </si>
  <si>
    <t xml:space="preserve">ALS-CMW-0107</t>
  </si>
  <si>
    <t xml:space="preserve">Aluminium Casement Window — Double Sash Side-Hung — 909x1209mm — Satin White (RAL 9016) — IGU Double-Glazed (4-12Ar-4 Low-E)</t>
  </si>
  <si>
    <t xml:space="preserve">ALS-CMW-0108</t>
  </si>
  <si>
    <t xml:space="preserve">Aluminium Casement Window — Double Sash Side-Hung — 909x1209mm — Charcoal Grey (RAL 7016) — IGU Double-Glazed (4-12Ar-4 Low-E)</t>
  </si>
  <si>
    <t xml:space="preserve">ALS-CMW-0109</t>
  </si>
  <si>
    <t xml:space="preserve">Aluminium Casement Window — Double Sash Side-Hung — 909x1209mm — Bronze Anodised — IGU Double-Glazed (4-12Ar-4 Low-E)</t>
  </si>
  <si>
    <t xml:space="preserve">ALS-CMW-0110</t>
  </si>
  <si>
    <t xml:space="preserve">Aluminium Casement Window — Double Sash Side-Hung — 909x1209mm — Graphite Black (RAL 9005) — IGU Double-Glazed (4-12Ar-4 Low-E)</t>
  </si>
  <si>
    <t xml:space="preserve">ALS-CMW-0111</t>
  </si>
  <si>
    <t xml:space="preserve">Aluminium Casement Window — Double Sash Side-Hung — 1209x1209mm — Natural Anodised — Standard Single-Glazed (4mm Clear Float)</t>
  </si>
  <si>
    <t xml:space="preserve">ALS-CMW-0112</t>
  </si>
  <si>
    <t xml:space="preserve">Aluminium Casement Window — Double Sash Side-Hung — 1209x1209mm — Satin White (RAL 9016) — Standard Single-Glazed (4mm Clear Float)</t>
  </si>
  <si>
    <t xml:space="preserve">ALS-CMW-0113</t>
  </si>
  <si>
    <t xml:space="preserve">Aluminium Casement Window — Double Sash Side-Hung — 1209x1209mm — Charcoal Grey (RAL 7016) — Standard Single-Glazed (4mm Clear Float)</t>
  </si>
  <si>
    <t xml:space="preserve">ALS-CMW-0114</t>
  </si>
  <si>
    <t xml:space="preserve">Aluminium Casement Window — Double Sash Side-Hung — 1209x1209mm — Bronze Anodised — Standard Single-Glazed (4mm Clear Float)</t>
  </si>
  <si>
    <t xml:space="preserve">ALS-CMW-0115</t>
  </si>
  <si>
    <t xml:space="preserve">Aluminium Casement Window — Double Sash Side-Hung — 1209x1209mm — Graphite Black (RAL 9005) — Standard Single-Glazed (4mm Clear Float)</t>
  </si>
  <si>
    <t xml:space="preserve">ALS-CMW-0116</t>
  </si>
  <si>
    <t xml:space="preserve">Aluminium Casement Window — Double Sash Side-Hung — 1209x1209mm — Natural Anodised — IGU Double-Glazed (4-12Ar-4 Low-E)</t>
  </si>
  <si>
    <t xml:space="preserve">ALS-CMW-0117</t>
  </si>
  <si>
    <t xml:space="preserve">Aluminium Casement Window — Double Sash Side-Hung — 1209x1209mm — Satin White (RAL 9016) — IGU Double-Glazed (4-12Ar-4 Low-E)</t>
  </si>
  <si>
    <t xml:space="preserve">ALS-CMW-0118</t>
  </si>
  <si>
    <t xml:space="preserve">Aluminium Casement Window — Double Sash Side-Hung — 1209x1209mm — Charcoal Grey (RAL 7016) — IGU Double-Glazed (4-12Ar-4 Low-E)</t>
  </si>
  <si>
    <t xml:space="preserve">ALS-CMW-0119</t>
  </si>
  <si>
    <t xml:space="preserve">Aluminium Casement Window — Double Sash Side-Hung — 1209x1209mm — Bronze Anodised — IGU Double-Glazed (4-12Ar-4 Low-E)</t>
  </si>
  <si>
    <t xml:space="preserve">ALS-CMW-0120</t>
  </si>
  <si>
    <t xml:space="preserve">Aluminium Casement Window — Double Sash Side-Hung — 1209x1209mm — Graphite Black (RAL 9005) — IGU Double-Glazed (4-12Ar-4 Low-E)</t>
  </si>
  <si>
    <t xml:space="preserve">ALS-CMW-0121</t>
  </si>
  <si>
    <t xml:space="preserve">Aluminium Casement Window — Double Sash Side-Hung — 1209x1509mm — Natural Anodised — Standard Single-Glazed (4mm Clear Float)</t>
  </si>
  <si>
    <t xml:space="preserve">ALS-CMW-0122</t>
  </si>
  <si>
    <t xml:space="preserve">Aluminium Casement Window — Double Sash Side-Hung — 1209x1509mm — Satin White (RAL 9016) — Standard Single-Glazed (4mm Clear Float)</t>
  </si>
  <si>
    <t xml:space="preserve">ALS-CMW-0123</t>
  </si>
  <si>
    <t xml:space="preserve">Aluminium Casement Window — Double Sash Side-Hung — 1209x1509mm — Charcoal Grey (RAL 7016) — Standard Single-Glazed (4mm Clear Float)</t>
  </si>
  <si>
    <t xml:space="preserve">ALS-CMW-0124</t>
  </si>
  <si>
    <t xml:space="preserve">Aluminium Casement Window — Double Sash Side-Hung — 1209x1509mm — Bronze Anodised — Standard Single-Glazed (4mm Clear Float)</t>
  </si>
  <si>
    <t xml:space="preserve">ALS-CMW-0125</t>
  </si>
  <si>
    <t xml:space="preserve">Aluminium Casement Window — Double Sash Side-Hung — 1209x1509mm — Graphite Black (RAL 9005) — Standard Single-Glazed (4mm Clear Float)</t>
  </si>
  <si>
    <t xml:space="preserve">ALS-CMW-0126</t>
  </si>
  <si>
    <t xml:space="preserve">Aluminium Casement Window — Double Sash Side-Hung — 1209x1509mm — Natural Anodised — IGU Double-Glazed (4-12Ar-4 Low-E)</t>
  </si>
  <si>
    <t xml:space="preserve">ALS-CMW-0127</t>
  </si>
  <si>
    <t xml:space="preserve">Aluminium Casement Window — Double Sash Side-Hung — 1209x1509mm — Satin White (RAL 9016) — IGU Double-Glazed (4-12Ar-4 Low-E)</t>
  </si>
  <si>
    <t xml:space="preserve">ALS-CMW-0128</t>
  </si>
  <si>
    <t xml:space="preserve">Aluminium Casement Window — Double Sash Side-Hung — 1209x1509mm — Charcoal Grey (RAL 7016) — IGU Double-Glazed (4-12Ar-4 Low-E)</t>
  </si>
  <si>
    <t xml:space="preserve">ALS-CMW-0129</t>
  </si>
  <si>
    <t xml:space="preserve">Aluminium Casement Window — Double Sash Side-Hung — 1209x1509mm — Bronze Anodised — IGU Double-Glazed (4-12Ar-4 Low-E)</t>
  </si>
  <si>
    <t xml:space="preserve">ALS-CMW-0130</t>
  </si>
  <si>
    <t xml:space="preserve">Aluminium Casement Window — Double Sash Side-Hung — 1209x1509mm — Graphite Black (RAL 9005) — IGU Double-Glazed (4-12Ar-4 Low-E)</t>
  </si>
  <si>
    <t xml:space="preserve">ALS-CMW-0131</t>
  </si>
  <si>
    <t xml:space="preserve">Aluminium Casement Window — Double Sash Side-Hung — 1809x1209mm — Natural Anodised — Standard Single-Glazed (4mm Clear Float)</t>
  </si>
  <si>
    <t xml:space="preserve">ALS-CMW-0132</t>
  </si>
  <si>
    <t xml:space="preserve">Aluminium Casement Window — Double Sash Side-Hung — 1809x1209mm — Satin White (RAL 9016) — Standard Single-Glazed (4mm Clear Float)</t>
  </si>
  <si>
    <t xml:space="preserve">ALS-CMW-0133</t>
  </si>
  <si>
    <t xml:space="preserve">Aluminium Casement Window — Double Sash Side-Hung — 1809x1209mm — Charcoal Grey (RAL 7016) — Standard Single-Glazed (4mm Clear Float)</t>
  </si>
  <si>
    <t xml:space="preserve">ALS-CMW-0134</t>
  </si>
  <si>
    <t xml:space="preserve">Aluminium Casement Window — Double Sash Side-Hung — 1809x1209mm — Bronze Anodised — Standard Single-Glazed (4mm Clear Float)</t>
  </si>
  <si>
    <t xml:space="preserve">ALS-CMW-0135</t>
  </si>
  <si>
    <t xml:space="preserve">Aluminium Casement Window — Double Sash Side-Hung — 1809x1209mm — Graphite Black (RAL 9005) — Standard Single-Glazed (4mm Clear Float)</t>
  </si>
  <si>
    <t xml:space="preserve">ALS-CMW-0136</t>
  </si>
  <si>
    <t xml:space="preserve">Aluminium Casement Window — Double Sash Side-Hung — 1809x1209mm — Natural Anodised — IGU Double-Glazed (4-12Ar-4 Low-E)</t>
  </si>
  <si>
    <t xml:space="preserve">ALS-CMW-0137</t>
  </si>
  <si>
    <t xml:space="preserve">Aluminium Casement Window — Double Sash Side-Hung — 1809x1209mm — Satin White (RAL 9016) — IGU Double-Glazed (4-12Ar-4 Low-E)</t>
  </si>
  <si>
    <t xml:space="preserve">ALS-CMW-0138</t>
  </si>
  <si>
    <t xml:space="preserve">Aluminium Casement Window — Double Sash Side-Hung — 1809x1209mm — Charcoal Grey (RAL 7016) — IGU Double-Glazed (4-12Ar-4 Low-E)</t>
  </si>
  <si>
    <t xml:space="preserve">ALS-CMW-0139</t>
  </si>
  <si>
    <t xml:space="preserve">Aluminium Casement Window — Double Sash Side-Hung — 1809x1209mm — Bronze Anodised — IGU Double-Glazed (4-12Ar-4 Low-E)</t>
  </si>
  <si>
    <t xml:space="preserve">ALS-CMW-0140</t>
  </si>
  <si>
    <t xml:space="preserve">Aluminium Casement Window — Double Sash Side-Hung — 1809x1209mm — Graphite Black (RAL 9005) — IGU Double-Glazed (4-12Ar-4 Low-E)</t>
  </si>
  <si>
    <t xml:space="preserve">ALS-CMW-0141</t>
  </si>
  <si>
    <t xml:space="preserve">Aluminium Casement Window — Double Sash Side-Hung — 1809x1509mm — Natural Anodised — Standard Single-Glazed (4mm Clear Float)</t>
  </si>
  <si>
    <t xml:space="preserve">ALS-CMW-0142</t>
  </si>
  <si>
    <t xml:space="preserve">Aluminium Casement Window — Double Sash Side-Hung — 1809x1509mm — Satin White (RAL 9016) — Standard Single-Glazed (4mm Clear Float)</t>
  </si>
  <si>
    <t xml:space="preserve">ALS-CMW-0143</t>
  </si>
  <si>
    <t xml:space="preserve">Aluminium Casement Window — Double Sash Side-Hung — 1809x1509mm — Charcoal Grey (RAL 7016) — Standard Single-Glazed (4mm Clear Float)</t>
  </si>
  <si>
    <t xml:space="preserve">ALS-CMW-0144</t>
  </si>
  <si>
    <t xml:space="preserve">Aluminium Casement Window — Double Sash Side-Hung — 1809x1509mm — Bronze Anodised — Standard Single-Glazed (4mm Clear Float)</t>
  </si>
  <si>
    <t xml:space="preserve">ALS-CMW-0145</t>
  </si>
  <si>
    <t xml:space="preserve">Aluminium Casement Window — Double Sash Side-Hung — 1809x1509mm — Graphite Black (RAL 9005) — Standard Single-Glazed (4mm Clear Float)</t>
  </si>
  <si>
    <t xml:space="preserve">ALS-CMW-0146</t>
  </si>
  <si>
    <t xml:space="preserve">Aluminium Casement Window — Double Sash Side-Hung — 1809x1509mm — Natural Anodised — IGU Double-Glazed (4-12Ar-4 Low-E)</t>
  </si>
  <si>
    <t xml:space="preserve">ALS-CMW-0147</t>
  </si>
  <si>
    <t xml:space="preserve">Aluminium Casement Window — Double Sash Side-Hung — 1809x1509mm — Satin White (RAL 9016) — IGU Double-Glazed (4-12Ar-4 Low-E)</t>
  </si>
  <si>
    <t xml:space="preserve">ALS-CMW-0148</t>
  </si>
  <si>
    <t xml:space="preserve">Aluminium Casement Window — Double Sash Side-Hung — 1809x1509mm — Charcoal Grey (RAL 7016) — IGU Double-Glazed (4-12Ar-4 Low-E)</t>
  </si>
  <si>
    <t xml:space="preserve">ALS-CMW-0149</t>
  </si>
  <si>
    <t xml:space="preserve">Aluminium Casement Window — Double Sash Side-Hung — 1809x1509mm — Bronze Anodised — IGU Double-Glazed (4-12Ar-4 Low-E)</t>
  </si>
  <si>
    <t xml:space="preserve">ALS-CMW-0150</t>
  </si>
  <si>
    <t xml:space="preserve">Aluminium Casement Window — Double Sash Side-Hung — 1809x1509mm — Graphite Black (RAL 9005) — IGU Double-Glazed (4-12Ar-4 Low-E)</t>
  </si>
  <si>
    <t xml:space="preserve">ALS-CMW-0151</t>
  </si>
  <si>
    <t xml:space="preserve">Aluminium Casement Window — Double Sash Side-Hung — 2409x1509mm — Natural Anodised — Standard Single-Glazed (4mm Clear Float)</t>
  </si>
  <si>
    <t xml:space="preserve">ALS-CMW-0152</t>
  </si>
  <si>
    <t xml:space="preserve">Aluminium Casement Window — Double Sash Side-Hung — 2409x1509mm — Satin White (RAL 9016) — Standard Single-Glazed (4mm Clear Float)</t>
  </si>
  <si>
    <t xml:space="preserve">ALS-CMW-0153</t>
  </si>
  <si>
    <t xml:space="preserve">Aluminium Casement Window — Double Sash Side-Hung — 2409x1509mm — Charcoal Grey (RAL 7016) — Standard Single-Glazed (4mm Clear Float)</t>
  </si>
  <si>
    <t xml:space="preserve">ALS-CMW-0154</t>
  </si>
  <si>
    <t xml:space="preserve">Aluminium Casement Window — Double Sash Side-Hung — 2409x1509mm — Bronze Anodised — Standard Single-Glazed (4mm Clear Float)</t>
  </si>
  <si>
    <t xml:space="preserve">ALS-CMW-0155</t>
  </si>
  <si>
    <t xml:space="preserve">Aluminium Casement Window — Double Sash Side-Hung — 2409x1509mm — Graphite Black (RAL 9005) — Standard Single-Glazed (4mm Clear Float)</t>
  </si>
  <si>
    <t xml:space="preserve">ALS-CMW-0156</t>
  </si>
  <si>
    <t xml:space="preserve">Aluminium Casement Window — Double Sash Side-Hung — 2409x1509mm — Natural Anodised — IGU Double-Glazed (4-12Ar-4 Low-E)</t>
  </si>
  <si>
    <t xml:space="preserve">ALS-CMW-0157</t>
  </si>
  <si>
    <t xml:space="preserve">Aluminium Casement Window — Double Sash Side-Hung — 2409x1509mm — Satin White (RAL 9016) — IGU Double-Glazed (4-12Ar-4 Low-E)</t>
  </si>
  <si>
    <t xml:space="preserve">ALS-CMW-0158</t>
  </si>
  <si>
    <t xml:space="preserve">Aluminium Casement Window — Double Sash Side-Hung — 2409x1509mm — Charcoal Grey (RAL 7016) — IGU Double-Glazed (4-12Ar-4 Low-E)</t>
  </si>
  <si>
    <t xml:space="preserve">ALS-CMW-0159</t>
  </si>
  <si>
    <t xml:space="preserve">Aluminium Casement Window — Double Sash Side-Hung — 2409x1509mm — Bronze Anodised — IGU Double-Glazed (4-12Ar-4 Low-E)</t>
  </si>
  <si>
    <t xml:space="preserve">ALS-CMW-0160</t>
  </si>
  <si>
    <t xml:space="preserve">Aluminium Casement Window — Double Sash Side-Hung — 2409x1509mm — Graphite Black (RAL 9005) — IGU Double-Glazed (4-12Ar-4 Low-E)</t>
  </si>
  <si>
    <t xml:space="preserve">ALS-CMW-0161</t>
  </si>
  <si>
    <t xml:space="preserve">Aluminium Casement Window — Triple Sash Side-Hung — 609x909mm — Natural Anodised — Standard Single-Glazed (4mm Clear Float)</t>
  </si>
  <si>
    <t xml:space="preserve">Triple Sash Side-Hung</t>
  </si>
  <si>
    <t xml:space="preserve">ALS-CMW-0162</t>
  </si>
  <si>
    <t xml:space="preserve">Aluminium Casement Window — Triple Sash Side-Hung — 609x909mm — Satin White (RAL 9016) — Standard Single-Glazed (4mm Clear Float)</t>
  </si>
  <si>
    <t xml:space="preserve">ALS-CMW-0163</t>
  </si>
  <si>
    <t xml:space="preserve">Aluminium Casement Window — Triple Sash Side-Hung — 609x909mm — Charcoal Grey (RAL 7016) — Standard Single-Glazed (4mm Clear Float)</t>
  </si>
  <si>
    <t xml:space="preserve">ALS-CMW-0164</t>
  </si>
  <si>
    <t xml:space="preserve">Aluminium Casement Window — Triple Sash Side-Hung — 609x909mm — Bronze Anodised — Standard Single-Glazed (4mm Clear Float)</t>
  </si>
  <si>
    <t xml:space="preserve">ALS-CMW-0165</t>
  </si>
  <si>
    <t xml:space="preserve">Aluminium Casement Window — Triple Sash Side-Hung — 609x909mm — Graphite Black (RAL 9005) — Standard Single-Glazed (4mm Clear Float)</t>
  </si>
  <si>
    <t xml:space="preserve">ALS-CMW-0166</t>
  </si>
  <si>
    <t xml:space="preserve">Aluminium Casement Window — Triple Sash Side-Hung — 609x909mm — Natural Anodised — IGU Double-Glazed (4-12Ar-4 Low-E)</t>
  </si>
  <si>
    <t xml:space="preserve">ALS-CMW-0167</t>
  </si>
  <si>
    <t xml:space="preserve">Aluminium Casement Window — Triple Sash Side-Hung — 609x909mm — Satin White (RAL 9016) — IGU Double-Glazed (4-12Ar-4 Low-E)</t>
  </si>
  <si>
    <t xml:space="preserve">ALS-CMW-0168</t>
  </si>
  <si>
    <t xml:space="preserve">Aluminium Casement Window — Triple Sash Side-Hung — 609x909mm — Charcoal Grey (RAL 7016) — IGU Double-Glazed (4-12Ar-4 Low-E)</t>
  </si>
  <si>
    <t xml:space="preserve">ALS-CMW-0169</t>
  </si>
  <si>
    <t xml:space="preserve">Aluminium Casement Window — Triple Sash Side-Hung — 609x909mm — Bronze Anodised — IGU Double-Glazed (4-12Ar-4 Low-E)</t>
  </si>
  <si>
    <t xml:space="preserve">ALS-CMW-0170</t>
  </si>
  <si>
    <t xml:space="preserve">Aluminium Casement Window — Triple Sash Side-Hung — 609x909mm — Graphite Black (RAL 9005) — IGU Double-Glazed (4-12Ar-4 Low-E)</t>
  </si>
  <si>
    <t xml:space="preserve">ALS-CMW-0171</t>
  </si>
  <si>
    <t xml:space="preserve">Aluminium Casement Window — Triple Sash Side-Hung — 609x1209mm — Natural Anodised — Standard Single-Glazed (4mm Clear Float)</t>
  </si>
  <si>
    <t xml:space="preserve">ALS-CMW-0172</t>
  </si>
  <si>
    <t xml:space="preserve">Aluminium Casement Window — Triple Sash Side-Hung — 609x1209mm — Satin White (RAL 9016) — Standard Single-Glazed (4mm Clear Float)</t>
  </si>
  <si>
    <t xml:space="preserve">ALS-CMW-0173</t>
  </si>
  <si>
    <t xml:space="preserve">Aluminium Casement Window — Triple Sash Side-Hung — 609x1209mm — Charcoal Grey (RAL 7016) — Standard Single-Glazed (4mm Clear Float)</t>
  </si>
  <si>
    <t xml:space="preserve">ALS-CMW-0174</t>
  </si>
  <si>
    <t xml:space="preserve">Aluminium Casement Window — Triple Sash Side-Hung — 609x1209mm — Bronze Anodised — Standard Single-Glazed (4mm Clear Float)</t>
  </si>
  <si>
    <t xml:space="preserve">ALS-CMW-0175</t>
  </si>
  <si>
    <t xml:space="preserve">Aluminium Casement Window — Triple Sash Side-Hung — 609x1209mm — Graphite Black (RAL 9005) — Standard Single-Glazed (4mm Clear Float)</t>
  </si>
  <si>
    <t xml:space="preserve">ALS-CMW-0176</t>
  </si>
  <si>
    <t xml:space="preserve">Aluminium Casement Window — Triple Sash Side-Hung — 609x1209mm — Natural Anodised — IGU Double-Glazed (4-12Ar-4 Low-E)</t>
  </si>
  <si>
    <t xml:space="preserve">ALS-CMW-0177</t>
  </si>
  <si>
    <t xml:space="preserve">Aluminium Casement Window — Triple Sash Side-Hung — 609x1209mm — Satin White (RAL 9016) — IGU Double-Glazed (4-12Ar-4 Low-E)</t>
  </si>
  <si>
    <t xml:space="preserve">ALS-CMW-0178</t>
  </si>
  <si>
    <t xml:space="preserve">Aluminium Casement Window — Triple Sash Side-Hung — 609x1209mm — Charcoal Grey (RAL 7016) — IGU Double-Glazed (4-12Ar-4 Low-E)</t>
  </si>
  <si>
    <t xml:space="preserve">ALS-CMW-0179</t>
  </si>
  <si>
    <t xml:space="preserve">Aluminium Casement Window — Triple Sash Side-Hung — 609x1209mm — Bronze Anodised — IGU Double-Glazed (4-12Ar-4 Low-E)</t>
  </si>
  <si>
    <t xml:space="preserve">ALS-CMW-0180</t>
  </si>
  <si>
    <t xml:space="preserve">Aluminium Casement Window — Triple Sash Side-Hung — 609x1209mm — Graphite Black (RAL 9005) — IGU Double-Glazed (4-12Ar-4 Low-E)</t>
  </si>
  <si>
    <t xml:space="preserve">ALS-CMW-0181</t>
  </si>
  <si>
    <t xml:space="preserve">Aluminium Casement Window — Triple Sash Side-Hung — 909x1209mm — Natural Anodised — Standard Single-Glazed (4mm Clear Float)</t>
  </si>
  <si>
    <t xml:space="preserve">ALS-CMW-0182</t>
  </si>
  <si>
    <t xml:space="preserve">Aluminium Casement Window — Triple Sash Side-Hung — 909x1209mm — Satin White (RAL 9016) — Standard Single-Glazed (4mm Clear Float)</t>
  </si>
  <si>
    <t xml:space="preserve">ALS-CMW-0183</t>
  </si>
  <si>
    <t xml:space="preserve">Aluminium Casement Window — Triple Sash Side-Hung — 909x1209mm — Charcoal Grey (RAL 7016) — Standard Single-Glazed (4mm Clear Float)</t>
  </si>
  <si>
    <t xml:space="preserve">ALS-CMW-0184</t>
  </si>
  <si>
    <t xml:space="preserve">Aluminium Casement Window — Triple Sash Side-Hung — 909x1209mm — Bronze Anodised — Standard Single-Glazed (4mm Clear Float)</t>
  </si>
  <si>
    <t xml:space="preserve">ALS-CMW-0185</t>
  </si>
  <si>
    <t xml:space="preserve">Aluminium Casement Window — Triple Sash Side-Hung — 909x1209mm — Graphite Black (RAL 9005) — Standard Single-Glazed (4mm Clear Float)</t>
  </si>
  <si>
    <t xml:space="preserve">ALS-CMW-0186</t>
  </si>
  <si>
    <t xml:space="preserve">Aluminium Casement Window — Triple Sash Side-Hung — 909x1209mm — Natural Anodised — IGU Double-Glazed (4-12Ar-4 Low-E)</t>
  </si>
  <si>
    <t xml:space="preserve">ALS-CMW-0187</t>
  </si>
  <si>
    <t xml:space="preserve">Aluminium Casement Window — Triple Sash Side-Hung — 909x1209mm — Satin White (RAL 9016) — IGU Double-Glazed (4-12Ar-4 Low-E)</t>
  </si>
  <si>
    <t xml:space="preserve">ALS-CMW-0188</t>
  </si>
  <si>
    <t xml:space="preserve">Aluminium Casement Window — Triple Sash Side-Hung — 909x1209mm — Charcoal Grey (RAL 7016) — IGU Double-Glazed (4-12Ar-4 Low-E)</t>
  </si>
  <si>
    <t xml:space="preserve">ALS-CMW-0189</t>
  </si>
  <si>
    <t xml:space="preserve">Aluminium Casement Window — Triple Sash Side-Hung — 909x1209mm — Bronze Anodised — IGU Double-Glazed (4-12Ar-4 Low-E)</t>
  </si>
  <si>
    <t xml:space="preserve">ALS-CMW-0190</t>
  </si>
  <si>
    <t xml:space="preserve">Aluminium Casement Window — Triple Sash Side-Hung — 909x1209mm — Graphite Black (RAL 9005) — IGU Double-Glazed (4-12Ar-4 Low-E)</t>
  </si>
  <si>
    <t xml:space="preserve">ALS-CMW-0191</t>
  </si>
  <si>
    <t xml:space="preserve">Aluminium Casement Window — Triple Sash Side-Hung — 1209x1209mm — Natural Anodised — Standard Single-Glazed (4mm Clear Float)</t>
  </si>
  <si>
    <t xml:space="preserve">ALS-CMW-0192</t>
  </si>
  <si>
    <t xml:space="preserve">Aluminium Casement Window — Triple Sash Side-Hung — 1209x1209mm — Satin White (RAL 9016) — Standard Single-Glazed (4mm Clear Float)</t>
  </si>
  <si>
    <t xml:space="preserve">ALS-CMW-0193</t>
  </si>
  <si>
    <t xml:space="preserve">Aluminium Casement Window — Triple Sash Side-Hung — 1209x1209mm — Charcoal Grey (RAL 7016) — Standard Single-Glazed (4mm Clear Float)</t>
  </si>
  <si>
    <t xml:space="preserve">ALS-CMW-0194</t>
  </si>
  <si>
    <t xml:space="preserve">Aluminium Casement Window — Triple Sash Side-Hung — 1209x1209mm — Bronze Anodised — Standard Single-Glazed (4mm Clear Float)</t>
  </si>
  <si>
    <t xml:space="preserve">ALS-CMW-0195</t>
  </si>
  <si>
    <t xml:space="preserve">Aluminium Casement Window — Triple Sash Side-Hung — 1209x1209mm — Graphite Black (RAL 9005) — Standard Single-Glazed (4mm Clear Float)</t>
  </si>
  <si>
    <t xml:space="preserve">ALS-CMW-0196</t>
  </si>
  <si>
    <t xml:space="preserve">Aluminium Casement Window — Triple Sash Side-Hung — 1209x1209mm — Natural Anodised — IGU Double-Glazed (4-12Ar-4 Low-E)</t>
  </si>
  <si>
    <t xml:space="preserve">ALS-CMW-0197</t>
  </si>
  <si>
    <t xml:space="preserve">Aluminium Casement Window — Triple Sash Side-Hung — 1209x1209mm — Satin White (RAL 9016) — IGU Double-Glazed (4-12Ar-4 Low-E)</t>
  </si>
  <si>
    <t xml:space="preserve">ALS-CMW-0198</t>
  </si>
  <si>
    <t xml:space="preserve">Aluminium Casement Window — Triple Sash Side-Hung — 1209x1209mm — Charcoal Grey (RAL 7016) — IGU Double-Glazed (4-12Ar-4 Low-E)</t>
  </si>
  <si>
    <t xml:space="preserve">ALS-CMW-0199</t>
  </si>
  <si>
    <t xml:space="preserve">Aluminium Casement Window — Triple Sash Side-Hung — 1209x1209mm — Bronze Anodised — IGU Double-Glazed (4-12Ar-4 Low-E)</t>
  </si>
  <si>
    <t xml:space="preserve">ALS-CMW-0200</t>
  </si>
  <si>
    <t xml:space="preserve">Aluminium Casement Window — Triple Sash Side-Hung — 1209x1209mm — Graphite Black (RAL 9005) — IGU Double-Glazed (4-12Ar-4 Low-E)</t>
  </si>
  <si>
    <t xml:space="preserve">ALS-CMW-0201</t>
  </si>
  <si>
    <t xml:space="preserve">Aluminium Casement Window — Triple Sash Side-Hung — 1209x1509mm — Natural Anodised — Standard Single-Glazed (4mm Clear Float)</t>
  </si>
  <si>
    <t xml:space="preserve">ALS-CMW-0202</t>
  </si>
  <si>
    <t xml:space="preserve">Aluminium Casement Window — Triple Sash Side-Hung — 1209x1509mm — Satin White (RAL 9016) — Standard Single-Glazed (4mm Clear Float)</t>
  </si>
  <si>
    <t xml:space="preserve">ALS-CMW-0203</t>
  </si>
  <si>
    <t xml:space="preserve">Aluminium Casement Window — Triple Sash Side-Hung — 1209x1509mm — Charcoal Grey (RAL 7016) — Standard Single-Glazed (4mm Clear Float)</t>
  </si>
  <si>
    <t xml:space="preserve">ALS-CMW-0204</t>
  </si>
  <si>
    <t xml:space="preserve">Aluminium Casement Window — Triple Sash Side-Hung — 1209x1509mm — Bronze Anodised — Standard Single-Glazed (4mm Clear Float)</t>
  </si>
  <si>
    <t xml:space="preserve">ALS-CMW-0205</t>
  </si>
  <si>
    <t xml:space="preserve">Aluminium Casement Window — Triple Sash Side-Hung — 1209x1509mm — Graphite Black (RAL 9005) — Standard Single-Glazed (4mm Clear Float)</t>
  </si>
  <si>
    <t xml:space="preserve">ALS-CMW-0206</t>
  </si>
  <si>
    <t xml:space="preserve">Aluminium Casement Window — Triple Sash Side-Hung — 1209x1509mm — Natural Anodised — IGU Double-Glazed (4-12Ar-4 Low-E)</t>
  </si>
  <si>
    <t xml:space="preserve">ALS-CMW-0207</t>
  </si>
  <si>
    <t xml:space="preserve">Aluminium Casement Window — Triple Sash Side-Hung — 1209x1509mm — Satin White (RAL 9016) — IGU Double-Glazed (4-12Ar-4 Low-E)</t>
  </si>
  <si>
    <t xml:space="preserve">ALS-CMW-0208</t>
  </si>
  <si>
    <t xml:space="preserve">Aluminium Casement Window — Triple Sash Side-Hung — 1209x1509mm — Charcoal Grey (RAL 7016) — IGU Double-Glazed (4-12Ar-4 Low-E)</t>
  </si>
  <si>
    <t xml:space="preserve">ALS-CMW-0209</t>
  </si>
  <si>
    <t xml:space="preserve">Aluminium Casement Window — Triple Sash Side-Hung — 1209x1509mm — Bronze Anodised — IGU Double-Glazed (4-12Ar-4 Low-E)</t>
  </si>
  <si>
    <t xml:space="preserve">ALS-CMW-0210</t>
  </si>
  <si>
    <t xml:space="preserve">Aluminium Casement Window — Triple Sash Side-Hung — 1209x1509mm — Graphite Black (RAL 9005) — IGU Double-Glazed (4-12Ar-4 Low-E)</t>
  </si>
  <si>
    <t xml:space="preserve">ALS-CMW-0211</t>
  </si>
  <si>
    <t xml:space="preserve">Aluminium Casement Window — Triple Sash Side-Hung — 1809x1209mm — Natural Anodised — Standard Single-Glazed (4mm Clear Float)</t>
  </si>
  <si>
    <t xml:space="preserve">ALS-CMW-0212</t>
  </si>
  <si>
    <t xml:space="preserve">Aluminium Casement Window — Triple Sash Side-Hung — 1809x1209mm — Satin White (RAL 9016) — Standard Single-Glazed (4mm Clear Float)</t>
  </si>
  <si>
    <t xml:space="preserve">ALS-CMW-0213</t>
  </si>
  <si>
    <t xml:space="preserve">Aluminium Casement Window — Triple Sash Side-Hung — 1809x1209mm — Charcoal Grey (RAL 7016) — Standard Single-Glazed (4mm Clear Float)</t>
  </si>
  <si>
    <t xml:space="preserve">ALS-CMW-0214</t>
  </si>
  <si>
    <t xml:space="preserve">Aluminium Casement Window — Triple Sash Side-Hung — 1809x1209mm — Bronze Anodised — Standard Single-Glazed (4mm Clear Float)</t>
  </si>
  <si>
    <t xml:space="preserve">ALS-CMW-0215</t>
  </si>
  <si>
    <t xml:space="preserve">Aluminium Casement Window — Triple Sash Side-Hung — 1809x1209mm — Graphite Black (RAL 9005) — Standard Single-Glazed (4mm Clear Float)</t>
  </si>
  <si>
    <t xml:space="preserve">ALS-CMW-0216</t>
  </si>
  <si>
    <t xml:space="preserve">Aluminium Casement Window — Triple Sash Side-Hung — 1809x1209mm — Natural Anodised — IGU Double-Glazed (4-12Ar-4 Low-E)</t>
  </si>
  <si>
    <t xml:space="preserve">ALS-CMW-0217</t>
  </si>
  <si>
    <t xml:space="preserve">Aluminium Casement Window — Triple Sash Side-Hung — 1809x1209mm — Satin White (RAL 9016) — IGU Double-Glazed (4-12Ar-4 Low-E)</t>
  </si>
  <si>
    <t xml:space="preserve">ALS-CMW-0218</t>
  </si>
  <si>
    <t xml:space="preserve">Aluminium Casement Window — Triple Sash Side-Hung — 1809x1209mm — Charcoal Grey (RAL 7016) — IGU Double-Glazed (4-12Ar-4 Low-E)</t>
  </si>
  <si>
    <t xml:space="preserve">ALS-CMW-0219</t>
  </si>
  <si>
    <t xml:space="preserve">Aluminium Casement Window — Triple Sash Side-Hung — 1809x1209mm — Bronze Anodised — IGU Double-Glazed (4-12Ar-4 Low-E)</t>
  </si>
  <si>
    <t xml:space="preserve">ALS-CMW-0220</t>
  </si>
  <si>
    <t xml:space="preserve">Aluminium Casement Window — Triple Sash Side-Hung — 1809x1209mm — Graphite Black (RAL 9005) — IGU Double-Glazed (4-12Ar-4 Low-E)</t>
  </si>
  <si>
    <t xml:space="preserve">ALS-CMW-0221</t>
  </si>
  <si>
    <t xml:space="preserve">Aluminium Casement Window — Triple Sash Side-Hung — 1809x1509mm — Natural Anodised — Standard Single-Glazed (4mm Clear Float)</t>
  </si>
  <si>
    <t xml:space="preserve">ALS-CMW-0222</t>
  </si>
  <si>
    <t xml:space="preserve">Aluminium Casement Window — Triple Sash Side-Hung — 1809x1509mm — Satin White (RAL 9016) — Standard Single-Glazed (4mm Clear Float)</t>
  </si>
  <si>
    <t xml:space="preserve">ALS-CMW-0223</t>
  </si>
  <si>
    <t xml:space="preserve">Aluminium Casement Window — Triple Sash Side-Hung — 1809x1509mm — Charcoal Grey (RAL 7016) — Standard Single-Glazed (4mm Clear Float)</t>
  </si>
  <si>
    <t xml:space="preserve">ALS-CMW-0224</t>
  </si>
  <si>
    <t xml:space="preserve">Aluminium Casement Window — Triple Sash Side-Hung — 1809x1509mm — Bronze Anodised — Standard Single-Glazed (4mm Clear Float)</t>
  </si>
  <si>
    <t xml:space="preserve">ALS-CMW-0225</t>
  </si>
  <si>
    <t xml:space="preserve">Aluminium Casement Window — Triple Sash Side-Hung — 1809x1509mm — Graphite Black (RAL 9005) — Standard Single-Glazed (4mm Clear Float)</t>
  </si>
  <si>
    <t xml:space="preserve">ALS-CMW-0226</t>
  </si>
  <si>
    <t xml:space="preserve">Aluminium Casement Window — Triple Sash Side-Hung — 1809x1509mm — Natural Anodised — IGU Double-Glazed (4-12Ar-4 Low-E)</t>
  </si>
  <si>
    <t xml:space="preserve">ALS-CMW-0227</t>
  </si>
  <si>
    <t xml:space="preserve">Aluminium Casement Window — Triple Sash Side-Hung — 1809x1509mm — Satin White (RAL 9016) — IGU Double-Glazed (4-12Ar-4 Low-E)</t>
  </si>
  <si>
    <t xml:space="preserve">ALS-CMW-0228</t>
  </si>
  <si>
    <t xml:space="preserve">Aluminium Casement Window — Triple Sash Side-Hung — 1809x1509mm — Charcoal Grey (RAL 7016) — IGU Double-Glazed (4-12Ar-4 Low-E)</t>
  </si>
  <si>
    <t xml:space="preserve">ALS-CMW-0229</t>
  </si>
  <si>
    <t xml:space="preserve">Aluminium Casement Window — Triple Sash Side-Hung — 1809x1509mm — Bronze Anodised — IGU Double-Glazed (4-12Ar-4 Low-E)</t>
  </si>
  <si>
    <t xml:space="preserve">ALS-CMW-0230</t>
  </si>
  <si>
    <t xml:space="preserve">Aluminium Casement Window — Triple Sash Side-Hung — 1809x1509mm — Graphite Black (RAL 9005) — IGU Double-Glazed (4-12Ar-4 Low-E)</t>
  </si>
  <si>
    <t xml:space="preserve">ALS-CMW-0231</t>
  </si>
  <si>
    <t xml:space="preserve">Aluminium Casement Window — Triple Sash Side-Hung — 2409x1509mm — Natural Anodised — Standard Single-Glazed (4mm Clear Float)</t>
  </si>
  <si>
    <t xml:space="preserve">ALS-CMW-0232</t>
  </si>
  <si>
    <t xml:space="preserve">Aluminium Casement Window — Triple Sash Side-Hung — 2409x1509mm — Satin White (RAL 9016) — Standard Single-Glazed (4mm Clear Float)</t>
  </si>
  <si>
    <t xml:space="preserve">ALS-CMW-0233</t>
  </si>
  <si>
    <t xml:space="preserve">Aluminium Casement Window — Triple Sash Side-Hung — 2409x1509mm — Charcoal Grey (RAL 7016) — Standard Single-Glazed (4mm Clear Float)</t>
  </si>
  <si>
    <t xml:space="preserve">ALS-CMW-0234</t>
  </si>
  <si>
    <t xml:space="preserve">Aluminium Casement Window — Triple Sash Side-Hung — 2409x1509mm — Bronze Anodised — Standard Single-Glazed (4mm Clear Float)</t>
  </si>
  <si>
    <t xml:space="preserve">ALS-CMW-0235</t>
  </si>
  <si>
    <t xml:space="preserve">Aluminium Casement Window — Triple Sash Side-Hung — 2409x1509mm — Graphite Black (RAL 9005) — Standard Single-Glazed (4mm Clear Float)</t>
  </si>
  <si>
    <t xml:space="preserve">ALS-CMW-0236</t>
  </si>
  <si>
    <t xml:space="preserve">Aluminium Casement Window — Triple Sash Side-Hung — 2409x1509mm — Natural Anodised — IGU Double-Glazed (4-12Ar-4 Low-E)</t>
  </si>
  <si>
    <t xml:space="preserve">ALS-CMW-0237</t>
  </si>
  <si>
    <t xml:space="preserve">Aluminium Casement Window — Triple Sash Side-Hung — 2409x1509mm — Satin White (RAL 9016) — IGU Double-Glazed (4-12Ar-4 Low-E)</t>
  </si>
  <si>
    <t xml:space="preserve">ALS-CMW-0238</t>
  </si>
  <si>
    <t xml:space="preserve">Aluminium Casement Window — Triple Sash Side-Hung — 2409x1509mm — Charcoal Grey (RAL 7016) — IGU Double-Glazed (4-12Ar-4 Low-E)</t>
  </si>
  <si>
    <t xml:space="preserve">ALS-CMW-0239</t>
  </si>
  <si>
    <t xml:space="preserve">Aluminium Casement Window — Triple Sash Side-Hung — 2409x1509mm — Bronze Anodised — IGU Double-Glazed (4-12Ar-4 Low-E)</t>
  </si>
  <si>
    <t xml:space="preserve">ALS-CMW-0240</t>
  </si>
  <si>
    <t xml:space="preserve">Aluminium Casement Window — Triple Sash Side-Hung — 2409x1509mm — Graphite Black (RAL 9005) — IGU Double-Glazed (4-12Ar-4 Low-E)</t>
  </si>
  <si>
    <t xml:space="preserve">ALS-AWW-0001</t>
  </si>
  <si>
    <t xml:space="preserve">Aluminium Awning (Top-Hung) Window — 609x609mm — Natural Anodised</t>
  </si>
  <si>
    <t xml:space="preserve">Top-Hung Outward-Opening</t>
  </si>
  <si>
    <t xml:space="preserve">ALS-AWW-0002</t>
  </si>
  <si>
    <t xml:space="preserve">Aluminium Awning (Top-Hung) Window — 609x609mm — Satin White (RAL 9016)</t>
  </si>
  <si>
    <t xml:space="preserve">ALS-AWW-0003</t>
  </si>
  <si>
    <t xml:space="preserve">Aluminium Awning (Top-Hung) Window — 609x609mm — Charcoal Grey (RAL 7016)</t>
  </si>
  <si>
    <t xml:space="preserve">ALS-AWW-0004</t>
  </si>
  <si>
    <t xml:space="preserve">Aluminium Awning (Top-Hung) Window — 609x609mm — Bronze Anodised</t>
  </si>
  <si>
    <t xml:space="preserve">ALS-AWW-0005</t>
  </si>
  <si>
    <t xml:space="preserve">Aluminium Awning (Top-Hung) Window — 609x609mm — Graphite Black (RAL 9005)</t>
  </si>
  <si>
    <t xml:space="preserve">ALS-AWW-0006</t>
  </si>
  <si>
    <t xml:space="preserve">Aluminium Awning (Top-Hung) Window — 909x609mm — Natural Anodised</t>
  </si>
  <si>
    <t xml:space="preserve">909x609mm</t>
  </si>
  <si>
    <t xml:space="preserve">ALS-AWW-0007</t>
  </si>
  <si>
    <t xml:space="preserve">Aluminium Awning (Top-Hung) Window — 909x609mm — Satin White (RAL 9016)</t>
  </si>
  <si>
    <t xml:space="preserve">ALS-AWW-0008</t>
  </si>
  <si>
    <t xml:space="preserve">Aluminium Awning (Top-Hung) Window — 909x609mm — Charcoal Grey (RAL 7016)</t>
  </si>
  <si>
    <t xml:space="preserve">ALS-AWW-0009</t>
  </si>
  <si>
    <t xml:space="preserve">Aluminium Awning (Top-Hung) Window — 909x609mm — Bronze Anodised</t>
  </si>
  <si>
    <t xml:space="preserve">ALS-AWW-0010</t>
  </si>
  <si>
    <t xml:space="preserve">Aluminium Awning (Top-Hung) Window — 909x609mm — Graphite Black (RAL 9005)</t>
  </si>
  <si>
    <t xml:space="preserve">ALS-AWW-0011</t>
  </si>
  <si>
    <t xml:space="preserve">Aluminium Awning (Top-Hung) Window — 1209x609mm — Natural Anodised</t>
  </si>
  <si>
    <t xml:space="preserve">ALS-AWW-0012</t>
  </si>
  <si>
    <t xml:space="preserve">Aluminium Awning (Top-Hung) Window — 1209x609mm — Satin White (RAL 9016)</t>
  </si>
  <si>
    <t xml:space="preserve">ALS-AWW-0013</t>
  </si>
  <si>
    <t xml:space="preserve">Aluminium Awning (Top-Hung) Window — 1209x609mm — Charcoal Grey (RAL 7016)</t>
  </si>
  <si>
    <t xml:space="preserve">ALS-AWW-0014</t>
  </si>
  <si>
    <t xml:space="preserve">Aluminium Awning (Top-Hung) Window — 1209x609mm — Bronze Anodised</t>
  </si>
  <si>
    <t xml:space="preserve">ALS-AWW-0015</t>
  </si>
  <si>
    <t xml:space="preserve">Aluminium Awning (Top-Hung) Window — 1209x609mm — Graphite Black (RAL 9005)</t>
  </si>
  <si>
    <t xml:space="preserve">ALS-AWW-0016</t>
  </si>
  <si>
    <t xml:space="preserve">Aluminium Awning (Top-Hung) Window — 1209x909mm — Natural Anodised</t>
  </si>
  <si>
    <t xml:space="preserve">ALS-AWW-0017</t>
  </si>
  <si>
    <t xml:space="preserve">Aluminium Awning (Top-Hung) Window — 1209x909mm — Satin White (RAL 9016)</t>
  </si>
  <si>
    <t xml:space="preserve">ALS-AWW-0018</t>
  </si>
  <si>
    <t xml:space="preserve">Aluminium Awning (Top-Hung) Window — 1209x909mm — Charcoal Grey (RAL 7016)</t>
  </si>
  <si>
    <t xml:space="preserve">ALS-AWW-0019</t>
  </si>
  <si>
    <t xml:space="preserve">Aluminium Awning (Top-Hung) Window — 1209x909mm — Bronze Anodised</t>
  </si>
  <si>
    <t xml:space="preserve">ALS-AWW-0020</t>
  </si>
  <si>
    <t xml:space="preserve">Aluminium Awning (Top-Hung) Window — 1209x909mm — Graphite Black (RAL 9005)</t>
  </si>
  <si>
    <t xml:space="preserve">ALS-AWW-0021</t>
  </si>
  <si>
    <t xml:space="preserve">Aluminium Awning (Top-Hung) Window — 1509x909mm — Natural Anodised</t>
  </si>
  <si>
    <t xml:space="preserve">1509x909mm</t>
  </si>
  <si>
    <t xml:space="preserve">ALS-AWW-0022</t>
  </si>
  <si>
    <t xml:space="preserve">Aluminium Awning (Top-Hung) Window — 1509x909mm — Satin White (RAL 9016)</t>
  </si>
  <si>
    <t xml:space="preserve">ALS-AWW-0023</t>
  </si>
  <si>
    <t xml:space="preserve">Aluminium Awning (Top-Hung) Window — 1509x909mm — Charcoal Grey (RAL 7016)</t>
  </si>
  <si>
    <t xml:space="preserve">ALS-AWW-0024</t>
  </si>
  <si>
    <t xml:space="preserve">Aluminium Awning (Top-Hung) Window — 1509x909mm — Bronze Anodised</t>
  </si>
  <si>
    <t xml:space="preserve">ALS-AWW-0025</t>
  </si>
  <si>
    <t xml:space="preserve">Aluminium Awning (Top-Hung) Window — 1509x909mm — Graphite Black (RAL 9005)</t>
  </si>
  <si>
    <t xml:space="preserve">ALS-AWW-0026</t>
  </si>
  <si>
    <t xml:space="preserve">Aluminium Awning (Top-Hung) Window — 1809x909mm — Natural Anodised</t>
  </si>
  <si>
    <t xml:space="preserve">ALS-AWW-0027</t>
  </si>
  <si>
    <t xml:space="preserve">Aluminium Awning (Top-Hung) Window — 1809x909mm — Satin White (RAL 9016)</t>
  </si>
  <si>
    <t xml:space="preserve">ALS-AWW-0028</t>
  </si>
  <si>
    <t xml:space="preserve">Aluminium Awning (Top-Hung) Window — 1809x909mm — Charcoal Grey (RAL 7016)</t>
  </si>
  <si>
    <t xml:space="preserve">ALS-AWW-0029</t>
  </si>
  <si>
    <t xml:space="preserve">Aluminium Awning (Top-Hung) Window — 1809x909mm — Bronze Anodised</t>
  </si>
  <si>
    <t xml:space="preserve">ALS-AWW-0030</t>
  </si>
  <si>
    <t xml:space="preserve">Aluminium Awning (Top-Hung) Window — 1809x909mm — Graphite Black (RAL 9005)</t>
  </si>
  <si>
    <t xml:space="preserve">ALS-AWW-0031</t>
  </si>
  <si>
    <t xml:space="preserve">Aluminium Awning (Top-Hung) Window — 1809x1209mm — Natural Anodised</t>
  </si>
  <si>
    <t xml:space="preserve">ALS-AWW-0032</t>
  </si>
  <si>
    <t xml:space="preserve">Aluminium Awning (Top-Hung) Window — 1809x1209mm — Satin White (RAL 9016)</t>
  </si>
  <si>
    <t xml:space="preserve">ALS-AWW-0033</t>
  </si>
  <si>
    <t xml:space="preserve">Aluminium Awning (Top-Hung) Window — 1809x1209mm — Charcoal Grey (RAL 7016)</t>
  </si>
  <si>
    <t xml:space="preserve">ALS-AWW-0034</t>
  </si>
  <si>
    <t xml:space="preserve">Aluminium Awning (Top-Hung) Window — 1809x1209mm — Bronze Anodised</t>
  </si>
  <si>
    <t xml:space="preserve">ALS-AWW-0035</t>
  </si>
  <si>
    <t xml:space="preserve">Aluminium Awning (Top-Hung) Window — 1809x1209mm — Graphite Black (RAL 9005)</t>
  </si>
  <si>
    <t xml:space="preserve">ALS-AWW-0036</t>
  </si>
  <si>
    <t xml:space="preserve">Aluminium Awning (Top-Hung) Window — 2409x1209mm — Natural Anodised</t>
  </si>
  <si>
    <t xml:space="preserve">ALS-AWW-0037</t>
  </si>
  <si>
    <t xml:space="preserve">Aluminium Awning (Top-Hung) Window — 2409x1209mm — Satin White (RAL 9016)</t>
  </si>
  <si>
    <t xml:space="preserve">ALS-AWW-0038</t>
  </si>
  <si>
    <t xml:space="preserve">Aluminium Awning (Top-Hung) Window — 2409x1209mm — Charcoal Grey (RAL 7016)</t>
  </si>
  <si>
    <t xml:space="preserve">ALS-AWW-0039</t>
  </si>
  <si>
    <t xml:space="preserve">Aluminium Awning (Top-Hung) Window — 2409x1209mm — Bronze Anodised</t>
  </si>
  <si>
    <t xml:space="preserve">ALS-AWW-0040</t>
  </si>
  <si>
    <t xml:space="preserve">Aluminium Awning (Top-Hung) Window — 2409x1209mm — Graphite Black (RAL 9005)</t>
  </si>
  <si>
    <t xml:space="preserve">ALS-HPW-0001</t>
  </si>
  <si>
    <t xml:space="preserve">Aluminium Hopper (Bottom-Hung) Window — 609x609mm — Natural Anodised</t>
  </si>
  <si>
    <t xml:space="preserve">Bottom-Hung Inward-Opening</t>
  </si>
  <si>
    <t xml:space="preserve">Institutional/Industrial</t>
  </si>
  <si>
    <t xml:space="preserve">ALS-HPW-0002</t>
  </si>
  <si>
    <t xml:space="preserve">Aluminium Hopper (Bottom-Hung) Window — 609x609mm — Satin White (RAL 9016)</t>
  </si>
  <si>
    <t xml:space="preserve">ALS-HPW-0003</t>
  </si>
  <si>
    <t xml:space="preserve">Aluminium Hopper (Bottom-Hung) Window — 609x609mm — Charcoal Grey (RAL 7016)</t>
  </si>
  <si>
    <t xml:space="preserve">ALS-HPW-0004</t>
  </si>
  <si>
    <t xml:space="preserve">Aluminium Hopper (Bottom-Hung) Window — 609x609mm — Bronze Anodised</t>
  </si>
  <si>
    <t xml:space="preserve">ALS-HPW-0005</t>
  </si>
  <si>
    <t xml:space="preserve">Aluminium Hopper (Bottom-Hung) Window — 609x609mm — Graphite Black (RAL 9005)</t>
  </si>
  <si>
    <t xml:space="preserve">ALS-HPW-0006</t>
  </si>
  <si>
    <t xml:space="preserve">Aluminium Hopper (Bottom-Hung) Window — 909x609mm — Natural Anodised</t>
  </si>
  <si>
    <t xml:space="preserve">ALS-HPW-0007</t>
  </si>
  <si>
    <t xml:space="preserve">Aluminium Hopper (Bottom-Hung) Window — 909x609mm — Satin White (RAL 9016)</t>
  </si>
  <si>
    <t xml:space="preserve">ALS-HPW-0008</t>
  </si>
  <si>
    <t xml:space="preserve">Aluminium Hopper (Bottom-Hung) Window — 909x609mm — Charcoal Grey (RAL 7016)</t>
  </si>
  <si>
    <t xml:space="preserve">ALS-HPW-0009</t>
  </si>
  <si>
    <t xml:space="preserve">Aluminium Hopper (Bottom-Hung) Window — 909x609mm — Bronze Anodised</t>
  </si>
  <si>
    <t xml:space="preserve">ALS-HPW-0010</t>
  </si>
  <si>
    <t xml:space="preserve">Aluminium Hopper (Bottom-Hung) Window — 909x609mm — Graphite Black (RAL 9005)</t>
  </si>
  <si>
    <t xml:space="preserve">ALS-HPW-0011</t>
  </si>
  <si>
    <t xml:space="preserve">Aluminium Hopper (Bottom-Hung) Window — 1209x609mm — Natural Anodised</t>
  </si>
  <si>
    <t xml:space="preserve">ALS-HPW-0012</t>
  </si>
  <si>
    <t xml:space="preserve">Aluminium Hopper (Bottom-Hung) Window — 1209x609mm — Satin White (RAL 9016)</t>
  </si>
  <si>
    <t xml:space="preserve">ALS-HPW-0013</t>
  </si>
  <si>
    <t xml:space="preserve">Aluminium Hopper (Bottom-Hung) Window — 1209x609mm — Charcoal Grey (RAL 7016)</t>
  </si>
  <si>
    <t xml:space="preserve">ALS-HPW-0014</t>
  </si>
  <si>
    <t xml:space="preserve">Aluminium Hopper (Bottom-Hung) Window — 1209x609mm — Bronze Anodised</t>
  </si>
  <si>
    <t xml:space="preserve">ALS-HPW-0015</t>
  </si>
  <si>
    <t xml:space="preserve">Aluminium Hopper (Bottom-Hung) Window — 1209x609mm — Graphite Black (RAL 9005)</t>
  </si>
  <si>
    <t xml:space="preserve">ALS-HPW-0016</t>
  </si>
  <si>
    <t xml:space="preserve">Aluminium Hopper (Bottom-Hung) Window — 1209x909mm — Natural Anodised</t>
  </si>
  <si>
    <t xml:space="preserve">ALS-HPW-0017</t>
  </si>
  <si>
    <t xml:space="preserve">Aluminium Hopper (Bottom-Hung) Window — 1209x909mm — Satin White (RAL 9016)</t>
  </si>
  <si>
    <t xml:space="preserve">ALS-HPW-0018</t>
  </si>
  <si>
    <t xml:space="preserve">Aluminium Hopper (Bottom-Hung) Window — 1209x909mm — Charcoal Grey (RAL 7016)</t>
  </si>
  <si>
    <t xml:space="preserve">ALS-HPW-0019</t>
  </si>
  <si>
    <t xml:space="preserve">Aluminium Hopper (Bottom-Hung) Window — 1209x909mm — Bronze Anodised</t>
  </si>
  <si>
    <t xml:space="preserve">ALS-HPW-0020</t>
  </si>
  <si>
    <t xml:space="preserve">Aluminium Hopper (Bottom-Hung) Window — 1209x909mm — Graphite Black (RAL 9005)</t>
  </si>
  <si>
    <t xml:space="preserve">ALS-HPW-0021</t>
  </si>
  <si>
    <t xml:space="preserve">Aluminium Hopper (Bottom-Hung) Window — 1509x909mm — Natural Anodised</t>
  </si>
  <si>
    <t xml:space="preserve">ALS-HPW-0022</t>
  </si>
  <si>
    <t xml:space="preserve">Aluminium Hopper (Bottom-Hung) Window — 1509x909mm — Satin White (RAL 9016)</t>
  </si>
  <si>
    <t xml:space="preserve">ALS-HPW-0023</t>
  </si>
  <si>
    <t xml:space="preserve">Aluminium Hopper (Bottom-Hung) Window — 1509x909mm — Charcoal Grey (RAL 7016)</t>
  </si>
  <si>
    <t xml:space="preserve">ALS-HPW-0024</t>
  </si>
  <si>
    <t xml:space="preserve">Aluminium Hopper (Bottom-Hung) Window — 1509x909mm — Bronze Anodised</t>
  </si>
  <si>
    <t xml:space="preserve">ALS-HPW-0025</t>
  </si>
  <si>
    <t xml:space="preserve">Aluminium Hopper (Bottom-Hung) Window — 1509x909mm — Graphite Black (RAL 9005)</t>
  </si>
  <si>
    <t xml:space="preserve">ALS-HPW-0026</t>
  </si>
  <si>
    <t xml:space="preserve">Aluminium Hopper (Bottom-Hung) Window — 1809x909mm — Natural Anodised</t>
  </si>
  <si>
    <t xml:space="preserve">ALS-HPW-0027</t>
  </si>
  <si>
    <t xml:space="preserve">Aluminium Hopper (Bottom-Hung) Window — 1809x909mm — Satin White (RAL 9016)</t>
  </si>
  <si>
    <t xml:space="preserve">ALS-HPW-0028</t>
  </si>
  <si>
    <t xml:space="preserve">Aluminium Hopper (Bottom-Hung) Window — 1809x909mm — Charcoal Grey (RAL 7016)</t>
  </si>
  <si>
    <t xml:space="preserve">ALS-HPW-0029</t>
  </si>
  <si>
    <t xml:space="preserve">Aluminium Hopper (Bottom-Hung) Window — 1809x909mm — Bronze Anodised</t>
  </si>
  <si>
    <t xml:space="preserve">ALS-HPW-0030</t>
  </si>
  <si>
    <t xml:space="preserve">Aluminium Hopper (Bottom-Hung) Window — 1809x909mm — Graphite Black (RAL 9005)</t>
  </si>
  <si>
    <t xml:space="preserve">ALS-LVW-0001</t>
  </si>
  <si>
    <t xml:space="preserve">Aluminium Louvre Window — 609x609mm — Natural Anodised</t>
  </si>
  <si>
    <t xml:space="preserve">Adjustable Glass Louvre Blades</t>
  </si>
  <si>
    <t xml:space="preserve">ALS-LVW-0002</t>
  </si>
  <si>
    <t xml:space="preserve">Aluminium Louvre Window — 609x609mm — Satin White (RAL 9016)</t>
  </si>
  <si>
    <t xml:space="preserve">ALS-LVW-0003</t>
  </si>
  <si>
    <t xml:space="preserve">Aluminium Louvre Window — 609x609mm — Charcoal Grey (RAL 7016)</t>
  </si>
  <si>
    <t xml:space="preserve">ALS-LVW-0004</t>
  </si>
  <si>
    <t xml:space="preserve">Aluminium Louvre Window — 609x609mm — Bronze Anodised</t>
  </si>
  <si>
    <t xml:space="preserve">ALS-LVW-0005</t>
  </si>
  <si>
    <t xml:space="preserve">Aluminium Louvre Window — 909x609mm — Natural Anodised</t>
  </si>
  <si>
    <t xml:space="preserve">ALS-LVW-0006</t>
  </si>
  <si>
    <t xml:space="preserve">Aluminium Louvre Window — 909x609mm — Satin White (RAL 9016)</t>
  </si>
  <si>
    <t xml:space="preserve">ALS-LVW-0007</t>
  </si>
  <si>
    <t xml:space="preserve">Aluminium Louvre Window — 909x609mm — Charcoal Grey (RAL 7016)</t>
  </si>
  <si>
    <t xml:space="preserve">ALS-LVW-0008</t>
  </si>
  <si>
    <t xml:space="preserve">Aluminium Louvre Window — 909x609mm — Bronze Anodised</t>
  </si>
  <si>
    <t xml:space="preserve">ALS-LVW-0009</t>
  </si>
  <si>
    <t xml:space="preserve">Aluminium Louvre Window — 1209x609mm — Natural Anodised</t>
  </si>
  <si>
    <t xml:space="preserve">ALS-LVW-0010</t>
  </si>
  <si>
    <t xml:space="preserve">Aluminium Louvre Window — 1209x609mm — Satin White (RAL 9016)</t>
  </si>
  <si>
    <t xml:space="preserve">ALS-LVW-0011</t>
  </si>
  <si>
    <t xml:space="preserve">Aluminium Louvre Window — 1209x609mm — Charcoal Grey (RAL 7016)</t>
  </si>
  <si>
    <t xml:space="preserve">ALS-LVW-0012</t>
  </si>
  <si>
    <t xml:space="preserve">Aluminium Louvre Window — 1209x609mm — Bronze Anodised</t>
  </si>
  <si>
    <t xml:space="preserve">ALS-LVW-0013</t>
  </si>
  <si>
    <t xml:space="preserve">Aluminium Louvre Window — 1209x909mm — Natural Anodised</t>
  </si>
  <si>
    <t xml:space="preserve">ALS-LVW-0014</t>
  </si>
  <si>
    <t xml:space="preserve">Aluminium Louvre Window — 1209x909mm — Satin White (RAL 9016)</t>
  </si>
  <si>
    <t xml:space="preserve">ALS-LVW-0015</t>
  </si>
  <si>
    <t xml:space="preserve">Aluminium Louvre Window — 1209x909mm — Charcoal Grey (RAL 7016)</t>
  </si>
  <si>
    <t xml:space="preserve">ALS-LVW-0016</t>
  </si>
  <si>
    <t xml:space="preserve">Aluminium Louvre Window — 1209x909mm — Bronze Anodised</t>
  </si>
  <si>
    <t xml:space="preserve">ALS-LVW-0017</t>
  </si>
  <si>
    <t xml:space="preserve">Aluminium Louvre Window — 1509x909mm — Natural Anodised</t>
  </si>
  <si>
    <t xml:space="preserve">ALS-LVW-0018</t>
  </si>
  <si>
    <t xml:space="preserve">Aluminium Louvre Window — 1509x909mm — Satin White (RAL 9016)</t>
  </si>
  <si>
    <t xml:space="preserve">ALS-LVW-0019</t>
  </si>
  <si>
    <t xml:space="preserve">Aluminium Louvre Window — 1509x909mm — Charcoal Grey (RAL 7016)</t>
  </si>
  <si>
    <t xml:space="preserve">ALS-LVW-0020</t>
  </si>
  <si>
    <t xml:space="preserve">Aluminium Louvre Window — 1509x909mm — Bronze Anodised</t>
  </si>
  <si>
    <t xml:space="preserve">ALS-LVW-0021</t>
  </si>
  <si>
    <t xml:space="preserve">Aluminium Louvre Window — 1809x909mm — Natural Anodised</t>
  </si>
  <si>
    <t xml:space="preserve">ALS-LVW-0022</t>
  </si>
  <si>
    <t xml:space="preserve">Aluminium Louvre Window — 1809x909mm — Satin White (RAL 9016)</t>
  </si>
  <si>
    <t xml:space="preserve">ALS-LVW-0023</t>
  </si>
  <si>
    <t xml:space="preserve">Aluminium Louvre Window — 1809x909mm — Charcoal Grey (RAL 7016)</t>
  </si>
  <si>
    <t xml:space="preserve">ALS-LVW-0024</t>
  </si>
  <si>
    <t xml:space="preserve">Aluminium Louvre Window — 1809x909mm — Bronze Anodised</t>
  </si>
  <si>
    <t xml:space="preserve">ALS-FXW-0001</t>
  </si>
  <si>
    <t xml:space="preserve">Aluminium Fixed Picture Window — 609x609mm — Natural Anodised — Standard Single-Glazed (4mm Clear Float)</t>
  </si>
  <si>
    <t xml:space="preserve">Fixed, Non-Opening</t>
  </si>
  <si>
    <t xml:space="preserve">ALS-FXW-0002</t>
  </si>
  <si>
    <t xml:space="preserve">Aluminium Fixed Picture Window — 609x609mm — Satin White (RAL 9016) — Standard Single-Glazed (4mm Clear Float)</t>
  </si>
  <si>
    <t xml:space="preserve">ALS-FXW-0003</t>
  </si>
  <si>
    <t xml:space="preserve">Aluminium Fixed Picture Window — 609x609mm — Charcoal Grey (RAL 7016) — Standard Single-Glazed (4mm Clear Float)</t>
  </si>
  <si>
    <t xml:space="preserve">ALS-FXW-0004</t>
  </si>
  <si>
    <t xml:space="preserve">Aluminium Fixed Picture Window — 609x609mm — Bronze Anodised — Standard Single-Glazed (4mm Clear Float)</t>
  </si>
  <si>
    <t xml:space="preserve">ALS-FXW-0005</t>
  </si>
  <si>
    <t xml:space="preserve">Aluminium Fixed Picture Window — 609x609mm — Graphite Black (RAL 9005) — Standard Single-Glazed (4mm Clear Float)</t>
  </si>
  <si>
    <t xml:space="preserve">ALS-FXW-0006</t>
  </si>
  <si>
    <t xml:space="preserve">Aluminium Fixed Picture Window — 609x609mm — Natural Anodised — IGU Double-Glazed (4-12Ar-4 Low-E)</t>
  </si>
  <si>
    <t xml:space="preserve">ALS-FXW-0007</t>
  </si>
  <si>
    <t xml:space="preserve">Aluminium Fixed Picture Window — 609x609mm — Satin White (RAL 9016) — IGU Double-Glazed (4-12Ar-4 Low-E)</t>
  </si>
  <si>
    <t xml:space="preserve">ALS-FXW-0008</t>
  </si>
  <si>
    <t xml:space="preserve">Aluminium Fixed Picture Window — 609x609mm — Charcoal Grey (RAL 7016) — IGU Double-Glazed (4-12Ar-4 Low-E)</t>
  </si>
  <si>
    <t xml:space="preserve">ALS-FXW-0009</t>
  </si>
  <si>
    <t xml:space="preserve">Aluminium Fixed Picture Window — 609x609mm — Bronze Anodised — IGU Double-Glazed (4-12Ar-4 Low-E)</t>
  </si>
  <si>
    <t xml:space="preserve">ALS-FXW-0010</t>
  </si>
  <si>
    <t xml:space="preserve">Aluminium Fixed Picture Window — 609x609mm — Graphite Black (RAL 9005) — IGU Double-Glazed (4-12Ar-4 Low-E)</t>
  </si>
  <si>
    <t xml:space="preserve">ALS-FXW-0011</t>
  </si>
  <si>
    <t xml:space="preserve">Aluminium Fixed Picture Window — 909x909mm — Natural Anodised — Standard Single-Glazed (4mm Clear Float)</t>
  </si>
  <si>
    <t xml:space="preserve">909x909mm</t>
  </si>
  <si>
    <t xml:space="preserve">ALS-FXW-0012</t>
  </si>
  <si>
    <t xml:space="preserve">Aluminium Fixed Picture Window — 909x909mm — Satin White (RAL 9016) — Standard Single-Glazed (4mm Clear Float)</t>
  </si>
  <si>
    <t xml:space="preserve">ALS-FXW-0013</t>
  </si>
  <si>
    <t xml:space="preserve">Aluminium Fixed Picture Window — 909x909mm — Charcoal Grey (RAL 7016) — Standard Single-Glazed (4mm Clear Float)</t>
  </si>
  <si>
    <t xml:space="preserve">ALS-FXW-0014</t>
  </si>
  <si>
    <t xml:space="preserve">Aluminium Fixed Picture Window — 909x909mm — Bronze Anodised — Standard Single-Glazed (4mm Clear Float)</t>
  </si>
  <si>
    <t xml:space="preserve">ALS-FXW-0015</t>
  </si>
  <si>
    <t xml:space="preserve">Aluminium Fixed Picture Window — 909x909mm — Graphite Black (RAL 9005) — Standard Single-Glazed (4mm Clear Float)</t>
  </si>
  <si>
    <t xml:space="preserve">ALS-FXW-0016</t>
  </si>
  <si>
    <t xml:space="preserve">Aluminium Fixed Picture Window — 909x909mm — Natural Anodised — IGU Double-Glazed (4-12Ar-4 Low-E)</t>
  </si>
  <si>
    <t xml:space="preserve">ALS-FXW-0017</t>
  </si>
  <si>
    <t xml:space="preserve">Aluminium Fixed Picture Window — 909x909mm — Satin White (RAL 9016) — IGU Double-Glazed (4-12Ar-4 Low-E)</t>
  </si>
  <si>
    <t xml:space="preserve">ALS-FXW-0018</t>
  </si>
  <si>
    <t xml:space="preserve">Aluminium Fixed Picture Window — 909x909mm — Charcoal Grey (RAL 7016) — IGU Double-Glazed (4-12Ar-4 Low-E)</t>
  </si>
  <si>
    <t xml:space="preserve">ALS-FXW-0019</t>
  </si>
  <si>
    <t xml:space="preserve">Aluminium Fixed Picture Window — 909x909mm — Bronze Anodised — IGU Double-Glazed (4-12Ar-4 Low-E)</t>
  </si>
  <si>
    <t xml:space="preserve">ALS-FXW-0020</t>
  </si>
  <si>
    <t xml:space="preserve">Aluminium Fixed Picture Window — 909x909mm — Graphite Black (RAL 9005) — IGU Double-Glazed (4-12Ar-4 Low-E)</t>
  </si>
  <si>
    <t xml:space="preserve">ALS-FXW-0021</t>
  </si>
  <si>
    <t xml:space="preserve">Aluminium Fixed Picture Window — 1209x909mm — Natural Anodised — Standard Single-Glazed (4mm Clear Float)</t>
  </si>
  <si>
    <t xml:space="preserve">ALS-FXW-0022</t>
  </si>
  <si>
    <t xml:space="preserve">Aluminium Fixed Picture Window — 1209x909mm — Satin White (RAL 9016) — Standard Single-Glazed (4mm Clear Float)</t>
  </si>
  <si>
    <t xml:space="preserve">ALS-FXW-0023</t>
  </si>
  <si>
    <t xml:space="preserve">Aluminium Fixed Picture Window — 1209x909mm — Charcoal Grey (RAL 7016) — Standard Single-Glazed (4mm Clear Float)</t>
  </si>
  <si>
    <t xml:space="preserve">ALS-FXW-0024</t>
  </si>
  <si>
    <t xml:space="preserve">Aluminium Fixed Picture Window — 1209x909mm — Bronze Anodised — Standard Single-Glazed (4mm Clear Float)</t>
  </si>
  <si>
    <t xml:space="preserve">ALS-FXW-0025</t>
  </si>
  <si>
    <t xml:space="preserve">Aluminium Fixed Picture Window — 1209x909mm — Graphite Black (RAL 9005) — Standard Single-Glazed (4mm Clear Float)</t>
  </si>
  <si>
    <t xml:space="preserve">ALS-FXW-0026</t>
  </si>
  <si>
    <t xml:space="preserve">Aluminium Fixed Picture Window — 1209x909mm — Natural Anodised — IGU Double-Glazed (4-12Ar-4 Low-E)</t>
  </si>
  <si>
    <t xml:space="preserve">ALS-FXW-0027</t>
  </si>
  <si>
    <t xml:space="preserve">Aluminium Fixed Picture Window — 1209x909mm — Satin White (RAL 9016) — IGU Double-Glazed (4-12Ar-4 Low-E)</t>
  </si>
  <si>
    <t xml:space="preserve">ALS-FXW-0028</t>
  </si>
  <si>
    <t xml:space="preserve">Aluminium Fixed Picture Window — 1209x909mm — Charcoal Grey (RAL 7016) — IGU Double-Glazed (4-12Ar-4 Low-E)</t>
  </si>
  <si>
    <t xml:space="preserve">ALS-FXW-0029</t>
  </si>
  <si>
    <t xml:space="preserve">Aluminium Fixed Picture Window — 1209x909mm — Bronze Anodised — IGU Double-Glazed (4-12Ar-4 Low-E)</t>
  </si>
  <si>
    <t xml:space="preserve">ALS-FXW-0030</t>
  </si>
  <si>
    <t xml:space="preserve">Aluminium Fixed Picture Window — 1209x909mm — Graphite Black (RAL 9005) — IGU Double-Glazed (4-12Ar-4 Low-E)</t>
  </si>
  <si>
    <t xml:space="preserve">ALS-FXW-0031</t>
  </si>
  <si>
    <t xml:space="preserve">Aluminium Fixed Picture Window — 1209x1209mm — Natural Anodised — Standard Single-Glazed (4mm Clear Float)</t>
  </si>
  <si>
    <t xml:space="preserve">ALS-FXW-0032</t>
  </si>
  <si>
    <t xml:space="preserve">Aluminium Fixed Picture Window — 1209x1209mm — Satin White (RAL 9016) — Standard Single-Glazed (4mm Clear Float)</t>
  </si>
  <si>
    <t xml:space="preserve">ALS-FXW-0033</t>
  </si>
  <si>
    <t xml:space="preserve">Aluminium Fixed Picture Window — 1209x1209mm — Charcoal Grey (RAL 7016) — Standard Single-Glazed (4mm Clear Float)</t>
  </si>
  <si>
    <t xml:space="preserve">ALS-FXW-0034</t>
  </si>
  <si>
    <t xml:space="preserve">Aluminium Fixed Picture Window — 1209x1209mm — Bronze Anodised — Standard Single-Glazed (4mm Clear Float)</t>
  </si>
  <si>
    <t xml:space="preserve">ALS-FXW-0035</t>
  </si>
  <si>
    <t xml:space="preserve">Aluminium Fixed Picture Window — 1209x1209mm — Graphite Black (RAL 9005) — Standard Single-Glazed (4mm Clear Float)</t>
  </si>
  <si>
    <t xml:space="preserve">ALS-FXW-0036</t>
  </si>
  <si>
    <t xml:space="preserve">Aluminium Fixed Picture Window — 1209x1209mm — Natural Anodised — IGU Double-Glazed (4-12Ar-4 Low-E)</t>
  </si>
  <si>
    <t xml:space="preserve">ALS-FXW-0037</t>
  </si>
  <si>
    <t xml:space="preserve">Aluminium Fixed Picture Window — 1209x1209mm — Satin White (RAL 9016) — IGU Double-Glazed (4-12Ar-4 Low-E)</t>
  </si>
  <si>
    <t xml:space="preserve">ALS-FXW-0038</t>
  </si>
  <si>
    <t xml:space="preserve">Aluminium Fixed Picture Window — 1209x1209mm — Charcoal Grey (RAL 7016) — IGU Double-Glazed (4-12Ar-4 Low-E)</t>
  </si>
  <si>
    <t xml:space="preserve">ALS-FXW-0039</t>
  </si>
  <si>
    <t xml:space="preserve">Aluminium Fixed Picture Window — 1209x1209mm — Bronze Anodised — IGU Double-Glazed (4-12Ar-4 Low-E)</t>
  </si>
  <si>
    <t xml:space="preserve">ALS-FXW-0040</t>
  </si>
  <si>
    <t xml:space="preserve">Aluminium Fixed Picture Window — 1209x1209mm — Graphite Black (RAL 9005) — IGU Double-Glazed (4-12Ar-4 Low-E)</t>
  </si>
  <si>
    <t xml:space="preserve">ALS-FXW-0041</t>
  </si>
  <si>
    <t xml:space="preserve">Aluminium Fixed Picture Window — 1809x1209mm — Natural Anodised — Standard Single-Glazed (4mm Clear Float)</t>
  </si>
  <si>
    <t xml:space="preserve">ALS-FXW-0042</t>
  </si>
  <si>
    <t xml:space="preserve">Aluminium Fixed Picture Window — 1809x1209mm — Satin White (RAL 9016) — Standard Single-Glazed (4mm Clear Float)</t>
  </si>
  <si>
    <t xml:space="preserve">ALS-FXW-0043</t>
  </si>
  <si>
    <t xml:space="preserve">Aluminium Fixed Picture Window — 1809x1209mm — Charcoal Grey (RAL 7016) — Standard Single-Glazed (4mm Clear Float)</t>
  </si>
  <si>
    <t xml:space="preserve">ALS-FXW-0044</t>
  </si>
  <si>
    <t xml:space="preserve">Aluminium Fixed Picture Window — 1809x1209mm — Bronze Anodised — Standard Single-Glazed (4mm Clear Float)</t>
  </si>
  <si>
    <t xml:space="preserve">ALS-FXW-0045</t>
  </si>
  <si>
    <t xml:space="preserve">Aluminium Fixed Picture Window — 1809x1209mm — Graphite Black (RAL 9005) — Standard Single-Glazed (4mm Clear Float)</t>
  </si>
  <si>
    <t xml:space="preserve">ALS-FXW-0046</t>
  </si>
  <si>
    <t xml:space="preserve">Aluminium Fixed Picture Window — 1809x1209mm — Natural Anodised — IGU Double-Glazed (4-12Ar-4 Low-E)</t>
  </si>
  <si>
    <t xml:space="preserve">ALS-FXW-0047</t>
  </si>
  <si>
    <t xml:space="preserve">Aluminium Fixed Picture Window — 1809x1209mm — Satin White (RAL 9016) — IGU Double-Glazed (4-12Ar-4 Low-E)</t>
  </si>
  <si>
    <t xml:space="preserve">ALS-FXW-0048</t>
  </si>
  <si>
    <t xml:space="preserve">Aluminium Fixed Picture Window — 1809x1209mm — Charcoal Grey (RAL 7016) — IGU Double-Glazed (4-12Ar-4 Low-E)</t>
  </si>
  <si>
    <t xml:space="preserve">ALS-FXW-0049</t>
  </si>
  <si>
    <t xml:space="preserve">Aluminium Fixed Picture Window — 1809x1209mm — Bronze Anodised — IGU Double-Glazed (4-12Ar-4 Low-E)</t>
  </si>
  <si>
    <t xml:space="preserve">ALS-FXW-0050</t>
  </si>
  <si>
    <t xml:space="preserve">Aluminium Fixed Picture Window — 1809x1209mm — Graphite Black (RAL 9005) — IGU Double-Glazed (4-12Ar-4 Low-E)</t>
  </si>
  <si>
    <t xml:space="preserve">ALS-FXW-0051</t>
  </si>
  <si>
    <t xml:space="preserve">Aluminium Fixed Picture Window — 1809x1509mm — Natural Anodised — Standard Single-Glazed (4mm Clear Float)</t>
  </si>
  <si>
    <t xml:space="preserve">ALS-FXW-0052</t>
  </si>
  <si>
    <t xml:space="preserve">Aluminium Fixed Picture Window — 1809x1509mm — Satin White (RAL 9016) — Standard Single-Glazed (4mm Clear Float)</t>
  </si>
  <si>
    <t xml:space="preserve">ALS-FXW-0053</t>
  </si>
  <si>
    <t xml:space="preserve">Aluminium Fixed Picture Window — 1809x1509mm — Charcoal Grey (RAL 7016) — Standard Single-Glazed (4mm Clear Float)</t>
  </si>
  <si>
    <t xml:space="preserve">ALS-FXW-0054</t>
  </si>
  <si>
    <t xml:space="preserve">Aluminium Fixed Picture Window — 1809x1509mm — Bronze Anodised — Standard Single-Glazed (4mm Clear Float)</t>
  </si>
  <si>
    <t xml:space="preserve">ALS-FXW-0055</t>
  </si>
  <si>
    <t xml:space="preserve">Aluminium Fixed Picture Window — 1809x1509mm — Graphite Black (RAL 9005) — Standard Single-Glazed (4mm Clear Float)</t>
  </si>
  <si>
    <t xml:space="preserve">ALS-FXW-0056</t>
  </si>
  <si>
    <t xml:space="preserve">Aluminium Fixed Picture Window — 1809x1509mm — Natural Anodised — IGU Double-Glazed (4-12Ar-4 Low-E)</t>
  </si>
  <si>
    <t xml:space="preserve">ALS-FXW-0057</t>
  </si>
  <si>
    <t xml:space="preserve">Aluminium Fixed Picture Window — 1809x1509mm — Satin White (RAL 9016) — IGU Double-Glazed (4-12Ar-4 Low-E)</t>
  </si>
  <si>
    <t xml:space="preserve">ALS-FXW-0058</t>
  </si>
  <si>
    <t xml:space="preserve">Aluminium Fixed Picture Window — 1809x1509mm — Charcoal Grey (RAL 7016) — IGU Double-Glazed (4-12Ar-4 Low-E)</t>
  </si>
  <si>
    <t xml:space="preserve">ALS-FXW-0059</t>
  </si>
  <si>
    <t xml:space="preserve">Aluminium Fixed Picture Window — 1809x1509mm — Bronze Anodised — IGU Double-Glazed (4-12Ar-4 Low-E)</t>
  </si>
  <si>
    <t xml:space="preserve">ALS-FXW-0060</t>
  </si>
  <si>
    <t xml:space="preserve">Aluminium Fixed Picture Window — 1809x1509mm — Graphite Black (RAL 9005) — IGU Double-Glazed (4-12Ar-4 Low-E)</t>
  </si>
  <si>
    <t xml:space="preserve">ALS-FXW-0061</t>
  </si>
  <si>
    <t xml:space="preserve">Aluminium Fixed Picture Window — 2409x1209mm — Natural Anodised — Standard Single-Glazed (4mm Clear Float)</t>
  </si>
  <si>
    <t xml:space="preserve">ALS-FXW-0062</t>
  </si>
  <si>
    <t xml:space="preserve">Aluminium Fixed Picture Window — 2409x1209mm — Satin White (RAL 9016) — Standard Single-Glazed (4mm Clear Float)</t>
  </si>
  <si>
    <t xml:space="preserve">ALS-FXW-0063</t>
  </si>
  <si>
    <t xml:space="preserve">Aluminium Fixed Picture Window — 2409x1209mm — Charcoal Grey (RAL 7016) — Standard Single-Glazed (4mm Clear Float)</t>
  </si>
  <si>
    <t xml:space="preserve">ALS-FXW-0064</t>
  </si>
  <si>
    <t xml:space="preserve">Aluminium Fixed Picture Window — 2409x1209mm — Bronze Anodised — Standard Single-Glazed (4mm Clear Float)</t>
  </si>
  <si>
    <t xml:space="preserve">ALS-FXW-0065</t>
  </si>
  <si>
    <t xml:space="preserve">Aluminium Fixed Picture Window — 2409x1209mm — Graphite Black (RAL 9005) — Standard Single-Glazed (4mm Clear Float)</t>
  </si>
  <si>
    <t xml:space="preserve">ALS-FXW-0066</t>
  </si>
  <si>
    <t xml:space="preserve">Aluminium Fixed Picture Window — 2409x1209mm — Natural Anodised — IGU Double-Glazed (4-12Ar-4 Low-E)</t>
  </si>
  <si>
    <t xml:space="preserve">ALS-FXW-0067</t>
  </si>
  <si>
    <t xml:space="preserve">Aluminium Fixed Picture Window — 2409x1209mm — Satin White (RAL 9016) — IGU Double-Glazed (4-12Ar-4 Low-E)</t>
  </si>
  <si>
    <t xml:space="preserve">ALS-FXW-0068</t>
  </si>
  <si>
    <t xml:space="preserve">Aluminium Fixed Picture Window — 2409x1209mm — Charcoal Grey (RAL 7016) — IGU Double-Glazed (4-12Ar-4 Low-E)</t>
  </si>
  <si>
    <t xml:space="preserve">ALS-FXW-0069</t>
  </si>
  <si>
    <t xml:space="preserve">Aluminium Fixed Picture Window — 2409x1209mm — Bronze Anodised — IGU Double-Glazed (4-12Ar-4 Low-E)</t>
  </si>
  <si>
    <t xml:space="preserve">ALS-FXW-0070</t>
  </si>
  <si>
    <t xml:space="preserve">Aluminium Fixed Picture Window — 2409x1209mm — Graphite Black (RAL 9005) — IGU Double-Glazed (4-12Ar-4 Low-E)</t>
  </si>
  <si>
    <t xml:space="preserve">ALS-FXW-0071</t>
  </si>
  <si>
    <t xml:space="preserve">Aluminium Fixed Picture Window — 2409x1509mm — Natural Anodised — Standard Single-Glazed (4mm Clear Float)</t>
  </si>
  <si>
    <t xml:space="preserve">ALS-FXW-0072</t>
  </si>
  <si>
    <t xml:space="preserve">Aluminium Fixed Picture Window — 2409x1509mm — Satin White (RAL 9016) — Standard Single-Glazed (4mm Clear Float)</t>
  </si>
  <si>
    <t xml:space="preserve">ALS-FXW-0073</t>
  </si>
  <si>
    <t xml:space="preserve">Aluminium Fixed Picture Window — 2409x1509mm — Charcoal Grey (RAL 7016) — Standard Single-Glazed (4mm Clear Float)</t>
  </si>
  <si>
    <t xml:space="preserve">ALS-FXW-0074</t>
  </si>
  <si>
    <t xml:space="preserve">Aluminium Fixed Picture Window — 2409x1509mm — Bronze Anodised — Standard Single-Glazed (4mm Clear Float)</t>
  </si>
  <si>
    <t xml:space="preserve">ALS-FXW-0075</t>
  </si>
  <si>
    <t xml:space="preserve">Aluminium Fixed Picture Window — 2409x1509mm — Graphite Black (RAL 9005) — Standard Single-Glazed (4mm Clear Float)</t>
  </si>
  <si>
    <t xml:space="preserve">ALS-FXW-0076</t>
  </si>
  <si>
    <t xml:space="preserve">Aluminium Fixed Picture Window — 2409x1509mm — Natural Anodised — IGU Double-Glazed (4-12Ar-4 Low-E)</t>
  </si>
  <si>
    <t xml:space="preserve">ALS-FXW-0077</t>
  </si>
  <si>
    <t xml:space="preserve">Aluminium Fixed Picture Window — 2409x1509mm — Satin White (RAL 9016) — IGU Double-Glazed (4-12Ar-4 Low-E)</t>
  </si>
  <si>
    <t xml:space="preserve">ALS-FXW-0078</t>
  </si>
  <si>
    <t xml:space="preserve">Aluminium Fixed Picture Window — 2409x1509mm — Charcoal Grey (RAL 7016) — IGU Double-Glazed (4-12Ar-4 Low-E)</t>
  </si>
  <si>
    <t xml:space="preserve">ALS-FXW-0079</t>
  </si>
  <si>
    <t xml:space="preserve">Aluminium Fixed Picture Window — 2409x1509mm — Bronze Anodised — IGU Double-Glazed (4-12Ar-4 Low-E)</t>
  </si>
  <si>
    <t xml:space="preserve">ALS-FXW-0080</t>
  </si>
  <si>
    <t xml:space="preserve">Aluminium Fixed Picture Window — 2409x1509mm — Graphite Black (RAL 9005) — IGU Double-Glazed (4-12Ar-4 Low-E)</t>
  </si>
  <si>
    <t xml:space="preserve">ALS-FXW-0081</t>
  </si>
  <si>
    <t xml:space="preserve">Aluminium Fixed Picture Window — 3009x1509mm — Natural Anodised — Standard Single-Glazed (4mm Clear Float)</t>
  </si>
  <si>
    <t xml:space="preserve">ALS-FXW-0082</t>
  </si>
  <si>
    <t xml:space="preserve">Aluminium Fixed Picture Window — 3009x1509mm — Satin White (RAL 9016) — Standard Single-Glazed (4mm Clear Float)</t>
  </si>
  <si>
    <t xml:space="preserve">ALS-FXW-0083</t>
  </si>
  <si>
    <t xml:space="preserve">Aluminium Fixed Picture Window — 3009x1509mm — Charcoal Grey (RAL 7016) — Standard Single-Glazed (4mm Clear Float)</t>
  </si>
  <si>
    <t xml:space="preserve">ALS-FXW-0084</t>
  </si>
  <si>
    <t xml:space="preserve">Aluminium Fixed Picture Window — 3009x1509mm — Bronze Anodised — Standard Single-Glazed (4mm Clear Float)</t>
  </si>
  <si>
    <t xml:space="preserve">ALS-FXW-0085</t>
  </si>
  <si>
    <t xml:space="preserve">Aluminium Fixed Picture Window — 3009x1509mm — Graphite Black (RAL 9005) — Standard Single-Glazed (4mm Clear Float)</t>
  </si>
  <si>
    <t xml:space="preserve">ALS-FXW-0086</t>
  </si>
  <si>
    <t xml:space="preserve">Aluminium Fixed Picture Window — 3009x1509mm — Natural Anodised — IGU Double-Glazed (4-12Ar-4 Low-E)</t>
  </si>
  <si>
    <t xml:space="preserve">ALS-FXW-0087</t>
  </si>
  <si>
    <t xml:space="preserve">Aluminium Fixed Picture Window — 3009x1509mm — Satin White (RAL 9016) — IGU Double-Glazed (4-12Ar-4 Low-E)</t>
  </si>
  <si>
    <t xml:space="preserve">ALS-FXW-0088</t>
  </si>
  <si>
    <t xml:space="preserve">Aluminium Fixed Picture Window — 3009x1509mm — Charcoal Grey (RAL 7016) — IGU Double-Glazed (4-12Ar-4 Low-E)</t>
  </si>
  <si>
    <t xml:space="preserve">ALS-FXW-0089</t>
  </si>
  <si>
    <t xml:space="preserve">Aluminium Fixed Picture Window — 3009x1509mm — Bronze Anodised — IGU Double-Glazed (4-12Ar-4 Low-E)</t>
  </si>
  <si>
    <t xml:space="preserve">ALS-FXW-0090</t>
  </si>
  <si>
    <t xml:space="preserve">Aluminium Fixed Picture Window — 3009x1509mm — Graphite Black (RAL 9005) — IGU Double-Glazed (4-12Ar-4 Low-E)</t>
  </si>
  <si>
    <t xml:space="preserve">ALS-FXW-0091</t>
  </si>
  <si>
    <t xml:space="preserve">Aluminium Fixed Picture Window — 3009x1809mm — Natural Anodised — Standard Single-Glazed (4mm Clear Float)</t>
  </si>
  <si>
    <t xml:space="preserve">3009x1809mm</t>
  </si>
  <si>
    <t xml:space="preserve">ALS-FXW-0092</t>
  </si>
  <si>
    <t xml:space="preserve">Aluminium Fixed Picture Window — 3009x1809mm — Satin White (RAL 9016) — Standard Single-Glazed (4mm Clear Float)</t>
  </si>
  <si>
    <t xml:space="preserve">ALS-FXW-0093</t>
  </si>
  <si>
    <t xml:space="preserve">Aluminium Fixed Picture Window — 3009x1809mm — Charcoal Grey (RAL 7016) — Standard Single-Glazed (4mm Clear Float)</t>
  </si>
  <si>
    <t xml:space="preserve">ALS-FXW-0094</t>
  </si>
  <si>
    <t xml:space="preserve">Aluminium Fixed Picture Window — 3009x1809mm — Bronze Anodised — Standard Single-Glazed (4mm Clear Float)</t>
  </si>
  <si>
    <t xml:space="preserve">ALS-FXW-0095</t>
  </si>
  <si>
    <t xml:space="preserve">Aluminium Fixed Picture Window — 3009x1809mm — Graphite Black (RAL 9005) — Standard Single-Glazed (4mm Clear Float)</t>
  </si>
  <si>
    <t xml:space="preserve">ALS-FXW-0096</t>
  </si>
  <si>
    <t xml:space="preserve">Aluminium Fixed Picture Window — 3009x1809mm — Natural Anodised — IGU Double-Glazed (4-12Ar-4 Low-E)</t>
  </si>
  <si>
    <t xml:space="preserve">ALS-FXW-0097</t>
  </si>
  <si>
    <t xml:space="preserve">Aluminium Fixed Picture Window — 3009x1809mm — Satin White (RAL 9016) — IGU Double-Glazed (4-12Ar-4 Low-E)</t>
  </si>
  <si>
    <t xml:space="preserve">ALS-FXW-0098</t>
  </si>
  <si>
    <t xml:space="preserve">Aluminium Fixed Picture Window — 3009x1809mm — Charcoal Grey (RAL 7016) — IGU Double-Glazed (4-12Ar-4 Low-E)</t>
  </si>
  <si>
    <t xml:space="preserve">ALS-FXW-0099</t>
  </si>
  <si>
    <t xml:space="preserve">Aluminium Fixed Picture Window — 3009x1809mm — Bronze Anodised — IGU Double-Glazed (4-12Ar-4 Low-E)</t>
  </si>
  <si>
    <t xml:space="preserve">ALS-FXW-0100</t>
  </si>
  <si>
    <t xml:space="preserve">Aluminium Fixed Picture Window — 3009x1809mm — Graphite Black (RAL 9005) — IGU Double-Glazed (4-12Ar-4 Low-E)</t>
  </si>
  <si>
    <t xml:space="preserve">ALS-TTW-0001</t>
  </si>
  <si>
    <t xml:space="preserve">Aluminium Tilt &amp; Turn Window — 609x909mm — Natural Anodised</t>
  </si>
  <si>
    <t xml:space="preserve">Dual-Action Tilt &amp; Turn</t>
  </si>
  <si>
    <t xml:space="preserve">ALS-TTW-0002</t>
  </si>
  <si>
    <t xml:space="preserve">Aluminium Tilt &amp; Turn Window — 609x909mm — Satin White (RAL 9016)</t>
  </si>
  <si>
    <t xml:space="preserve">ALS-TTW-0003</t>
  </si>
  <si>
    <t xml:space="preserve">Aluminium Tilt &amp; Turn Window — 609x909mm — Charcoal Grey (RAL 7016)</t>
  </si>
  <si>
    <t xml:space="preserve">ALS-TTW-0004</t>
  </si>
  <si>
    <t xml:space="preserve">Aluminium Tilt &amp; Turn Window — 609x909mm — Bronze Anodised</t>
  </si>
  <si>
    <t xml:space="preserve">ALS-TTW-0005</t>
  </si>
  <si>
    <t xml:space="preserve">Aluminium Tilt &amp; Turn Window — 609x909mm — Graphite Black (RAL 9005)</t>
  </si>
  <si>
    <t xml:space="preserve">ALS-TTW-0006</t>
  </si>
  <si>
    <t xml:space="preserve">Aluminium Tilt &amp; Turn Window — 909x1209mm — Natural Anodised</t>
  </si>
  <si>
    <t xml:space="preserve">ALS-TTW-0007</t>
  </si>
  <si>
    <t xml:space="preserve">Aluminium Tilt &amp; Turn Window — 909x1209mm — Satin White (RAL 9016)</t>
  </si>
  <si>
    <t xml:space="preserve">ALS-TTW-0008</t>
  </si>
  <si>
    <t xml:space="preserve">Aluminium Tilt &amp; Turn Window — 909x1209mm — Charcoal Grey (RAL 7016)</t>
  </si>
  <si>
    <t xml:space="preserve">ALS-TTW-0009</t>
  </si>
  <si>
    <t xml:space="preserve">Aluminium Tilt &amp; Turn Window — 909x1209mm — Bronze Anodised</t>
  </si>
  <si>
    <t xml:space="preserve">ALS-TTW-0010</t>
  </si>
  <si>
    <t xml:space="preserve">Aluminium Tilt &amp; Turn Window — 909x1209mm — Graphite Black (RAL 9005)</t>
  </si>
  <si>
    <t xml:space="preserve">ALS-TTW-0011</t>
  </si>
  <si>
    <t xml:space="preserve">Aluminium Tilt &amp; Turn Window — 1209x1209mm — Natural Anodised</t>
  </si>
  <si>
    <t xml:space="preserve">ALS-TTW-0012</t>
  </si>
  <si>
    <t xml:space="preserve">Aluminium Tilt &amp; Turn Window — 1209x1209mm — Satin White (RAL 9016)</t>
  </si>
  <si>
    <t xml:space="preserve">ALS-TTW-0013</t>
  </si>
  <si>
    <t xml:space="preserve">Aluminium Tilt &amp; Turn Window — 1209x1209mm — Charcoal Grey (RAL 7016)</t>
  </si>
  <si>
    <t xml:space="preserve">ALS-TTW-0014</t>
  </si>
  <si>
    <t xml:space="preserve">Aluminium Tilt &amp; Turn Window — 1209x1209mm — Bronze Anodised</t>
  </si>
  <si>
    <t xml:space="preserve">ALS-TTW-0015</t>
  </si>
  <si>
    <t xml:space="preserve">Aluminium Tilt &amp; Turn Window — 1209x1209mm — Graphite Black (RAL 9005)</t>
  </si>
  <si>
    <t xml:space="preserve">ALS-TTW-0016</t>
  </si>
  <si>
    <t xml:space="preserve">Aluminium Tilt &amp; Turn Window — 1209x1509mm — Natural Anodised</t>
  </si>
  <si>
    <t xml:space="preserve">ALS-TTW-0017</t>
  </si>
  <si>
    <t xml:space="preserve">Aluminium Tilt &amp; Turn Window — 1209x1509mm — Satin White (RAL 9016)</t>
  </si>
  <si>
    <t xml:space="preserve">ALS-TTW-0018</t>
  </si>
  <si>
    <t xml:space="preserve">Aluminium Tilt &amp; Turn Window — 1209x1509mm — Charcoal Grey (RAL 7016)</t>
  </si>
  <si>
    <t xml:space="preserve">ALS-TTW-0019</t>
  </si>
  <si>
    <t xml:space="preserve">Aluminium Tilt &amp; Turn Window — 1209x1509mm — Bronze Anodised</t>
  </si>
  <si>
    <t xml:space="preserve">ALS-TTW-0020</t>
  </si>
  <si>
    <t xml:space="preserve">Aluminium Tilt &amp; Turn Window — 1209x1509mm — Graphite Black (RAL 9005)</t>
  </si>
  <si>
    <t xml:space="preserve">ALS-TTW-0021</t>
  </si>
  <si>
    <t xml:space="preserve">Aluminium Tilt &amp; Turn Window — 1509x1509mm — Natural Anodised</t>
  </si>
  <si>
    <t xml:space="preserve">1509x1509mm</t>
  </si>
  <si>
    <t xml:space="preserve">ALS-TTW-0022</t>
  </si>
  <si>
    <t xml:space="preserve">Aluminium Tilt &amp; Turn Window — 1509x1509mm — Satin White (RAL 9016)</t>
  </si>
  <si>
    <t xml:space="preserve">ALS-TTW-0023</t>
  </si>
  <si>
    <t xml:space="preserve">Aluminium Tilt &amp; Turn Window — 1509x1509mm — Charcoal Grey (RAL 7016)</t>
  </si>
  <si>
    <t xml:space="preserve">ALS-TTW-0024</t>
  </si>
  <si>
    <t xml:space="preserve">Aluminium Tilt &amp; Turn Window — 1509x1509mm — Bronze Anodised</t>
  </si>
  <si>
    <t xml:space="preserve">ALS-TTW-0025</t>
  </si>
  <si>
    <t xml:space="preserve">Aluminium Tilt &amp; Turn Window — 1509x1509mm — Graphite Black (RAL 9005)</t>
  </si>
  <si>
    <t xml:space="preserve">ALS-TTW-0026</t>
  </si>
  <si>
    <t xml:space="preserve">Aluminium Tilt &amp; Turn Window — 1809x1509mm — Natural Anodised</t>
  </si>
  <si>
    <t xml:space="preserve">ALS-TTW-0027</t>
  </si>
  <si>
    <t xml:space="preserve">Aluminium Tilt &amp; Turn Window — 1809x1509mm — Satin White (RAL 9016)</t>
  </si>
  <si>
    <t xml:space="preserve">ALS-TTW-0028</t>
  </si>
  <si>
    <t xml:space="preserve">Aluminium Tilt &amp; Turn Window — 1809x1509mm — Charcoal Grey (RAL 7016)</t>
  </si>
  <si>
    <t xml:space="preserve">ALS-TTW-0029</t>
  </si>
  <si>
    <t xml:space="preserve">Aluminium Tilt &amp; Turn Window — 1809x1509mm — Bronze Anodised</t>
  </si>
  <si>
    <t xml:space="preserve">ALS-TTW-0030</t>
  </si>
  <si>
    <t xml:space="preserve">Aluminium Tilt &amp; Turn Window — 1809x1509mm — Graphite Black (RAL 9005)</t>
  </si>
  <si>
    <t xml:space="preserve">ALS-TTW-0031</t>
  </si>
  <si>
    <t xml:space="preserve">Aluminium Tilt &amp; Turn Window — 1809x2009mm — Natural Anodised</t>
  </si>
  <si>
    <t xml:space="preserve">1809x2009mm</t>
  </si>
  <si>
    <t xml:space="preserve">ALS-TTW-0032</t>
  </si>
  <si>
    <t xml:space="preserve">Aluminium Tilt &amp; Turn Window — 1809x2009mm — Satin White (RAL 9016)</t>
  </si>
  <si>
    <t xml:space="preserve">ALS-TTW-0033</t>
  </si>
  <si>
    <t xml:space="preserve">Aluminium Tilt &amp; Turn Window — 1809x2009mm — Charcoal Grey (RAL 7016)</t>
  </si>
  <si>
    <t xml:space="preserve">ALS-TTW-0034</t>
  </si>
  <si>
    <t xml:space="preserve">Aluminium Tilt &amp; Turn Window — 1809x2009mm — Bronze Anodised</t>
  </si>
  <si>
    <t xml:space="preserve">ALS-TTW-0035</t>
  </si>
  <si>
    <t xml:space="preserve">Aluminium Tilt &amp; Turn Window — 1809x2009mm — Graphite Black (RAL 9005)</t>
  </si>
  <si>
    <t xml:space="preserve">ALS-TTW-0036</t>
  </si>
  <si>
    <t xml:space="preserve">Aluminium Tilt &amp; Turn Window — 2409x1509mm — Natural Anodised</t>
  </si>
  <si>
    <t xml:space="preserve">ALS-TTW-0037</t>
  </si>
  <si>
    <t xml:space="preserve">Aluminium Tilt &amp; Turn Window — 2409x1509mm — Satin White (RAL 9016)</t>
  </si>
  <si>
    <t xml:space="preserve">ALS-TTW-0038</t>
  </si>
  <si>
    <t xml:space="preserve">Aluminium Tilt &amp; Turn Window — 2409x1509mm — Charcoal Grey (RAL 7016)</t>
  </si>
  <si>
    <t xml:space="preserve">ALS-TTW-0039</t>
  </si>
  <si>
    <t xml:space="preserve">Aluminium Tilt &amp; Turn Window — 2409x1509mm — Bronze Anodised</t>
  </si>
  <si>
    <t xml:space="preserve">ALS-TTW-0040</t>
  </si>
  <si>
    <t xml:space="preserve">Aluminium Tilt &amp; Turn Window — 2409x1509mm — Graphite Black (RAL 9005)</t>
  </si>
  <si>
    <t xml:space="preserve">ALS-BBW-0001</t>
  </si>
  <si>
    <t xml:space="preserve">Aluminium 3-Panel Bay (30°/90°/30°) Window Unit — 1809x1509mm — Natural Anodised</t>
  </si>
  <si>
    <t xml:space="preserve">3-Panel Bay (30°/90°/30°)</t>
  </si>
  <si>
    <t xml:space="preserve">Residential</t>
  </si>
  <si>
    <t xml:space="preserve">ALS-BBW-0002</t>
  </si>
  <si>
    <t xml:space="preserve">Aluminium 3-Panel Bay (30°/90°/30°) Window Unit — 1809x1509mm — Satin White (RAL 9016)</t>
  </si>
  <si>
    <t xml:space="preserve">ALS-BBW-0003</t>
  </si>
  <si>
    <t xml:space="preserve">Aluminium 3-Panel Bay (30°/90°/30°) Window Unit — 1809x1509mm — Charcoal Grey (RAL 7016)</t>
  </si>
  <si>
    <t xml:space="preserve">ALS-BBW-0004</t>
  </si>
  <si>
    <t xml:space="preserve">Aluminium 3-Panel Bay (30°/90°/30°) Window Unit — 1809x1509mm — Bronze Anodised</t>
  </si>
  <si>
    <t xml:space="preserve">ALS-BBW-0005</t>
  </si>
  <si>
    <t xml:space="preserve">Aluminium 3-Panel Bay (30°/90°/30°) Window Unit — 2409x1509mm — Natural Anodised</t>
  </si>
  <si>
    <t xml:space="preserve">ALS-BBW-0006</t>
  </si>
  <si>
    <t xml:space="preserve">Aluminium 3-Panel Bay (30°/90°/30°) Window Unit — 2409x1509mm — Satin White (RAL 9016)</t>
  </si>
  <si>
    <t xml:space="preserve">ALS-BBW-0007</t>
  </si>
  <si>
    <t xml:space="preserve">Aluminium 3-Panel Bay (30°/90°/30°) Window Unit — 2409x1509mm — Charcoal Grey (RAL 7016)</t>
  </si>
  <si>
    <t xml:space="preserve">ALS-BBW-0008</t>
  </si>
  <si>
    <t xml:space="preserve">Aluminium 3-Panel Bay (30°/90°/30°) Window Unit — 2409x1509mm — Bronze Anodised</t>
  </si>
  <si>
    <t xml:space="preserve">ALS-BBW-0009</t>
  </si>
  <si>
    <t xml:space="preserve">Aluminium 3-Panel Bay (30°/90°/30°) Window Unit — 2409x1809mm — Natural Anodised</t>
  </si>
  <si>
    <t xml:space="preserve">2409x1809mm</t>
  </si>
  <si>
    <t xml:space="preserve">ALS-BBW-0010</t>
  </si>
  <si>
    <t xml:space="preserve">Aluminium 3-Panel Bay (30°/90°/30°) Window Unit — 2409x1809mm — Satin White (RAL 9016)</t>
  </si>
  <si>
    <t xml:space="preserve">ALS-BBW-0011</t>
  </si>
  <si>
    <t xml:space="preserve">Aluminium 3-Panel Bay (30°/90°/30°) Window Unit — 2409x1809mm — Charcoal Grey (RAL 7016)</t>
  </si>
  <si>
    <t xml:space="preserve">ALS-BBW-0012</t>
  </si>
  <si>
    <t xml:space="preserve">Aluminium 3-Panel Bay (30°/90°/30°) Window Unit — 2409x1809mm — Bronze Anodised</t>
  </si>
  <si>
    <t xml:space="preserve">ALS-BBW-0013</t>
  </si>
  <si>
    <t xml:space="preserve">Aluminium 3-Panel Bay (30°/90°/30°) Window Unit — 3009x1809mm — Natural Anodised</t>
  </si>
  <si>
    <t xml:space="preserve">ALS-BBW-0014</t>
  </si>
  <si>
    <t xml:space="preserve">Aluminium 3-Panel Bay (30°/90°/30°) Window Unit — 3009x1809mm — Satin White (RAL 9016)</t>
  </si>
  <si>
    <t xml:space="preserve">ALS-BBW-0015</t>
  </si>
  <si>
    <t xml:space="preserve">Aluminium 3-Panel Bay (30°/90°/30°) Window Unit — 3009x1809mm — Charcoal Grey (RAL 7016)</t>
  </si>
  <si>
    <t xml:space="preserve">ALS-BBW-0016</t>
  </si>
  <si>
    <t xml:space="preserve">Aluminium 3-Panel Bay (30°/90°/30°) Window Unit — 3009x1809mm — Bronze Anodised</t>
  </si>
  <si>
    <t xml:space="preserve">ALS-BBW-0017</t>
  </si>
  <si>
    <t xml:space="preserve">Aluminium 5-Panel Bow (Curved Radius) Window Unit — 1809x1509mm — Natural Anodised</t>
  </si>
  <si>
    <t xml:space="preserve">5-Panel Bow (Curved Radius)</t>
  </si>
  <si>
    <t xml:space="preserve">ALS-BBW-0018</t>
  </si>
  <si>
    <t xml:space="preserve">Aluminium 5-Panel Bow (Curved Radius) Window Unit — 1809x1509mm — Satin White (RAL 9016)</t>
  </si>
  <si>
    <t xml:space="preserve">ALS-BBW-0019</t>
  </si>
  <si>
    <t xml:space="preserve">Aluminium 5-Panel Bow (Curved Radius) Window Unit — 1809x1509mm — Charcoal Grey (RAL 7016)</t>
  </si>
  <si>
    <t xml:space="preserve">ALS-BBW-0020</t>
  </si>
  <si>
    <t xml:space="preserve">Aluminium 5-Panel Bow (Curved Radius) Window Unit — 1809x1509mm — Bronze Anodised</t>
  </si>
  <si>
    <t xml:space="preserve">ALS-BBW-0021</t>
  </si>
  <si>
    <t xml:space="preserve">Aluminium 5-Panel Bow (Curved Radius) Window Unit — 2409x1509mm — Natural Anodised</t>
  </si>
  <si>
    <t xml:space="preserve">ALS-BBW-0022</t>
  </si>
  <si>
    <t xml:space="preserve">Aluminium 5-Panel Bow (Curved Radius) Window Unit — 2409x1509mm — Satin White (RAL 9016)</t>
  </si>
  <si>
    <t xml:space="preserve">ALS-BBW-0023</t>
  </si>
  <si>
    <t xml:space="preserve">Aluminium 5-Panel Bow (Curved Radius) Window Unit — 2409x1509mm — Charcoal Grey (RAL 7016)</t>
  </si>
  <si>
    <t xml:space="preserve">ALS-BBW-0024</t>
  </si>
  <si>
    <t xml:space="preserve">Aluminium 5-Panel Bow (Curved Radius) Window Unit — 2409x1509mm — Bronze Anodised</t>
  </si>
  <si>
    <t xml:space="preserve">ALS-BBW-0025</t>
  </si>
  <si>
    <t xml:space="preserve">Aluminium 5-Panel Bow (Curved Radius) Window Unit — 2409x1809mm — Natural Anodised</t>
  </si>
  <si>
    <t xml:space="preserve">ALS-BBW-0026</t>
  </si>
  <si>
    <t xml:space="preserve">Aluminium 5-Panel Bow (Curved Radius) Window Unit — 2409x1809mm — Satin White (RAL 9016)</t>
  </si>
  <si>
    <t xml:space="preserve">ALS-BBW-0027</t>
  </si>
  <si>
    <t xml:space="preserve">Aluminium 5-Panel Bow (Curved Radius) Window Unit — 2409x1809mm — Charcoal Grey (RAL 7016)</t>
  </si>
  <si>
    <t xml:space="preserve">ALS-BBW-0028</t>
  </si>
  <si>
    <t xml:space="preserve">Aluminium 5-Panel Bow (Curved Radius) Window Unit — 2409x1809mm — Bronze Anodised</t>
  </si>
  <si>
    <t xml:space="preserve">ALS-BBW-0029</t>
  </si>
  <si>
    <t xml:space="preserve">Aluminium 5-Panel Bow (Curved Radius) Window Unit — 3009x1809mm — Natural Anodised</t>
  </si>
  <si>
    <t xml:space="preserve">ALS-BBW-0030</t>
  </si>
  <si>
    <t xml:space="preserve">Aluminium 5-Panel Bow (Curved Radius) Window Unit — 3009x1809mm — Satin White (RAL 9016)</t>
  </si>
  <si>
    <t xml:space="preserve">ALS-BBW-0031</t>
  </si>
  <si>
    <t xml:space="preserve">Aluminium 5-Panel Bow (Curved Radius) Window Unit — 3009x1809mm — Charcoal Grey (RAL 7016)</t>
  </si>
  <si>
    <t xml:space="preserve">ALS-BBW-0032</t>
  </si>
  <si>
    <t xml:space="preserve">Aluminium 5-Panel Bow (Curved Radius) Window Unit — 3009x1809mm — Bronze Anodised</t>
  </si>
  <si>
    <t xml:space="preserve">ALS-BBW-0033</t>
  </si>
  <si>
    <t xml:space="preserve">Aluminium Box Bay (90° Square) Window Unit — 1809x1509mm — Natural Anodised</t>
  </si>
  <si>
    <t xml:space="preserve">Box Bay (90° Square)</t>
  </si>
  <si>
    <t xml:space="preserve">ALS-BBW-0034</t>
  </si>
  <si>
    <t xml:space="preserve">Aluminium Box Bay (90° Square) Window Unit — 1809x1509mm — Satin White (RAL 9016)</t>
  </si>
  <si>
    <t xml:space="preserve">ALS-BBW-0035</t>
  </si>
  <si>
    <t xml:space="preserve">Aluminium Box Bay (90° Square) Window Unit — 1809x1509mm — Charcoal Grey (RAL 7016)</t>
  </si>
  <si>
    <t xml:space="preserve">ALS-BBW-0036</t>
  </si>
  <si>
    <t xml:space="preserve">Aluminium Box Bay (90° Square) Window Unit — 1809x1509mm — Bronze Anodised</t>
  </si>
  <si>
    <t xml:space="preserve">ALS-BBW-0037</t>
  </si>
  <si>
    <t xml:space="preserve">Aluminium Box Bay (90° Square) Window Unit — 2409x1509mm — Natural Anodised</t>
  </si>
  <si>
    <t xml:space="preserve">ALS-BBW-0038</t>
  </si>
  <si>
    <t xml:space="preserve">Aluminium Box Bay (90° Square) Window Unit — 2409x1509mm — Satin White (RAL 9016)</t>
  </si>
  <si>
    <t xml:space="preserve">ALS-BBW-0039</t>
  </si>
  <si>
    <t xml:space="preserve">Aluminium Box Bay (90° Square) Window Unit — 2409x1509mm — Charcoal Grey (RAL 7016)</t>
  </si>
  <si>
    <t xml:space="preserve">ALS-BBW-0040</t>
  </si>
  <si>
    <t xml:space="preserve">Aluminium Box Bay (90° Square) Window Unit — 2409x1509mm — Bronze Anodised</t>
  </si>
  <si>
    <t xml:space="preserve">ALS-BBW-0041</t>
  </si>
  <si>
    <t xml:space="preserve">Aluminium Box Bay (90° Square) Window Unit — 2409x1809mm — Natural Anodised</t>
  </si>
  <si>
    <t xml:space="preserve">ALS-BBW-0042</t>
  </si>
  <si>
    <t xml:space="preserve">Aluminium Box Bay (90° Square) Window Unit — 2409x1809mm — Satin White (RAL 9016)</t>
  </si>
  <si>
    <t xml:space="preserve">ALS-BBW-0043</t>
  </si>
  <si>
    <t xml:space="preserve">Aluminium Box Bay (90° Square) Window Unit — 2409x1809mm — Charcoal Grey (RAL 7016)</t>
  </si>
  <si>
    <t xml:space="preserve">ALS-BBW-0044</t>
  </si>
  <si>
    <t xml:space="preserve">Aluminium Box Bay (90° Square) Window Unit — 2409x1809mm — Bronze Anodised</t>
  </si>
  <si>
    <t xml:space="preserve">ALS-BBW-0045</t>
  </si>
  <si>
    <t xml:space="preserve">Aluminium Box Bay (90° Square) Window Unit — 3009x1809mm — Natural Anodised</t>
  </si>
  <si>
    <t xml:space="preserve">ALS-BBW-0046</t>
  </si>
  <si>
    <t xml:space="preserve">Aluminium Box Bay (90° Square) Window Unit — 3009x1809mm — Satin White (RAL 9016)</t>
  </si>
  <si>
    <t xml:space="preserve">ALS-BBW-0047</t>
  </si>
  <si>
    <t xml:space="preserve">Aluminium Box Bay (90° Square) Window Unit — 3009x1809mm — Charcoal Grey (RAL 7016)</t>
  </si>
  <si>
    <t xml:space="preserve">ALS-BBW-0048</t>
  </si>
  <si>
    <t xml:space="preserve">Aluminium Box Bay (90° Square) Window Unit — 3009x1809mm — Bronze Anodised</t>
  </si>
  <si>
    <t xml:space="preserve">ALS-SLD-0001</t>
  </si>
  <si>
    <t xml:space="preserve">Aluminium Sliding Door — 2-Panel Slider (1 Fixed + 1 Sliding) — 1809x2009mm — Natural Anodised — 6.38mm Laminated Safety</t>
  </si>
  <si>
    <t xml:space="preserve">2-Panel Slider (1 Fixed + 1 Sliding)</t>
  </si>
  <si>
    <t xml:space="preserve">ALS-SLD-0002</t>
  </si>
  <si>
    <t xml:space="preserve">Aluminium Sliding Door — 2-Panel Slider (1 Fixed + 1 Sliding) — 1809x2009mm — Satin White (RAL 9016) — 6.38mm Laminated Safety</t>
  </si>
  <si>
    <t xml:space="preserve">ALS-SLD-0003</t>
  </si>
  <si>
    <t xml:space="preserve">Aluminium Sliding Door — 2-Panel Slider (1 Fixed + 1 Sliding) — 1809x2009mm — Charcoal Grey (RAL 7016) — 6.38mm Laminated Safety</t>
  </si>
  <si>
    <t xml:space="preserve">ALS-SLD-0004</t>
  </si>
  <si>
    <t xml:space="preserve">Aluminium Sliding Door — 2-Panel Slider (1 Fixed + 1 Sliding) — 1809x2009mm — Bronze Anodised — 6.38mm Laminated Safety</t>
  </si>
  <si>
    <t xml:space="preserve">ALS-SLD-0005</t>
  </si>
  <si>
    <t xml:space="preserve">Aluminium Sliding Door — 2-Panel Slider (1 Fixed + 1 Sliding) — 1809x2009mm — Graphite Black (RAL 9005) — 6.38mm Laminated Safety</t>
  </si>
  <si>
    <t xml:space="preserve">ALS-SLD-0006</t>
  </si>
  <si>
    <t xml:space="preserve">Aluminium Sliding Door — 2-Panel Slider (1 Fixed + 1 Sliding) — 1809x2009mm — Natural Anodised — IGU Double-Glazed Laminated (6.38-12Ar-4 Low-E)</t>
  </si>
  <si>
    <t xml:space="preserve">ALS-SLD-0007</t>
  </si>
  <si>
    <t xml:space="preserve">Aluminium Sliding Door — 2-Panel Slider (1 Fixed + 1 Sliding) — 1809x2009mm — Satin White (RAL 9016) — IGU Double-Glazed Laminated (6.38-12Ar-4 Low-E)</t>
  </si>
  <si>
    <t xml:space="preserve">ALS-SLD-0008</t>
  </si>
  <si>
    <t xml:space="preserve">Aluminium Sliding Door — 2-Panel Slider (1 Fixed + 1 Sliding) — 1809x2009mm — Charcoal Grey (RAL 7016) — IGU Double-Glazed Laminated (6.38-12Ar-4 Low-E)</t>
  </si>
  <si>
    <t xml:space="preserve">ALS-SLD-0009</t>
  </si>
  <si>
    <t xml:space="preserve">Aluminium Sliding Door — 2-Panel Slider (1 Fixed + 1 Sliding) — 1809x2009mm — Bronze Anodised — IGU Double-Glazed Laminated (6.38-12Ar-4 Low-E)</t>
  </si>
  <si>
    <t xml:space="preserve">ALS-SLD-0010</t>
  </si>
  <si>
    <t xml:space="preserve">Aluminium Sliding Door — 2-Panel Slider (1 Fixed + 1 Sliding) — 1809x2009mm — Graphite Black (RAL 9005) — IGU Double-Glazed Laminated (6.38-12Ar-4 Low-E)</t>
  </si>
  <si>
    <t xml:space="preserve">ALS-SLD-0011</t>
  </si>
  <si>
    <t xml:space="preserve">Aluminium Sliding Door — 2-Panel Slider (1 Fixed + 1 Sliding) — 2409x2009mm — Natural Anodised — 6.38mm Laminated Safety</t>
  </si>
  <si>
    <t xml:space="preserve">2409x2009mm</t>
  </si>
  <si>
    <t xml:space="preserve">ALS-SLD-0012</t>
  </si>
  <si>
    <t xml:space="preserve">Aluminium Sliding Door — 2-Panel Slider (1 Fixed + 1 Sliding) — 2409x2009mm — Satin White (RAL 9016) — 6.38mm Laminated Safety</t>
  </si>
  <si>
    <t xml:space="preserve">ALS-SLD-0013</t>
  </si>
  <si>
    <t xml:space="preserve">Aluminium Sliding Door — 2-Panel Slider (1 Fixed + 1 Sliding) — 2409x2009mm — Charcoal Grey (RAL 7016) — 6.38mm Laminated Safety</t>
  </si>
  <si>
    <t xml:space="preserve">ALS-SLD-0014</t>
  </si>
  <si>
    <t xml:space="preserve">Aluminium Sliding Door — 2-Panel Slider (1 Fixed + 1 Sliding) — 2409x2009mm — Bronze Anodised — 6.38mm Laminated Safety</t>
  </si>
  <si>
    <t xml:space="preserve">ALS-SLD-0015</t>
  </si>
  <si>
    <t xml:space="preserve">Aluminium Sliding Door — 2-Panel Slider (1 Fixed + 1 Sliding) — 2409x2009mm — Graphite Black (RAL 9005) — 6.38mm Laminated Safety</t>
  </si>
  <si>
    <t xml:space="preserve">ALS-SLD-0016</t>
  </si>
  <si>
    <t xml:space="preserve">Aluminium Sliding Door — 2-Panel Slider (1 Fixed + 1 Sliding) — 2409x2009mm — Natural Anodised — IGU Double-Glazed Laminated (6.38-12Ar-4 Low-E)</t>
  </si>
  <si>
    <t xml:space="preserve">ALS-SLD-0017</t>
  </si>
  <si>
    <t xml:space="preserve">Aluminium Sliding Door — 2-Panel Slider (1 Fixed + 1 Sliding) — 2409x2009mm — Satin White (RAL 9016) — IGU Double-Glazed Laminated (6.38-12Ar-4 Low-E)</t>
  </si>
  <si>
    <t xml:space="preserve">ALS-SLD-0018</t>
  </si>
  <si>
    <t xml:space="preserve">Aluminium Sliding Door — 2-Panel Slider (1 Fixed + 1 Sliding) — 2409x2009mm — Charcoal Grey (RAL 7016) — IGU Double-Glazed Laminated (6.38-12Ar-4 Low-E)</t>
  </si>
  <si>
    <t xml:space="preserve">ALS-SLD-0019</t>
  </si>
  <si>
    <t xml:space="preserve">Aluminium Sliding Door — 2-Panel Slider (1 Fixed + 1 Sliding) — 2409x2009mm — Bronze Anodised — IGU Double-Glazed Laminated (6.38-12Ar-4 Low-E)</t>
  </si>
  <si>
    <t xml:space="preserve">ALS-SLD-0020</t>
  </si>
  <si>
    <t xml:space="preserve">Aluminium Sliding Door — 2-Panel Slider (1 Fixed + 1 Sliding) — 2409x2009mm — Graphite Black (RAL 9005) — IGU Double-Glazed Laminated (6.38-12Ar-4 Low-E)</t>
  </si>
  <si>
    <t xml:space="preserve">ALS-SLD-0021</t>
  </si>
  <si>
    <t xml:space="preserve">Aluminium Sliding Door — 2-Panel Slider (1 Fixed + 1 Sliding) — 1809x2090mm — Natural Anodised — 6.38mm Laminated Safety</t>
  </si>
  <si>
    <t xml:space="preserve">1809x2090mm</t>
  </si>
  <si>
    <t xml:space="preserve">ALS-SLD-0022</t>
  </si>
  <si>
    <t xml:space="preserve">Aluminium Sliding Door — 2-Panel Slider (1 Fixed + 1 Sliding) — 1809x2090mm — Satin White (RAL 9016) — 6.38mm Laminated Safety</t>
  </si>
  <si>
    <t xml:space="preserve">ALS-SLD-0023</t>
  </si>
  <si>
    <t xml:space="preserve">Aluminium Sliding Door — 2-Panel Slider (1 Fixed + 1 Sliding) — 1809x2090mm — Charcoal Grey (RAL 7016) — 6.38mm Laminated Safety</t>
  </si>
  <si>
    <t xml:space="preserve">ALS-SLD-0024</t>
  </si>
  <si>
    <t xml:space="preserve">Aluminium Sliding Door — 2-Panel Slider (1 Fixed + 1 Sliding) — 1809x2090mm — Bronze Anodised — 6.38mm Laminated Safety</t>
  </si>
  <si>
    <t xml:space="preserve">ALS-SLD-0025</t>
  </si>
  <si>
    <t xml:space="preserve">Aluminium Sliding Door — 2-Panel Slider (1 Fixed + 1 Sliding) — 1809x2090mm — Graphite Black (RAL 9005) — 6.38mm Laminated Safety</t>
  </si>
  <si>
    <t xml:space="preserve">ALS-SLD-0026</t>
  </si>
  <si>
    <t xml:space="preserve">Aluminium Sliding Door — 2-Panel Slider (1 Fixed + 1 Sliding) — 1809x2090mm — Natural Anodised — IGU Double-Glazed Laminated (6.38-12Ar-4 Low-E)</t>
  </si>
  <si>
    <t xml:space="preserve">ALS-SLD-0027</t>
  </si>
  <si>
    <t xml:space="preserve">Aluminium Sliding Door — 2-Panel Slider (1 Fixed + 1 Sliding) — 1809x2090mm — Satin White (RAL 9016) — IGU Double-Glazed Laminated (6.38-12Ar-4 Low-E)</t>
  </si>
  <si>
    <t xml:space="preserve">ALS-SLD-0028</t>
  </si>
  <si>
    <t xml:space="preserve">Aluminium Sliding Door — 2-Panel Slider (1 Fixed + 1 Sliding) — 1809x2090mm — Charcoal Grey (RAL 7016) — IGU Double-Glazed Laminated (6.38-12Ar-4 Low-E)</t>
  </si>
  <si>
    <t xml:space="preserve">ALS-SLD-0029</t>
  </si>
  <si>
    <t xml:space="preserve">Aluminium Sliding Door — 2-Panel Slider (1 Fixed + 1 Sliding) — 1809x2090mm — Bronze Anodised — IGU Double-Glazed Laminated (6.38-12Ar-4 Low-E)</t>
  </si>
  <si>
    <t xml:space="preserve">ALS-SLD-0030</t>
  </si>
  <si>
    <t xml:space="preserve">Aluminium Sliding Door — 2-Panel Slider (1 Fixed + 1 Sliding) — 1809x2090mm — Graphite Black (RAL 9005) — IGU Double-Glazed Laminated (6.38-12Ar-4 Low-E)</t>
  </si>
  <si>
    <t xml:space="preserve">ALS-SLD-0031</t>
  </si>
  <si>
    <t xml:space="preserve">Aluminium Sliding Door — 2-Panel Slider (1 Fixed + 1 Sliding) — 2409x2090mm — Natural Anodised — 6.38mm Laminated Safety</t>
  </si>
  <si>
    <t xml:space="preserve">2409x2090mm</t>
  </si>
  <si>
    <t xml:space="preserve">ALS-SLD-0032</t>
  </si>
  <si>
    <t xml:space="preserve">Aluminium Sliding Door — 2-Panel Slider (1 Fixed + 1 Sliding) — 2409x2090mm — Satin White (RAL 9016) — 6.38mm Laminated Safety</t>
  </si>
  <si>
    <t xml:space="preserve">ALS-SLD-0033</t>
  </si>
  <si>
    <t xml:space="preserve">Aluminium Sliding Door — 2-Panel Slider (1 Fixed + 1 Sliding) — 2409x2090mm — Charcoal Grey (RAL 7016) — 6.38mm Laminated Safety</t>
  </si>
  <si>
    <t xml:space="preserve">ALS-SLD-0034</t>
  </si>
  <si>
    <t xml:space="preserve">Aluminium Sliding Door — 2-Panel Slider (1 Fixed + 1 Sliding) — 2409x2090mm — Bronze Anodised — 6.38mm Laminated Safety</t>
  </si>
  <si>
    <t xml:space="preserve">ALS-SLD-0035</t>
  </si>
  <si>
    <t xml:space="preserve">Aluminium Sliding Door — 2-Panel Slider (1 Fixed + 1 Sliding) — 2409x2090mm — Graphite Black (RAL 9005) — 6.38mm Laminated Safety</t>
  </si>
  <si>
    <t xml:space="preserve">ALS-SLD-0036</t>
  </si>
  <si>
    <t xml:space="preserve">Aluminium Sliding Door — 2-Panel Slider (1 Fixed + 1 Sliding) — 2409x2090mm — Natural Anodised — IGU Double-Glazed Laminated (6.38-12Ar-4 Low-E)</t>
  </si>
  <si>
    <t xml:space="preserve">ALS-SLD-0037</t>
  </si>
  <si>
    <t xml:space="preserve">Aluminium Sliding Door — 2-Panel Slider (1 Fixed + 1 Sliding) — 2409x2090mm — Satin White (RAL 9016) — IGU Double-Glazed Laminated (6.38-12Ar-4 Low-E)</t>
  </si>
  <si>
    <t xml:space="preserve">ALS-SLD-0038</t>
  </si>
  <si>
    <t xml:space="preserve">Aluminium Sliding Door — 2-Panel Slider (1 Fixed + 1 Sliding) — 2409x2090mm — Charcoal Grey (RAL 7016) — IGU Double-Glazed Laminated (6.38-12Ar-4 Low-E)</t>
  </si>
  <si>
    <t xml:space="preserve">ALS-SLD-0039</t>
  </si>
  <si>
    <t xml:space="preserve">Aluminium Sliding Door — 2-Panel Slider (1 Fixed + 1 Sliding) — 2409x2090mm — Bronze Anodised — IGU Double-Glazed Laminated (6.38-12Ar-4 Low-E)</t>
  </si>
  <si>
    <t xml:space="preserve">ALS-SLD-0040</t>
  </si>
  <si>
    <t xml:space="preserve">Aluminium Sliding Door — 2-Panel Slider (1 Fixed + 1 Sliding) — 2409x2090mm — Graphite Black (RAL 9005) — IGU Double-Glazed Laminated (6.38-12Ar-4 Low-E)</t>
  </si>
  <si>
    <t xml:space="preserve">ALS-SLD-0041</t>
  </si>
  <si>
    <t xml:space="preserve">Aluminium Sliding Door — 2-Panel Slider (1 Fixed + 1 Sliding) — 3009x2090mm — Natural Anodised — 6.38mm Laminated Safety</t>
  </si>
  <si>
    <t xml:space="preserve">3009x2090mm</t>
  </si>
  <si>
    <t xml:space="preserve">ALS-SLD-0042</t>
  </si>
  <si>
    <t xml:space="preserve">Aluminium Sliding Door — 2-Panel Slider (1 Fixed + 1 Sliding) — 3009x2090mm — Satin White (RAL 9016) — 6.38mm Laminated Safety</t>
  </si>
  <si>
    <t xml:space="preserve">ALS-SLD-0043</t>
  </si>
  <si>
    <t xml:space="preserve">Aluminium Sliding Door — 2-Panel Slider (1 Fixed + 1 Sliding) — 3009x2090mm — Charcoal Grey (RAL 7016) — 6.38mm Laminated Safety</t>
  </si>
  <si>
    <t xml:space="preserve">ALS-SLD-0044</t>
  </si>
  <si>
    <t xml:space="preserve">Aluminium Sliding Door — 2-Panel Slider (1 Fixed + 1 Sliding) — 3009x2090mm — Bronze Anodised — 6.38mm Laminated Safety</t>
  </si>
  <si>
    <t xml:space="preserve">ALS-SLD-0045</t>
  </si>
  <si>
    <t xml:space="preserve">Aluminium Sliding Door — 2-Panel Slider (1 Fixed + 1 Sliding) — 3009x2090mm — Graphite Black (RAL 9005) — 6.38mm Laminated Safety</t>
  </si>
  <si>
    <t xml:space="preserve">ALS-SLD-0046</t>
  </si>
  <si>
    <t xml:space="preserve">Aluminium Sliding Door — 2-Panel Slider (1 Fixed + 1 Sliding) — 3009x2090mm — Natural Anodised — IGU Double-Glazed Laminated (6.38-12Ar-4 Low-E)</t>
  </si>
  <si>
    <t xml:space="preserve">ALS-SLD-0047</t>
  </si>
  <si>
    <t xml:space="preserve">Aluminium Sliding Door — 2-Panel Slider (1 Fixed + 1 Sliding) — 3009x2090mm — Satin White (RAL 9016) — IGU Double-Glazed Laminated (6.38-12Ar-4 Low-E)</t>
  </si>
  <si>
    <t xml:space="preserve">ALS-SLD-0048</t>
  </si>
  <si>
    <t xml:space="preserve">Aluminium Sliding Door — 2-Panel Slider (1 Fixed + 1 Sliding) — 3009x2090mm — Charcoal Grey (RAL 7016) — IGU Double-Glazed Laminated (6.38-12Ar-4 Low-E)</t>
  </si>
  <si>
    <t xml:space="preserve">ALS-SLD-0049</t>
  </si>
  <si>
    <t xml:space="preserve">Aluminium Sliding Door — 2-Panel Slider (1 Fixed + 1 Sliding) — 3009x2090mm — Bronze Anodised — IGU Double-Glazed Laminated (6.38-12Ar-4 Low-E)</t>
  </si>
  <si>
    <t xml:space="preserve">ALS-SLD-0050</t>
  </si>
  <si>
    <t xml:space="preserve">Aluminium Sliding Door — 2-Panel Slider (1 Fixed + 1 Sliding) — 3009x2090mm — Graphite Black (RAL 9005) — IGU Double-Glazed Laminated (6.38-12Ar-4 Low-E)</t>
  </si>
  <si>
    <t xml:space="preserve">ALS-SLD-0051</t>
  </si>
  <si>
    <t xml:space="preserve">Aluminium Sliding Door — 2-Panel Slider (1 Fixed + 1 Sliding) — 3609x2090mm — Natural Anodised — 6.38mm Laminated Safety</t>
  </si>
  <si>
    <t xml:space="preserve">3609x2090mm</t>
  </si>
  <si>
    <t xml:space="preserve">ALS-SLD-0052</t>
  </si>
  <si>
    <t xml:space="preserve">Aluminium Sliding Door — 2-Panel Slider (1 Fixed + 1 Sliding) — 3609x2090mm — Satin White (RAL 9016) — 6.38mm Laminated Safety</t>
  </si>
  <si>
    <t xml:space="preserve">ALS-SLD-0053</t>
  </si>
  <si>
    <t xml:space="preserve">Aluminium Sliding Door — 2-Panel Slider (1 Fixed + 1 Sliding) — 3609x2090mm — Charcoal Grey (RAL 7016) — 6.38mm Laminated Safety</t>
  </si>
  <si>
    <t xml:space="preserve">ALS-SLD-0054</t>
  </si>
  <si>
    <t xml:space="preserve">Aluminium Sliding Door — 2-Panel Slider (1 Fixed + 1 Sliding) — 3609x2090mm — Bronze Anodised — 6.38mm Laminated Safety</t>
  </si>
  <si>
    <t xml:space="preserve">ALS-SLD-0055</t>
  </si>
  <si>
    <t xml:space="preserve">Aluminium Sliding Door — 2-Panel Slider (1 Fixed + 1 Sliding) — 3609x2090mm — Graphite Black (RAL 9005) — 6.38mm Laminated Safety</t>
  </si>
  <si>
    <t xml:space="preserve">ALS-SLD-0056</t>
  </si>
  <si>
    <t xml:space="preserve">Aluminium Sliding Door — 2-Panel Slider (1 Fixed + 1 Sliding) — 3609x2090mm — Natural Anodised — IGU Double-Glazed Laminated (6.38-12Ar-4 Low-E)</t>
  </si>
  <si>
    <t xml:space="preserve">ALS-SLD-0057</t>
  </si>
  <si>
    <t xml:space="preserve">Aluminium Sliding Door — 2-Panel Slider (1 Fixed + 1 Sliding) — 3609x2090mm — Satin White (RAL 9016) — IGU Double-Glazed Laminated (6.38-12Ar-4 Low-E)</t>
  </si>
  <si>
    <t xml:space="preserve">ALS-SLD-0058</t>
  </si>
  <si>
    <t xml:space="preserve">Aluminium Sliding Door — 2-Panel Slider (1 Fixed + 1 Sliding) — 3609x2090mm — Charcoal Grey (RAL 7016) — IGU Double-Glazed Laminated (6.38-12Ar-4 Low-E)</t>
  </si>
  <si>
    <t xml:space="preserve">ALS-SLD-0059</t>
  </si>
  <si>
    <t xml:space="preserve">Aluminium Sliding Door — 2-Panel Slider (1 Fixed + 1 Sliding) — 3609x2090mm — Bronze Anodised — IGU Double-Glazed Laminated (6.38-12Ar-4 Low-E)</t>
  </si>
  <si>
    <t xml:space="preserve">ALS-SLD-0060</t>
  </si>
  <si>
    <t xml:space="preserve">Aluminium Sliding Door — 2-Panel Slider (1 Fixed + 1 Sliding) — 3609x2090mm — Graphite Black (RAL 9005) — IGU Double-Glazed Laminated (6.38-12Ar-4 Low-E)</t>
  </si>
  <si>
    <t xml:space="preserve">ALS-SLD-0061</t>
  </si>
  <si>
    <t xml:space="preserve">Aluminium Sliding Door — 2-Panel Slider (1 Fixed + 1 Sliding) — 4209x2090mm — Natural Anodised — 6.38mm Laminated Safety</t>
  </si>
  <si>
    <t xml:space="preserve">4209x2090mm</t>
  </si>
  <si>
    <t xml:space="preserve">ALS-SLD-0062</t>
  </si>
  <si>
    <t xml:space="preserve">Aluminium Sliding Door — 2-Panel Slider (1 Fixed + 1 Sliding) — 4209x2090mm — Satin White (RAL 9016) — 6.38mm Laminated Safety</t>
  </si>
  <si>
    <t xml:space="preserve">ALS-SLD-0063</t>
  </si>
  <si>
    <t xml:space="preserve">Aluminium Sliding Door — 2-Panel Slider (1 Fixed + 1 Sliding) — 4209x2090mm — Charcoal Grey (RAL 7016) — 6.38mm Laminated Safety</t>
  </si>
  <si>
    <t xml:space="preserve">ALS-SLD-0064</t>
  </si>
  <si>
    <t xml:space="preserve">Aluminium Sliding Door — 2-Panel Slider (1 Fixed + 1 Sliding) — 4209x2090mm — Bronze Anodised — 6.38mm Laminated Safety</t>
  </si>
  <si>
    <t xml:space="preserve">ALS-SLD-0065</t>
  </si>
  <si>
    <t xml:space="preserve">Aluminium Sliding Door — 2-Panel Slider (1 Fixed + 1 Sliding) — 4209x2090mm — Graphite Black (RAL 9005) — 6.38mm Laminated Safety</t>
  </si>
  <si>
    <t xml:space="preserve">ALS-SLD-0066</t>
  </si>
  <si>
    <t xml:space="preserve">Aluminium Sliding Door — 2-Panel Slider (1 Fixed + 1 Sliding) — 4209x2090mm — Natural Anodised — IGU Double-Glazed Laminated (6.38-12Ar-4 Low-E)</t>
  </si>
  <si>
    <t xml:space="preserve">ALS-SLD-0067</t>
  </si>
  <si>
    <t xml:space="preserve">Aluminium Sliding Door — 2-Panel Slider (1 Fixed + 1 Sliding) — 4209x2090mm — Satin White (RAL 9016) — IGU Double-Glazed Laminated (6.38-12Ar-4 Low-E)</t>
  </si>
  <si>
    <t xml:space="preserve">ALS-SLD-0068</t>
  </si>
  <si>
    <t xml:space="preserve">Aluminium Sliding Door — 2-Panel Slider (1 Fixed + 1 Sliding) — 4209x2090mm — Charcoal Grey (RAL 7016) — IGU Double-Glazed Laminated (6.38-12Ar-4 Low-E)</t>
  </si>
  <si>
    <t xml:space="preserve">ALS-SLD-0069</t>
  </si>
  <si>
    <t xml:space="preserve">Aluminium Sliding Door — 2-Panel Slider (1 Fixed + 1 Sliding) — 4209x2090mm — Bronze Anodised — IGU Double-Glazed Laminated (6.38-12Ar-4 Low-E)</t>
  </si>
  <si>
    <t xml:space="preserve">ALS-SLD-0070</t>
  </si>
  <si>
    <t xml:space="preserve">Aluminium Sliding Door — 2-Panel Slider (1 Fixed + 1 Sliding) — 4209x2090mm — Graphite Black (RAL 9005) — IGU Double-Glazed Laminated (6.38-12Ar-4 Low-E)</t>
  </si>
  <si>
    <t xml:space="preserve">ALS-SLD-0071</t>
  </si>
  <si>
    <t xml:space="preserve">Aluminium Sliding Door — 2-Panel Slider (1 Fixed + 1 Sliding) — 4809x2090mm — Natural Anodised — 6.38mm Laminated Safety</t>
  </si>
  <si>
    <t xml:space="preserve">4809x2090mm</t>
  </si>
  <si>
    <t xml:space="preserve">ALS-SLD-0072</t>
  </si>
  <si>
    <t xml:space="preserve">Aluminium Sliding Door — 2-Panel Slider (1 Fixed + 1 Sliding) — 4809x2090mm — Satin White (RAL 9016) — 6.38mm Laminated Safety</t>
  </si>
  <si>
    <t xml:space="preserve">ALS-SLD-0073</t>
  </si>
  <si>
    <t xml:space="preserve">Aluminium Sliding Door — 2-Panel Slider (1 Fixed + 1 Sliding) — 4809x2090mm — Charcoal Grey (RAL 7016) — 6.38mm Laminated Safety</t>
  </si>
  <si>
    <t xml:space="preserve">ALS-SLD-0074</t>
  </si>
  <si>
    <t xml:space="preserve">Aluminium Sliding Door — 2-Panel Slider (1 Fixed + 1 Sliding) — 4809x2090mm — Bronze Anodised — 6.38mm Laminated Safety</t>
  </si>
  <si>
    <t xml:space="preserve">ALS-SLD-0075</t>
  </si>
  <si>
    <t xml:space="preserve">Aluminium Sliding Door — 2-Panel Slider (1 Fixed + 1 Sliding) — 4809x2090mm — Graphite Black (RAL 9005) — 6.38mm Laminated Safety</t>
  </si>
  <si>
    <t xml:space="preserve">ALS-SLD-0076</t>
  </si>
  <si>
    <t xml:space="preserve">Aluminium Sliding Door — 2-Panel Slider (1 Fixed + 1 Sliding) — 4809x2090mm — Natural Anodised — IGU Double-Glazed Laminated (6.38-12Ar-4 Low-E)</t>
  </si>
  <si>
    <t xml:space="preserve">ALS-SLD-0077</t>
  </si>
  <si>
    <t xml:space="preserve">Aluminium Sliding Door — 2-Panel Slider (1 Fixed + 1 Sliding) — 4809x2090mm — Satin White (RAL 9016) — IGU Double-Glazed Laminated (6.38-12Ar-4 Low-E)</t>
  </si>
  <si>
    <t xml:space="preserve">ALS-SLD-0078</t>
  </si>
  <si>
    <t xml:space="preserve">Aluminium Sliding Door — 2-Panel Slider (1 Fixed + 1 Sliding) — 4809x2090mm — Charcoal Grey (RAL 7016) — IGU Double-Glazed Laminated (6.38-12Ar-4 Low-E)</t>
  </si>
  <si>
    <t xml:space="preserve">ALS-SLD-0079</t>
  </si>
  <si>
    <t xml:space="preserve">Aluminium Sliding Door — 2-Panel Slider (1 Fixed + 1 Sliding) — 4809x2090mm — Bronze Anodised — IGU Double-Glazed Laminated (6.38-12Ar-4 Low-E)</t>
  </si>
  <si>
    <t xml:space="preserve">ALS-SLD-0080</t>
  </si>
  <si>
    <t xml:space="preserve">Aluminium Sliding Door — 2-Panel Slider (1 Fixed + 1 Sliding) — 4809x2090mm — Graphite Black (RAL 9005) — IGU Double-Glazed Laminated (6.38-12Ar-4 Low-E)</t>
  </si>
  <si>
    <t xml:space="preserve">ALS-SLD-0081</t>
  </si>
  <si>
    <t xml:space="preserve">Aluminium Sliding Door — 3-Panel Slider (Centre Slide) — 1809x2009mm — Natural Anodised — 6.38mm Laminated Safety</t>
  </si>
  <si>
    <t xml:space="preserve">3-Panel Slider (Centre Slide)</t>
  </si>
  <si>
    <t xml:space="preserve">ALS-SLD-0082</t>
  </si>
  <si>
    <t xml:space="preserve">Aluminium Sliding Door — 3-Panel Slider (Centre Slide) — 1809x2009mm — Satin White (RAL 9016) — 6.38mm Laminated Safety</t>
  </si>
  <si>
    <t xml:space="preserve">ALS-SLD-0083</t>
  </si>
  <si>
    <t xml:space="preserve">Aluminium Sliding Door — 3-Panel Slider (Centre Slide) — 1809x2009mm — Charcoal Grey (RAL 7016) — 6.38mm Laminated Safety</t>
  </si>
  <si>
    <t xml:space="preserve">ALS-SLD-0084</t>
  </si>
  <si>
    <t xml:space="preserve">Aluminium Sliding Door — 3-Panel Slider (Centre Slide) — 1809x2009mm — Bronze Anodised — 6.38mm Laminated Safety</t>
  </si>
  <si>
    <t xml:space="preserve">ALS-SLD-0085</t>
  </si>
  <si>
    <t xml:space="preserve">Aluminium Sliding Door — 3-Panel Slider (Centre Slide) — 1809x2009mm — Graphite Black (RAL 9005) — 6.38mm Laminated Safety</t>
  </si>
  <si>
    <t xml:space="preserve">ALS-SLD-0086</t>
  </si>
  <si>
    <t xml:space="preserve">Aluminium Sliding Door — 3-Panel Slider (Centre Slide) — 1809x2009mm — Natural Anodised — IGU Double-Glazed Laminated (6.38-12Ar-4 Low-E)</t>
  </si>
  <si>
    <t xml:space="preserve">ALS-SLD-0087</t>
  </si>
  <si>
    <t xml:space="preserve">Aluminium Sliding Door — 3-Panel Slider (Centre Slide) — 1809x2009mm — Satin White (RAL 9016) — IGU Double-Glazed Laminated (6.38-12Ar-4 Low-E)</t>
  </si>
  <si>
    <t xml:space="preserve">ALS-SLD-0088</t>
  </si>
  <si>
    <t xml:space="preserve">Aluminium Sliding Door — 3-Panel Slider (Centre Slide) — 1809x2009mm — Charcoal Grey (RAL 7016) — IGU Double-Glazed Laminated (6.38-12Ar-4 Low-E)</t>
  </si>
  <si>
    <t xml:space="preserve">ALS-SLD-0089</t>
  </si>
  <si>
    <t xml:space="preserve">Aluminium Sliding Door — 3-Panel Slider (Centre Slide) — 1809x2009mm — Bronze Anodised — IGU Double-Glazed Laminated (6.38-12Ar-4 Low-E)</t>
  </si>
  <si>
    <t xml:space="preserve">ALS-SLD-0090</t>
  </si>
  <si>
    <t xml:space="preserve">Aluminium Sliding Door — 3-Panel Slider (Centre Slide) — 1809x2009mm — Graphite Black (RAL 9005) — IGU Double-Glazed Laminated (6.38-12Ar-4 Low-E)</t>
  </si>
  <si>
    <t xml:space="preserve">ALS-SLD-0091</t>
  </si>
  <si>
    <t xml:space="preserve">Aluminium Sliding Door — 3-Panel Slider (Centre Slide) — 2409x2009mm — Natural Anodised — 6.38mm Laminated Safety</t>
  </si>
  <si>
    <t xml:space="preserve">ALS-SLD-0092</t>
  </si>
  <si>
    <t xml:space="preserve">Aluminium Sliding Door — 3-Panel Slider (Centre Slide) — 2409x2009mm — Satin White (RAL 9016) — 6.38mm Laminated Safety</t>
  </si>
  <si>
    <t xml:space="preserve">ALS-SLD-0093</t>
  </si>
  <si>
    <t xml:space="preserve">Aluminium Sliding Door — 3-Panel Slider (Centre Slide) — 2409x2009mm — Charcoal Grey (RAL 7016) — 6.38mm Laminated Safety</t>
  </si>
  <si>
    <t xml:space="preserve">ALS-SLD-0094</t>
  </si>
  <si>
    <t xml:space="preserve">Aluminium Sliding Door — 3-Panel Slider (Centre Slide) — 2409x2009mm — Bronze Anodised — 6.38mm Laminated Safety</t>
  </si>
  <si>
    <t xml:space="preserve">ALS-SLD-0095</t>
  </si>
  <si>
    <t xml:space="preserve">Aluminium Sliding Door — 3-Panel Slider (Centre Slide) — 2409x2009mm — Graphite Black (RAL 9005) — 6.38mm Laminated Safety</t>
  </si>
  <si>
    <t xml:space="preserve">ALS-SLD-0096</t>
  </si>
  <si>
    <t xml:space="preserve">Aluminium Sliding Door — 3-Panel Slider (Centre Slide) — 2409x2009mm — Natural Anodised — IGU Double-Glazed Laminated (6.38-12Ar-4 Low-E)</t>
  </si>
  <si>
    <t xml:space="preserve">ALS-SLD-0097</t>
  </si>
  <si>
    <t xml:space="preserve">Aluminium Sliding Door — 3-Panel Slider (Centre Slide) — 2409x2009mm — Satin White (RAL 9016) — IGU Double-Glazed Laminated (6.38-12Ar-4 Low-E)</t>
  </si>
  <si>
    <t xml:space="preserve">ALS-SLD-0098</t>
  </si>
  <si>
    <t xml:space="preserve">Aluminium Sliding Door — 3-Panel Slider (Centre Slide) — 2409x2009mm — Charcoal Grey (RAL 7016) — IGU Double-Glazed Laminated (6.38-12Ar-4 Low-E)</t>
  </si>
  <si>
    <t xml:space="preserve">ALS-SLD-0099</t>
  </si>
  <si>
    <t xml:space="preserve">Aluminium Sliding Door — 3-Panel Slider (Centre Slide) — 2409x2009mm — Bronze Anodised — IGU Double-Glazed Laminated (6.38-12Ar-4 Low-E)</t>
  </si>
  <si>
    <t xml:space="preserve">ALS-SLD-0100</t>
  </si>
  <si>
    <t xml:space="preserve">Aluminium Sliding Door — 3-Panel Slider (Centre Slide) — 2409x2009mm — Graphite Black (RAL 9005) — IGU Double-Glazed Laminated (6.38-12Ar-4 Low-E)</t>
  </si>
  <si>
    <t xml:space="preserve">ALS-SLD-0101</t>
  </si>
  <si>
    <t xml:space="preserve">Aluminium Sliding Door — 3-Panel Slider (Centre Slide) — 1809x2090mm — Natural Anodised — 6.38mm Laminated Safety</t>
  </si>
  <si>
    <t xml:space="preserve">ALS-SLD-0102</t>
  </si>
  <si>
    <t xml:space="preserve">Aluminium Sliding Door — 3-Panel Slider (Centre Slide) — 1809x2090mm — Satin White (RAL 9016) — 6.38mm Laminated Safety</t>
  </si>
  <si>
    <t xml:space="preserve">ALS-SLD-0103</t>
  </si>
  <si>
    <t xml:space="preserve">Aluminium Sliding Door — 3-Panel Slider (Centre Slide) — 1809x2090mm — Charcoal Grey (RAL 7016) — 6.38mm Laminated Safety</t>
  </si>
  <si>
    <t xml:space="preserve">ALS-SLD-0104</t>
  </si>
  <si>
    <t xml:space="preserve">Aluminium Sliding Door — 3-Panel Slider (Centre Slide) — 1809x2090mm — Bronze Anodised — 6.38mm Laminated Safety</t>
  </si>
  <si>
    <t xml:space="preserve">ALS-SLD-0105</t>
  </si>
  <si>
    <t xml:space="preserve">Aluminium Sliding Door — 3-Panel Slider (Centre Slide) — 1809x2090mm — Graphite Black (RAL 9005) — 6.38mm Laminated Safety</t>
  </si>
  <si>
    <t xml:space="preserve">ALS-SLD-0106</t>
  </si>
  <si>
    <t xml:space="preserve">Aluminium Sliding Door — 3-Panel Slider (Centre Slide) — 1809x2090mm — Natural Anodised — IGU Double-Glazed Laminated (6.38-12Ar-4 Low-E)</t>
  </si>
  <si>
    <t xml:space="preserve">ALS-SLD-0107</t>
  </si>
  <si>
    <t xml:space="preserve">Aluminium Sliding Door — 3-Panel Slider (Centre Slide) — 1809x2090mm — Satin White (RAL 9016) — IGU Double-Glazed Laminated (6.38-12Ar-4 Low-E)</t>
  </si>
  <si>
    <t xml:space="preserve">ALS-SLD-0108</t>
  </si>
  <si>
    <t xml:space="preserve">Aluminium Sliding Door — 3-Panel Slider (Centre Slide) — 1809x2090mm — Charcoal Grey (RAL 7016) — IGU Double-Glazed Laminated (6.38-12Ar-4 Low-E)</t>
  </si>
  <si>
    <t xml:space="preserve">ALS-SLD-0109</t>
  </si>
  <si>
    <t xml:space="preserve">Aluminium Sliding Door — 3-Panel Slider (Centre Slide) — 1809x2090mm — Bronze Anodised — IGU Double-Glazed Laminated (6.38-12Ar-4 Low-E)</t>
  </si>
  <si>
    <t xml:space="preserve">ALS-SLD-0110</t>
  </si>
  <si>
    <t xml:space="preserve">Aluminium Sliding Door — 3-Panel Slider (Centre Slide) — 1809x2090mm — Graphite Black (RAL 9005) — IGU Double-Glazed Laminated (6.38-12Ar-4 Low-E)</t>
  </si>
  <si>
    <t xml:space="preserve">ALS-SLD-0111</t>
  </si>
  <si>
    <t xml:space="preserve">Aluminium Sliding Door — 3-Panel Slider (Centre Slide) — 2409x2090mm — Natural Anodised — 6.38mm Laminated Safety</t>
  </si>
  <si>
    <t xml:space="preserve">ALS-SLD-0112</t>
  </si>
  <si>
    <t xml:space="preserve">Aluminium Sliding Door — 3-Panel Slider (Centre Slide) — 2409x2090mm — Satin White (RAL 9016) — 6.38mm Laminated Safety</t>
  </si>
  <si>
    <t xml:space="preserve">ALS-SLD-0113</t>
  </si>
  <si>
    <t xml:space="preserve">Aluminium Sliding Door — 3-Panel Slider (Centre Slide) — 2409x2090mm — Charcoal Grey (RAL 7016) — 6.38mm Laminated Safety</t>
  </si>
  <si>
    <t xml:space="preserve">ALS-SLD-0114</t>
  </si>
  <si>
    <t xml:space="preserve">Aluminium Sliding Door — 3-Panel Slider (Centre Slide) — 2409x2090mm — Bronze Anodised — 6.38mm Laminated Safety</t>
  </si>
  <si>
    <t xml:space="preserve">ALS-SLD-0115</t>
  </si>
  <si>
    <t xml:space="preserve">Aluminium Sliding Door — 3-Panel Slider (Centre Slide) — 2409x2090mm — Graphite Black (RAL 9005) — 6.38mm Laminated Safety</t>
  </si>
  <si>
    <t xml:space="preserve">ALS-SLD-0116</t>
  </si>
  <si>
    <t xml:space="preserve">Aluminium Sliding Door — 3-Panel Slider (Centre Slide) — 2409x2090mm — Natural Anodised — IGU Double-Glazed Laminated (6.38-12Ar-4 Low-E)</t>
  </si>
  <si>
    <t xml:space="preserve">ALS-SLD-0117</t>
  </si>
  <si>
    <t xml:space="preserve">Aluminium Sliding Door — 3-Panel Slider (Centre Slide) — 2409x2090mm — Satin White (RAL 9016) — IGU Double-Glazed Laminated (6.38-12Ar-4 Low-E)</t>
  </si>
  <si>
    <t xml:space="preserve">ALS-SLD-0118</t>
  </si>
  <si>
    <t xml:space="preserve">Aluminium Sliding Door — 3-Panel Slider (Centre Slide) — 2409x2090mm — Charcoal Grey (RAL 7016) — IGU Double-Glazed Laminated (6.38-12Ar-4 Low-E)</t>
  </si>
  <si>
    <t xml:space="preserve">ALS-SLD-0119</t>
  </si>
  <si>
    <t xml:space="preserve">Aluminium Sliding Door — 3-Panel Slider (Centre Slide) — 2409x2090mm — Bronze Anodised — IGU Double-Glazed Laminated (6.38-12Ar-4 Low-E)</t>
  </si>
  <si>
    <t xml:space="preserve">ALS-SLD-0120</t>
  </si>
  <si>
    <t xml:space="preserve">Aluminium Sliding Door — 3-Panel Slider (Centre Slide) — 2409x2090mm — Graphite Black (RAL 9005) — IGU Double-Glazed Laminated (6.38-12Ar-4 Low-E)</t>
  </si>
  <si>
    <t xml:space="preserve">ALS-SLD-0121</t>
  </si>
  <si>
    <t xml:space="preserve">Aluminium Sliding Door — 3-Panel Slider (Centre Slide) — 3009x2090mm — Natural Anodised — 6.38mm Laminated Safety</t>
  </si>
  <si>
    <t xml:space="preserve">ALS-SLD-0122</t>
  </si>
  <si>
    <t xml:space="preserve">Aluminium Sliding Door — 3-Panel Slider (Centre Slide) — 3009x2090mm — Satin White (RAL 9016) — 6.38mm Laminated Safety</t>
  </si>
  <si>
    <t xml:space="preserve">ALS-SLD-0123</t>
  </si>
  <si>
    <t xml:space="preserve">Aluminium Sliding Door — 3-Panel Slider (Centre Slide) — 3009x2090mm — Charcoal Grey (RAL 7016) — 6.38mm Laminated Safety</t>
  </si>
  <si>
    <t xml:space="preserve">ALS-SLD-0124</t>
  </si>
  <si>
    <t xml:space="preserve">Aluminium Sliding Door — 3-Panel Slider (Centre Slide) — 3009x2090mm — Bronze Anodised — 6.38mm Laminated Safety</t>
  </si>
  <si>
    <t xml:space="preserve">ALS-SLD-0125</t>
  </si>
  <si>
    <t xml:space="preserve">Aluminium Sliding Door — 3-Panel Slider (Centre Slide) — 3009x2090mm — Graphite Black (RAL 9005) — 6.38mm Laminated Safety</t>
  </si>
  <si>
    <t xml:space="preserve">ALS-SLD-0126</t>
  </si>
  <si>
    <t xml:space="preserve">Aluminium Sliding Door — 3-Panel Slider (Centre Slide) — 3009x2090mm — Natural Anodised — IGU Double-Glazed Laminated (6.38-12Ar-4 Low-E)</t>
  </si>
  <si>
    <t xml:space="preserve">ALS-SLD-0127</t>
  </si>
  <si>
    <t xml:space="preserve">Aluminium Sliding Door — 3-Panel Slider (Centre Slide) — 3009x2090mm — Satin White (RAL 9016) — IGU Double-Glazed Laminated (6.38-12Ar-4 Low-E)</t>
  </si>
  <si>
    <t xml:space="preserve">ALS-SLD-0128</t>
  </si>
  <si>
    <t xml:space="preserve">Aluminium Sliding Door — 3-Panel Slider (Centre Slide) — 3009x2090mm — Charcoal Grey (RAL 7016) — IGU Double-Glazed Laminated (6.38-12Ar-4 Low-E)</t>
  </si>
  <si>
    <t xml:space="preserve">ALS-SLD-0129</t>
  </si>
  <si>
    <t xml:space="preserve">Aluminium Sliding Door — 3-Panel Slider (Centre Slide) — 3009x2090mm — Bronze Anodised — IGU Double-Glazed Laminated (6.38-12Ar-4 Low-E)</t>
  </si>
  <si>
    <t xml:space="preserve">ALS-SLD-0130</t>
  </si>
  <si>
    <t xml:space="preserve">Aluminium Sliding Door — 3-Panel Slider (Centre Slide) — 3009x2090mm — Graphite Black (RAL 9005) — IGU Double-Glazed Laminated (6.38-12Ar-4 Low-E)</t>
  </si>
  <si>
    <t xml:space="preserve">ALS-SLD-0131</t>
  </si>
  <si>
    <t xml:space="preserve">Aluminium Sliding Door — 3-Panel Slider (Centre Slide) — 3609x2090mm — Natural Anodised — 6.38mm Laminated Safety</t>
  </si>
  <si>
    <t xml:space="preserve">ALS-SLD-0132</t>
  </si>
  <si>
    <t xml:space="preserve">Aluminium Sliding Door — 3-Panel Slider (Centre Slide) — 3609x2090mm — Satin White (RAL 9016) — 6.38mm Laminated Safety</t>
  </si>
  <si>
    <t xml:space="preserve">ALS-SLD-0133</t>
  </si>
  <si>
    <t xml:space="preserve">Aluminium Sliding Door — 3-Panel Slider (Centre Slide) — 3609x2090mm — Charcoal Grey (RAL 7016) — 6.38mm Laminated Safety</t>
  </si>
  <si>
    <t xml:space="preserve">ALS-SLD-0134</t>
  </si>
  <si>
    <t xml:space="preserve">Aluminium Sliding Door — 3-Panel Slider (Centre Slide) — 3609x2090mm — Bronze Anodised — 6.38mm Laminated Safety</t>
  </si>
  <si>
    <t xml:space="preserve">ALS-SLD-0135</t>
  </si>
  <si>
    <t xml:space="preserve">Aluminium Sliding Door — 3-Panel Slider (Centre Slide) — 3609x2090mm — Graphite Black (RAL 9005) — 6.38mm Laminated Safety</t>
  </si>
  <si>
    <t xml:space="preserve">ALS-SLD-0136</t>
  </si>
  <si>
    <t xml:space="preserve">Aluminium Sliding Door — 3-Panel Slider (Centre Slide) — 3609x2090mm — Natural Anodised — IGU Double-Glazed Laminated (6.38-12Ar-4 Low-E)</t>
  </si>
  <si>
    <t xml:space="preserve">ALS-SLD-0137</t>
  </si>
  <si>
    <t xml:space="preserve">Aluminium Sliding Door — 3-Panel Slider (Centre Slide) — 3609x2090mm — Satin White (RAL 9016) — IGU Double-Glazed Laminated (6.38-12Ar-4 Low-E)</t>
  </si>
  <si>
    <t xml:space="preserve">ALS-SLD-0138</t>
  </si>
  <si>
    <t xml:space="preserve">Aluminium Sliding Door — 3-Panel Slider (Centre Slide) — 3609x2090mm — Charcoal Grey (RAL 7016) — IGU Double-Glazed Laminated (6.38-12Ar-4 Low-E)</t>
  </si>
  <si>
    <t xml:space="preserve">ALS-SLD-0139</t>
  </si>
  <si>
    <t xml:space="preserve">Aluminium Sliding Door — 3-Panel Slider (Centre Slide) — 3609x2090mm — Bronze Anodised — IGU Double-Glazed Laminated (6.38-12Ar-4 Low-E)</t>
  </si>
  <si>
    <t xml:space="preserve">ALS-SLD-0140</t>
  </si>
  <si>
    <t xml:space="preserve">Aluminium Sliding Door — 3-Panel Slider (Centre Slide) — 3609x2090mm — Graphite Black (RAL 9005) — IGU Double-Glazed Laminated (6.38-12Ar-4 Low-E)</t>
  </si>
  <si>
    <t xml:space="preserve">ALS-SLD-0141</t>
  </si>
  <si>
    <t xml:space="preserve">Aluminium Sliding Door — 3-Panel Slider (Centre Slide) — 4209x2090mm — Natural Anodised — 6.38mm Laminated Safety</t>
  </si>
  <si>
    <t xml:space="preserve">ALS-SLD-0142</t>
  </si>
  <si>
    <t xml:space="preserve">Aluminium Sliding Door — 3-Panel Slider (Centre Slide) — 4209x2090mm — Satin White (RAL 9016) — 6.38mm Laminated Safety</t>
  </si>
  <si>
    <t xml:space="preserve">ALS-SLD-0143</t>
  </si>
  <si>
    <t xml:space="preserve">Aluminium Sliding Door — 3-Panel Slider (Centre Slide) — 4209x2090mm — Charcoal Grey (RAL 7016) — 6.38mm Laminated Safety</t>
  </si>
  <si>
    <t xml:space="preserve">ALS-SLD-0144</t>
  </si>
  <si>
    <t xml:space="preserve">Aluminium Sliding Door — 3-Panel Slider (Centre Slide) — 4209x2090mm — Bronze Anodised — 6.38mm Laminated Safety</t>
  </si>
  <si>
    <t xml:space="preserve">ALS-SLD-0145</t>
  </si>
  <si>
    <t xml:space="preserve">Aluminium Sliding Door — 3-Panel Slider (Centre Slide) — 4209x2090mm — Graphite Black (RAL 9005) — 6.38mm Laminated Safety</t>
  </si>
  <si>
    <t xml:space="preserve">ALS-SLD-0146</t>
  </si>
  <si>
    <t xml:space="preserve">Aluminium Sliding Door — 3-Panel Slider (Centre Slide) — 4209x2090mm — Natural Anodised — IGU Double-Glazed Laminated (6.38-12Ar-4 Low-E)</t>
  </si>
  <si>
    <t xml:space="preserve">ALS-SLD-0147</t>
  </si>
  <si>
    <t xml:space="preserve">Aluminium Sliding Door — 3-Panel Slider (Centre Slide) — 4209x2090mm — Satin White (RAL 9016) — IGU Double-Glazed Laminated (6.38-12Ar-4 Low-E)</t>
  </si>
  <si>
    <t xml:space="preserve">ALS-SLD-0148</t>
  </si>
  <si>
    <t xml:space="preserve">Aluminium Sliding Door — 3-Panel Slider (Centre Slide) — 4209x2090mm — Charcoal Grey (RAL 7016) — IGU Double-Glazed Laminated (6.38-12Ar-4 Low-E)</t>
  </si>
  <si>
    <t xml:space="preserve">ALS-SLD-0149</t>
  </si>
  <si>
    <t xml:space="preserve">Aluminium Sliding Door — 3-Panel Slider (Centre Slide) — 4209x2090mm — Bronze Anodised — IGU Double-Glazed Laminated (6.38-12Ar-4 Low-E)</t>
  </si>
  <si>
    <t xml:space="preserve">ALS-SLD-0150</t>
  </si>
  <si>
    <t xml:space="preserve">Aluminium Sliding Door — 3-Panel Slider (Centre Slide) — 4209x2090mm — Graphite Black (RAL 9005) — IGU Double-Glazed Laminated (6.38-12Ar-4 Low-E)</t>
  </si>
  <si>
    <t xml:space="preserve">ALS-SLD-0151</t>
  </si>
  <si>
    <t xml:space="preserve">Aluminium Sliding Door — 3-Panel Slider (Centre Slide) — 4809x2090mm — Natural Anodised — 6.38mm Laminated Safety</t>
  </si>
  <si>
    <t xml:space="preserve">ALS-SLD-0152</t>
  </si>
  <si>
    <t xml:space="preserve">Aluminium Sliding Door — 3-Panel Slider (Centre Slide) — 4809x2090mm — Satin White (RAL 9016) — 6.38mm Laminated Safety</t>
  </si>
  <si>
    <t xml:space="preserve">ALS-SLD-0153</t>
  </si>
  <si>
    <t xml:space="preserve">Aluminium Sliding Door — 3-Panel Slider (Centre Slide) — 4809x2090mm — Charcoal Grey (RAL 7016) — 6.38mm Laminated Safety</t>
  </si>
  <si>
    <t xml:space="preserve">ALS-SLD-0154</t>
  </si>
  <si>
    <t xml:space="preserve">Aluminium Sliding Door — 3-Panel Slider (Centre Slide) — 4809x2090mm — Bronze Anodised — 6.38mm Laminated Safety</t>
  </si>
  <si>
    <t xml:space="preserve">ALS-SLD-0155</t>
  </si>
  <si>
    <t xml:space="preserve">Aluminium Sliding Door — 3-Panel Slider (Centre Slide) — 4809x2090mm — Graphite Black (RAL 9005) — 6.38mm Laminated Safety</t>
  </si>
  <si>
    <t xml:space="preserve">ALS-SLD-0156</t>
  </si>
  <si>
    <t xml:space="preserve">Aluminium Sliding Door — 3-Panel Slider (Centre Slide) — 4809x2090mm — Natural Anodised — IGU Double-Glazed Laminated (6.38-12Ar-4 Low-E)</t>
  </si>
  <si>
    <t xml:space="preserve">ALS-SLD-0157</t>
  </si>
  <si>
    <t xml:space="preserve">Aluminium Sliding Door — 3-Panel Slider (Centre Slide) — 4809x2090mm — Satin White (RAL 9016) — IGU Double-Glazed Laminated (6.38-12Ar-4 Low-E)</t>
  </si>
  <si>
    <t xml:space="preserve">ALS-SLD-0158</t>
  </si>
  <si>
    <t xml:space="preserve">Aluminium Sliding Door — 3-Panel Slider (Centre Slide) — 4809x2090mm — Charcoal Grey (RAL 7016) — IGU Double-Glazed Laminated (6.38-12Ar-4 Low-E)</t>
  </si>
  <si>
    <t xml:space="preserve">ALS-SLD-0159</t>
  </si>
  <si>
    <t xml:space="preserve">Aluminium Sliding Door — 3-Panel Slider (Centre Slide) — 4809x2090mm — Bronze Anodised — IGU Double-Glazed Laminated (6.38-12Ar-4 Low-E)</t>
  </si>
  <si>
    <t xml:space="preserve">ALS-SLD-0160</t>
  </si>
  <si>
    <t xml:space="preserve">Aluminium Sliding Door — 3-Panel Slider (Centre Slide) — 4809x2090mm — Graphite Black (RAL 9005) — IGU Double-Glazed Laminated (6.38-12Ar-4 Low-E)</t>
  </si>
  <si>
    <t xml:space="preserve">ALS-SLD-0161</t>
  </si>
  <si>
    <t xml:space="preserve">Aluminium Sliding Door — 4-Panel Slider (2 Sliding + 2 Fixed) — 1809x2009mm — Natural Anodised — 6.38mm Laminated Safety</t>
  </si>
  <si>
    <t xml:space="preserve">4-Panel Slider (2 Sliding + 2 Fixed)</t>
  </si>
  <si>
    <t xml:space="preserve">ALS-SLD-0162</t>
  </si>
  <si>
    <t xml:space="preserve">Aluminium Sliding Door — 4-Panel Slider (2 Sliding + 2 Fixed) — 1809x2009mm — Satin White (RAL 9016) — 6.38mm Laminated Safety</t>
  </si>
  <si>
    <t xml:space="preserve">ALS-SLD-0163</t>
  </si>
  <si>
    <t xml:space="preserve">Aluminium Sliding Door — 4-Panel Slider (2 Sliding + 2 Fixed) — 1809x2009mm — Charcoal Grey (RAL 7016) — 6.38mm Laminated Safety</t>
  </si>
  <si>
    <t xml:space="preserve">ALS-SLD-0164</t>
  </si>
  <si>
    <t xml:space="preserve">Aluminium Sliding Door — 4-Panel Slider (2 Sliding + 2 Fixed) — 1809x2009mm — Bronze Anodised — 6.38mm Laminated Safety</t>
  </si>
  <si>
    <t xml:space="preserve">ALS-SLD-0165</t>
  </si>
  <si>
    <t xml:space="preserve">Aluminium Sliding Door — 4-Panel Slider (2 Sliding + 2 Fixed) — 1809x2009mm — Graphite Black (RAL 9005) — 6.38mm Laminated Safety</t>
  </si>
  <si>
    <t xml:space="preserve">ALS-SLD-0166</t>
  </si>
  <si>
    <t xml:space="preserve">Aluminium Sliding Door — 4-Panel Slider (2 Sliding + 2 Fixed) — 1809x2009mm — Natural Anodised — IGU Double-Glazed Laminated (6.38-12Ar-4 Low-E)</t>
  </si>
  <si>
    <t xml:space="preserve">ALS-SLD-0167</t>
  </si>
  <si>
    <t xml:space="preserve">Aluminium Sliding Door — 4-Panel Slider (2 Sliding + 2 Fixed) — 1809x2009mm — Satin White (RAL 9016) — IGU Double-Glazed Laminated (6.38-12Ar-4 Low-E)</t>
  </si>
  <si>
    <t xml:space="preserve">ALS-SLD-0168</t>
  </si>
  <si>
    <t xml:space="preserve">Aluminium Sliding Door — 4-Panel Slider (2 Sliding + 2 Fixed) — 1809x2009mm — Charcoal Grey (RAL 7016) — IGU Double-Glazed Laminated (6.38-12Ar-4 Low-E)</t>
  </si>
  <si>
    <t xml:space="preserve">ALS-SLD-0169</t>
  </si>
  <si>
    <t xml:space="preserve">Aluminium Sliding Door — 4-Panel Slider (2 Sliding + 2 Fixed) — 1809x2009mm — Bronze Anodised — IGU Double-Glazed Laminated (6.38-12Ar-4 Low-E)</t>
  </si>
  <si>
    <t xml:space="preserve">ALS-SLD-0170</t>
  </si>
  <si>
    <t xml:space="preserve">Aluminium Sliding Door — 4-Panel Slider (2 Sliding + 2 Fixed) — 1809x2009mm — Graphite Black (RAL 9005) — IGU Double-Glazed Laminated (6.38-12Ar-4 Low-E)</t>
  </si>
  <si>
    <t xml:space="preserve">ALS-SLD-0171</t>
  </si>
  <si>
    <t xml:space="preserve">Aluminium Sliding Door — 4-Panel Slider (2 Sliding + 2 Fixed) — 2409x2009mm — Natural Anodised — 6.38mm Laminated Safety</t>
  </si>
  <si>
    <t xml:space="preserve">ALS-SLD-0172</t>
  </si>
  <si>
    <t xml:space="preserve">Aluminium Sliding Door — 4-Panel Slider (2 Sliding + 2 Fixed) — 2409x2009mm — Satin White (RAL 9016) — 6.38mm Laminated Safety</t>
  </si>
  <si>
    <t xml:space="preserve">ALS-SLD-0173</t>
  </si>
  <si>
    <t xml:space="preserve">Aluminium Sliding Door — 4-Panel Slider (2 Sliding + 2 Fixed) — 2409x2009mm — Charcoal Grey (RAL 7016) — 6.38mm Laminated Safety</t>
  </si>
  <si>
    <t xml:space="preserve">ALS-SLD-0174</t>
  </si>
  <si>
    <t xml:space="preserve">Aluminium Sliding Door — 4-Panel Slider (2 Sliding + 2 Fixed) — 2409x2009mm — Bronze Anodised — 6.38mm Laminated Safety</t>
  </si>
  <si>
    <t xml:space="preserve">ALS-SLD-0175</t>
  </si>
  <si>
    <t xml:space="preserve">Aluminium Sliding Door — 4-Panel Slider (2 Sliding + 2 Fixed) — 2409x2009mm — Graphite Black (RAL 9005) — 6.38mm Laminated Safety</t>
  </si>
  <si>
    <t xml:space="preserve">ALS-SLD-0176</t>
  </si>
  <si>
    <t xml:space="preserve">Aluminium Sliding Door — 4-Panel Slider (2 Sliding + 2 Fixed) — 2409x2009mm — Natural Anodised — IGU Double-Glazed Laminated (6.38-12Ar-4 Low-E)</t>
  </si>
  <si>
    <t xml:space="preserve">ALS-SLD-0177</t>
  </si>
  <si>
    <t xml:space="preserve">Aluminium Sliding Door — 4-Panel Slider (2 Sliding + 2 Fixed) — 2409x2009mm — Satin White (RAL 9016) — IGU Double-Glazed Laminated (6.38-12Ar-4 Low-E)</t>
  </si>
  <si>
    <t xml:space="preserve">ALS-SLD-0178</t>
  </si>
  <si>
    <t xml:space="preserve">Aluminium Sliding Door — 4-Panel Slider (2 Sliding + 2 Fixed) — 2409x2009mm — Charcoal Grey (RAL 7016) — IGU Double-Glazed Laminated (6.38-12Ar-4 Low-E)</t>
  </si>
  <si>
    <t xml:space="preserve">ALS-SLD-0179</t>
  </si>
  <si>
    <t xml:space="preserve">Aluminium Sliding Door — 4-Panel Slider (2 Sliding + 2 Fixed) — 2409x2009mm — Bronze Anodised — IGU Double-Glazed Laminated (6.38-12Ar-4 Low-E)</t>
  </si>
  <si>
    <t xml:space="preserve">ALS-SLD-0180</t>
  </si>
  <si>
    <t xml:space="preserve">Aluminium Sliding Door — 4-Panel Slider (2 Sliding + 2 Fixed) — 2409x2009mm — Graphite Black (RAL 9005) — IGU Double-Glazed Laminated (6.38-12Ar-4 Low-E)</t>
  </si>
  <si>
    <t xml:space="preserve">ALS-SLD-0181</t>
  </si>
  <si>
    <t xml:space="preserve">Aluminium Sliding Door — 4-Panel Slider (2 Sliding + 2 Fixed) — 1809x2090mm — Natural Anodised — 6.38mm Laminated Safety</t>
  </si>
  <si>
    <t xml:space="preserve">ALS-SLD-0182</t>
  </si>
  <si>
    <t xml:space="preserve">Aluminium Sliding Door — 4-Panel Slider (2 Sliding + 2 Fixed) — 1809x2090mm — Satin White (RAL 9016) — 6.38mm Laminated Safety</t>
  </si>
  <si>
    <t xml:space="preserve">ALS-SLD-0183</t>
  </si>
  <si>
    <t xml:space="preserve">Aluminium Sliding Door — 4-Panel Slider (2 Sliding + 2 Fixed) — 1809x2090mm — Charcoal Grey (RAL 7016) — 6.38mm Laminated Safety</t>
  </si>
  <si>
    <t xml:space="preserve">ALS-SLD-0184</t>
  </si>
  <si>
    <t xml:space="preserve">Aluminium Sliding Door — 4-Panel Slider (2 Sliding + 2 Fixed) — 1809x2090mm — Bronze Anodised — 6.38mm Laminated Safety</t>
  </si>
  <si>
    <t xml:space="preserve">ALS-SLD-0185</t>
  </si>
  <si>
    <t xml:space="preserve">Aluminium Sliding Door — 4-Panel Slider (2 Sliding + 2 Fixed) — 1809x2090mm — Graphite Black (RAL 9005) — 6.38mm Laminated Safety</t>
  </si>
  <si>
    <t xml:space="preserve">ALS-SLD-0186</t>
  </si>
  <si>
    <t xml:space="preserve">Aluminium Sliding Door — 4-Panel Slider (2 Sliding + 2 Fixed) — 1809x2090mm — Natural Anodised — IGU Double-Glazed Laminated (6.38-12Ar-4 Low-E)</t>
  </si>
  <si>
    <t xml:space="preserve">ALS-SLD-0187</t>
  </si>
  <si>
    <t xml:space="preserve">Aluminium Sliding Door — 4-Panel Slider (2 Sliding + 2 Fixed) — 1809x2090mm — Satin White (RAL 9016) — IGU Double-Glazed Laminated (6.38-12Ar-4 Low-E)</t>
  </si>
  <si>
    <t xml:space="preserve">ALS-SLD-0188</t>
  </si>
  <si>
    <t xml:space="preserve">Aluminium Sliding Door — 4-Panel Slider (2 Sliding + 2 Fixed) — 1809x2090mm — Charcoal Grey (RAL 7016) — IGU Double-Glazed Laminated (6.38-12Ar-4 Low-E)</t>
  </si>
  <si>
    <t xml:space="preserve">ALS-SLD-0189</t>
  </si>
  <si>
    <t xml:space="preserve">Aluminium Sliding Door — 4-Panel Slider (2 Sliding + 2 Fixed) — 1809x2090mm — Bronze Anodised — IGU Double-Glazed Laminated (6.38-12Ar-4 Low-E)</t>
  </si>
  <si>
    <t xml:space="preserve">ALS-SLD-0190</t>
  </si>
  <si>
    <t xml:space="preserve">Aluminium Sliding Door — 4-Panel Slider (2 Sliding + 2 Fixed) — 1809x2090mm — Graphite Black (RAL 9005) — IGU Double-Glazed Laminated (6.38-12Ar-4 Low-E)</t>
  </si>
  <si>
    <t xml:space="preserve">ALS-SLD-0191</t>
  </si>
  <si>
    <t xml:space="preserve">Aluminium Sliding Door — 4-Panel Slider (2 Sliding + 2 Fixed) — 2409x2090mm — Natural Anodised — 6.38mm Laminated Safety</t>
  </si>
  <si>
    <t xml:space="preserve">ALS-SLD-0192</t>
  </si>
  <si>
    <t xml:space="preserve">Aluminium Sliding Door — 4-Panel Slider (2 Sliding + 2 Fixed) — 2409x2090mm — Satin White (RAL 9016) — 6.38mm Laminated Safety</t>
  </si>
  <si>
    <t xml:space="preserve">ALS-SLD-0193</t>
  </si>
  <si>
    <t xml:space="preserve">Aluminium Sliding Door — 4-Panel Slider (2 Sliding + 2 Fixed) — 2409x2090mm — Charcoal Grey (RAL 7016) — 6.38mm Laminated Safety</t>
  </si>
  <si>
    <t xml:space="preserve">ALS-SLD-0194</t>
  </si>
  <si>
    <t xml:space="preserve">Aluminium Sliding Door — 4-Panel Slider (2 Sliding + 2 Fixed) — 2409x2090mm — Bronze Anodised — 6.38mm Laminated Safety</t>
  </si>
  <si>
    <t xml:space="preserve">ALS-SLD-0195</t>
  </si>
  <si>
    <t xml:space="preserve">Aluminium Sliding Door — 4-Panel Slider (2 Sliding + 2 Fixed) — 2409x2090mm — Graphite Black (RAL 9005) — 6.38mm Laminated Safety</t>
  </si>
  <si>
    <t xml:space="preserve">ALS-SLD-0196</t>
  </si>
  <si>
    <t xml:space="preserve">Aluminium Sliding Door — 4-Panel Slider (2 Sliding + 2 Fixed) — 2409x2090mm — Natural Anodised — IGU Double-Glazed Laminated (6.38-12Ar-4 Low-E)</t>
  </si>
  <si>
    <t xml:space="preserve">ALS-SLD-0197</t>
  </si>
  <si>
    <t xml:space="preserve">Aluminium Sliding Door — 4-Panel Slider (2 Sliding + 2 Fixed) — 2409x2090mm — Satin White (RAL 9016) — IGU Double-Glazed Laminated (6.38-12Ar-4 Low-E)</t>
  </si>
  <si>
    <t xml:space="preserve">ALS-SLD-0198</t>
  </si>
  <si>
    <t xml:space="preserve">Aluminium Sliding Door — 4-Panel Slider (2 Sliding + 2 Fixed) — 2409x2090mm — Charcoal Grey (RAL 7016) — IGU Double-Glazed Laminated (6.38-12Ar-4 Low-E)</t>
  </si>
  <si>
    <t xml:space="preserve">ALS-SLD-0199</t>
  </si>
  <si>
    <t xml:space="preserve">Aluminium Sliding Door — 4-Panel Slider (2 Sliding + 2 Fixed) — 2409x2090mm — Bronze Anodised — IGU Double-Glazed Laminated (6.38-12Ar-4 Low-E)</t>
  </si>
  <si>
    <t xml:space="preserve">ALS-SLD-0200</t>
  </si>
  <si>
    <t xml:space="preserve">Aluminium Sliding Door — 4-Panel Slider (2 Sliding + 2 Fixed) — 2409x2090mm — Graphite Black (RAL 9005) — IGU Double-Glazed Laminated (6.38-12Ar-4 Low-E)</t>
  </si>
  <si>
    <t xml:space="preserve">ALS-SLD-0201</t>
  </si>
  <si>
    <t xml:space="preserve">Aluminium Sliding Door — 4-Panel Slider (2 Sliding + 2 Fixed) — 3009x2090mm — Natural Anodised — 6.38mm Laminated Safety</t>
  </si>
  <si>
    <t xml:space="preserve">ALS-SLD-0202</t>
  </si>
  <si>
    <t xml:space="preserve">Aluminium Sliding Door — 4-Panel Slider (2 Sliding + 2 Fixed) — 3009x2090mm — Satin White (RAL 9016) — 6.38mm Laminated Safety</t>
  </si>
  <si>
    <t xml:space="preserve">ALS-SLD-0203</t>
  </si>
  <si>
    <t xml:space="preserve">Aluminium Sliding Door — 4-Panel Slider (2 Sliding + 2 Fixed) — 3009x2090mm — Charcoal Grey (RAL 7016) — 6.38mm Laminated Safety</t>
  </si>
  <si>
    <t xml:space="preserve">ALS-SLD-0204</t>
  </si>
  <si>
    <t xml:space="preserve">Aluminium Sliding Door — 4-Panel Slider (2 Sliding + 2 Fixed) — 3009x2090mm — Bronze Anodised — 6.38mm Laminated Safety</t>
  </si>
  <si>
    <t xml:space="preserve">ALS-SLD-0205</t>
  </si>
  <si>
    <t xml:space="preserve">Aluminium Sliding Door — 4-Panel Slider (2 Sliding + 2 Fixed) — 3009x2090mm — Graphite Black (RAL 9005) — 6.38mm Laminated Safety</t>
  </si>
  <si>
    <t xml:space="preserve">ALS-SLD-0206</t>
  </si>
  <si>
    <t xml:space="preserve">Aluminium Sliding Door — 4-Panel Slider (2 Sliding + 2 Fixed) — 3009x2090mm — Natural Anodised — IGU Double-Glazed Laminated (6.38-12Ar-4 Low-E)</t>
  </si>
  <si>
    <t xml:space="preserve">ALS-SLD-0207</t>
  </si>
  <si>
    <t xml:space="preserve">Aluminium Sliding Door — 4-Panel Slider (2 Sliding + 2 Fixed) — 3009x2090mm — Satin White (RAL 9016) — IGU Double-Glazed Laminated (6.38-12Ar-4 Low-E)</t>
  </si>
  <si>
    <t xml:space="preserve">ALS-SLD-0208</t>
  </si>
  <si>
    <t xml:space="preserve">Aluminium Sliding Door — 4-Panel Slider (2 Sliding + 2 Fixed) — 3009x2090mm — Charcoal Grey (RAL 7016) — IGU Double-Glazed Laminated (6.38-12Ar-4 Low-E)</t>
  </si>
  <si>
    <t xml:space="preserve">ALS-SLD-0209</t>
  </si>
  <si>
    <t xml:space="preserve">Aluminium Sliding Door — 4-Panel Slider (2 Sliding + 2 Fixed) — 3009x2090mm — Bronze Anodised — IGU Double-Glazed Laminated (6.38-12Ar-4 Low-E)</t>
  </si>
  <si>
    <t xml:space="preserve">ALS-SLD-0210</t>
  </si>
  <si>
    <t xml:space="preserve">Aluminium Sliding Door — 4-Panel Slider (2 Sliding + 2 Fixed) — 3009x2090mm — Graphite Black (RAL 9005) — IGU Double-Glazed Laminated (6.38-12Ar-4 Low-E)</t>
  </si>
  <si>
    <t xml:space="preserve">ALS-SLD-0211</t>
  </si>
  <si>
    <t xml:space="preserve">Aluminium Sliding Door — 4-Panel Slider (2 Sliding + 2 Fixed) — 3609x2090mm — Natural Anodised — 6.38mm Laminated Safety</t>
  </si>
  <si>
    <t xml:space="preserve">ALS-SLD-0212</t>
  </si>
  <si>
    <t xml:space="preserve">Aluminium Sliding Door — 4-Panel Slider (2 Sliding + 2 Fixed) — 3609x2090mm — Satin White (RAL 9016) — 6.38mm Laminated Safety</t>
  </si>
  <si>
    <t xml:space="preserve">ALS-SLD-0213</t>
  </si>
  <si>
    <t xml:space="preserve">Aluminium Sliding Door — 4-Panel Slider (2 Sliding + 2 Fixed) — 3609x2090mm — Charcoal Grey (RAL 7016) — 6.38mm Laminated Safety</t>
  </si>
  <si>
    <t xml:space="preserve">ALS-SLD-0214</t>
  </si>
  <si>
    <t xml:space="preserve">Aluminium Sliding Door — 4-Panel Slider (2 Sliding + 2 Fixed) — 3609x2090mm — Bronze Anodised — 6.38mm Laminated Safety</t>
  </si>
  <si>
    <t xml:space="preserve">ALS-SLD-0215</t>
  </si>
  <si>
    <t xml:space="preserve">Aluminium Sliding Door — 4-Panel Slider (2 Sliding + 2 Fixed) — 3609x2090mm — Graphite Black (RAL 9005) — 6.38mm Laminated Safety</t>
  </si>
  <si>
    <t xml:space="preserve">ALS-SLD-0216</t>
  </si>
  <si>
    <t xml:space="preserve">Aluminium Sliding Door — 4-Panel Slider (2 Sliding + 2 Fixed) — 3609x2090mm — Natural Anodised — IGU Double-Glazed Laminated (6.38-12Ar-4 Low-E)</t>
  </si>
  <si>
    <t xml:space="preserve">ALS-SLD-0217</t>
  </si>
  <si>
    <t xml:space="preserve">Aluminium Sliding Door — 4-Panel Slider (2 Sliding + 2 Fixed) — 3609x2090mm — Satin White (RAL 9016) — IGU Double-Glazed Laminated (6.38-12Ar-4 Low-E)</t>
  </si>
  <si>
    <t xml:space="preserve">ALS-SLD-0218</t>
  </si>
  <si>
    <t xml:space="preserve">Aluminium Sliding Door — 4-Panel Slider (2 Sliding + 2 Fixed) — 3609x2090mm — Charcoal Grey (RAL 7016) — IGU Double-Glazed Laminated (6.38-12Ar-4 Low-E)</t>
  </si>
  <si>
    <t xml:space="preserve">ALS-SLD-0219</t>
  </si>
  <si>
    <t xml:space="preserve">Aluminium Sliding Door — 4-Panel Slider (2 Sliding + 2 Fixed) — 3609x2090mm — Bronze Anodised — IGU Double-Glazed Laminated (6.38-12Ar-4 Low-E)</t>
  </si>
  <si>
    <t xml:space="preserve">ALS-SLD-0220</t>
  </si>
  <si>
    <t xml:space="preserve">Aluminium Sliding Door — 4-Panel Slider (2 Sliding + 2 Fixed) — 3609x2090mm — Graphite Black (RAL 9005) — IGU Double-Glazed Laminated (6.38-12Ar-4 Low-E)</t>
  </si>
  <si>
    <t xml:space="preserve">ALS-SLD-0221</t>
  </si>
  <si>
    <t xml:space="preserve">Aluminium Sliding Door — 4-Panel Slider (2 Sliding + 2 Fixed) — 4209x2090mm — Natural Anodised — 6.38mm Laminated Safety</t>
  </si>
  <si>
    <t xml:space="preserve">ALS-SLD-0222</t>
  </si>
  <si>
    <t xml:space="preserve">Aluminium Sliding Door — 4-Panel Slider (2 Sliding + 2 Fixed) — 4209x2090mm — Satin White (RAL 9016) — 6.38mm Laminated Safety</t>
  </si>
  <si>
    <t xml:space="preserve">ALS-SLD-0223</t>
  </si>
  <si>
    <t xml:space="preserve">Aluminium Sliding Door — 4-Panel Slider (2 Sliding + 2 Fixed) — 4209x2090mm — Charcoal Grey (RAL 7016) — 6.38mm Laminated Safety</t>
  </si>
  <si>
    <t xml:space="preserve">ALS-SLD-0224</t>
  </si>
  <si>
    <t xml:space="preserve">Aluminium Sliding Door — 4-Panel Slider (2 Sliding + 2 Fixed) — 4209x2090mm — Bronze Anodised — 6.38mm Laminated Safety</t>
  </si>
  <si>
    <t xml:space="preserve">ALS-SLD-0225</t>
  </si>
  <si>
    <t xml:space="preserve">Aluminium Sliding Door — 4-Panel Slider (2 Sliding + 2 Fixed) — 4209x2090mm — Graphite Black (RAL 9005) — 6.38mm Laminated Safety</t>
  </si>
  <si>
    <t xml:space="preserve">ALS-SLD-0226</t>
  </si>
  <si>
    <t xml:space="preserve">Aluminium Sliding Door — 4-Panel Slider (2 Sliding + 2 Fixed) — 4209x2090mm — Natural Anodised — IGU Double-Glazed Laminated (6.38-12Ar-4 Low-E)</t>
  </si>
  <si>
    <t xml:space="preserve">ALS-SLD-0227</t>
  </si>
  <si>
    <t xml:space="preserve">Aluminium Sliding Door — 4-Panel Slider (2 Sliding + 2 Fixed) — 4209x2090mm — Satin White (RAL 9016) — IGU Double-Glazed Laminated (6.38-12Ar-4 Low-E)</t>
  </si>
  <si>
    <t xml:space="preserve">ALS-SLD-0228</t>
  </si>
  <si>
    <t xml:space="preserve">Aluminium Sliding Door — 4-Panel Slider (2 Sliding + 2 Fixed) — 4209x2090mm — Charcoal Grey (RAL 7016) — IGU Double-Glazed Laminated (6.38-12Ar-4 Low-E)</t>
  </si>
  <si>
    <t xml:space="preserve">ALS-SLD-0229</t>
  </si>
  <si>
    <t xml:space="preserve">Aluminium Sliding Door — 4-Panel Slider (2 Sliding + 2 Fixed) — 4209x2090mm — Bronze Anodised — IGU Double-Glazed Laminated (6.38-12Ar-4 Low-E)</t>
  </si>
  <si>
    <t xml:space="preserve">ALS-SLD-0230</t>
  </si>
  <si>
    <t xml:space="preserve">Aluminium Sliding Door — 4-Panel Slider (2 Sliding + 2 Fixed) — 4209x2090mm — Graphite Black (RAL 9005) — IGU Double-Glazed Laminated (6.38-12Ar-4 Low-E)</t>
  </si>
  <si>
    <t xml:space="preserve">ALS-SLD-0231</t>
  </si>
  <si>
    <t xml:space="preserve">Aluminium Sliding Door — 4-Panel Slider (2 Sliding + 2 Fixed) — 4809x2090mm — Natural Anodised — 6.38mm Laminated Safety</t>
  </si>
  <si>
    <t xml:space="preserve">ALS-SLD-0232</t>
  </si>
  <si>
    <t xml:space="preserve">Aluminium Sliding Door — 4-Panel Slider (2 Sliding + 2 Fixed) — 4809x2090mm — Satin White (RAL 9016) — 6.38mm Laminated Safety</t>
  </si>
  <si>
    <t xml:space="preserve">ALS-SLD-0233</t>
  </si>
  <si>
    <t xml:space="preserve">Aluminium Sliding Door — 4-Panel Slider (2 Sliding + 2 Fixed) — 4809x2090mm — Charcoal Grey (RAL 7016) — 6.38mm Laminated Safety</t>
  </si>
  <si>
    <t xml:space="preserve">ALS-SLD-0234</t>
  </si>
  <si>
    <t xml:space="preserve">Aluminium Sliding Door — 4-Panel Slider (2 Sliding + 2 Fixed) — 4809x2090mm — Bronze Anodised — 6.38mm Laminated Safety</t>
  </si>
  <si>
    <t xml:space="preserve">ALS-SLD-0235</t>
  </si>
  <si>
    <t xml:space="preserve">Aluminium Sliding Door — 4-Panel Slider (2 Sliding + 2 Fixed) — 4809x2090mm — Graphite Black (RAL 9005) — 6.38mm Laminated Safety</t>
  </si>
  <si>
    <t xml:space="preserve">ALS-SLD-0236</t>
  </si>
  <si>
    <t xml:space="preserve">Aluminium Sliding Door — 4-Panel Slider (2 Sliding + 2 Fixed) — 4809x2090mm — Natural Anodised — IGU Double-Glazed Laminated (6.38-12Ar-4 Low-E)</t>
  </si>
  <si>
    <t xml:space="preserve">ALS-SLD-0237</t>
  </si>
  <si>
    <t xml:space="preserve">Aluminium Sliding Door — 4-Panel Slider (2 Sliding + 2 Fixed) — 4809x2090mm — Satin White (RAL 9016) — IGU Double-Glazed Laminated (6.38-12Ar-4 Low-E)</t>
  </si>
  <si>
    <t xml:space="preserve">ALS-SLD-0238</t>
  </si>
  <si>
    <t xml:space="preserve">Aluminium Sliding Door — 4-Panel Slider (2 Sliding + 2 Fixed) — 4809x2090mm — Charcoal Grey (RAL 7016) — IGU Double-Glazed Laminated (6.38-12Ar-4 Low-E)</t>
  </si>
  <si>
    <t xml:space="preserve">ALS-SLD-0239</t>
  </si>
  <si>
    <t xml:space="preserve">Aluminium Sliding Door — 4-Panel Slider (2 Sliding + 2 Fixed) — 4809x2090mm — Bronze Anodised — IGU Double-Glazed Laminated (6.38-12Ar-4 Low-E)</t>
  </si>
  <si>
    <t xml:space="preserve">ALS-SLD-0240</t>
  </si>
  <si>
    <t xml:space="preserve">Aluminium Sliding Door — 4-Panel Slider (2 Sliding + 2 Fixed) — 4809x2090mm — Graphite Black (RAL 9005) — IGU Double-Glazed Laminated (6.38-12Ar-4 Low-E)</t>
  </si>
  <si>
    <t xml:space="preserve">ALS-SFD-0001</t>
  </si>
  <si>
    <t xml:space="preserve">Aluminium 3-Leaf Stacking-Folding Door — 2409x2090mm — Natural Anodised — 6.38mm Laminated Safety</t>
  </si>
  <si>
    <t xml:space="preserve">3-Leaf Stacking-Folding</t>
  </si>
  <si>
    <t xml:space="preserve">ALS-SFD-0002</t>
  </si>
  <si>
    <t xml:space="preserve">Aluminium 3-Leaf Stacking-Folding Door — 2409x2090mm — Satin White (RAL 9016) — 6.38mm Laminated Safety</t>
  </si>
  <si>
    <t xml:space="preserve">ALS-SFD-0003</t>
  </si>
  <si>
    <t xml:space="preserve">Aluminium 3-Leaf Stacking-Folding Door — 2409x2090mm — Charcoal Grey (RAL 7016) — 6.38mm Laminated Safety</t>
  </si>
  <si>
    <t xml:space="preserve">ALS-SFD-0004</t>
  </si>
  <si>
    <t xml:space="preserve">Aluminium 3-Leaf Stacking-Folding Door — 2409x2090mm — Bronze Anodised — 6.38mm Laminated Safety</t>
  </si>
  <si>
    <t xml:space="preserve">ALS-SFD-0005</t>
  </si>
  <si>
    <t xml:space="preserve">Aluminium 3-Leaf Stacking-Folding Door — 2409x2090mm — Graphite Black (RAL 9005) — 6.38mm Laminated Safety</t>
  </si>
  <si>
    <t xml:space="preserve">ALS-SFD-0006</t>
  </si>
  <si>
    <t xml:space="preserve">Aluminium 3-Leaf Stacking-Folding Door — 2409x2090mm — Natural Anodised — IGU Double-Glazed Laminated (6.38-12Ar-4 Low-E)</t>
  </si>
  <si>
    <t xml:space="preserve">ALS-SFD-0007</t>
  </si>
  <si>
    <t xml:space="preserve">Aluminium 3-Leaf Stacking-Folding Door — 2409x2090mm — Satin White (RAL 9016) — IGU Double-Glazed Laminated (6.38-12Ar-4 Low-E)</t>
  </si>
  <si>
    <t xml:space="preserve">ALS-SFD-0008</t>
  </si>
  <si>
    <t xml:space="preserve">Aluminium 3-Leaf Stacking-Folding Door — 2409x2090mm — Charcoal Grey (RAL 7016) — IGU Double-Glazed Laminated (6.38-12Ar-4 Low-E)</t>
  </si>
  <si>
    <t xml:space="preserve">ALS-SFD-0009</t>
  </si>
  <si>
    <t xml:space="preserve">Aluminium 3-Leaf Stacking-Folding Door — 2409x2090mm — Bronze Anodised — IGU Double-Glazed Laminated (6.38-12Ar-4 Low-E)</t>
  </si>
  <si>
    <t xml:space="preserve">ALS-SFD-0010</t>
  </si>
  <si>
    <t xml:space="preserve">Aluminium 3-Leaf Stacking-Folding Door — 2409x2090mm — Graphite Black (RAL 9005) — IGU Double-Glazed Laminated (6.38-12Ar-4 Low-E)</t>
  </si>
  <si>
    <t xml:space="preserve">ALS-SFD-0011</t>
  </si>
  <si>
    <t xml:space="preserve">Aluminium 3-Leaf Stacking-Folding Door — 3009x2090mm — Natural Anodised — 6.38mm Laminated Safety</t>
  </si>
  <si>
    <t xml:space="preserve">ALS-SFD-0012</t>
  </si>
  <si>
    <t xml:space="preserve">Aluminium 3-Leaf Stacking-Folding Door — 3009x2090mm — Satin White (RAL 9016) — 6.38mm Laminated Safety</t>
  </si>
  <si>
    <t xml:space="preserve">ALS-SFD-0013</t>
  </si>
  <si>
    <t xml:space="preserve">Aluminium 3-Leaf Stacking-Folding Door — 3009x2090mm — Charcoal Grey (RAL 7016) — 6.38mm Laminated Safety</t>
  </si>
  <si>
    <t xml:space="preserve">ALS-SFD-0014</t>
  </si>
  <si>
    <t xml:space="preserve">Aluminium 3-Leaf Stacking-Folding Door — 3009x2090mm — Bronze Anodised — 6.38mm Laminated Safety</t>
  </si>
  <si>
    <t xml:space="preserve">ALS-SFD-0015</t>
  </si>
  <si>
    <t xml:space="preserve">Aluminium 3-Leaf Stacking-Folding Door — 3009x2090mm — Graphite Black (RAL 9005) — 6.38mm Laminated Safety</t>
  </si>
  <si>
    <t xml:space="preserve">ALS-SFD-0016</t>
  </si>
  <si>
    <t xml:space="preserve">Aluminium 3-Leaf Stacking-Folding Door — 3009x2090mm — Natural Anodised — IGU Double-Glazed Laminated (6.38-12Ar-4 Low-E)</t>
  </si>
  <si>
    <t xml:space="preserve">ALS-SFD-0017</t>
  </si>
  <si>
    <t xml:space="preserve">Aluminium 3-Leaf Stacking-Folding Door — 3009x2090mm — Satin White (RAL 9016) — IGU Double-Glazed Laminated (6.38-12Ar-4 Low-E)</t>
  </si>
  <si>
    <t xml:space="preserve">ALS-SFD-0018</t>
  </si>
  <si>
    <t xml:space="preserve">Aluminium 3-Leaf Stacking-Folding Door — 3009x2090mm — Charcoal Grey (RAL 7016) — IGU Double-Glazed Laminated (6.38-12Ar-4 Low-E)</t>
  </si>
  <si>
    <t xml:space="preserve">ALS-SFD-0019</t>
  </si>
  <si>
    <t xml:space="preserve">Aluminium 3-Leaf Stacking-Folding Door — 3009x2090mm — Bronze Anodised — IGU Double-Glazed Laminated (6.38-12Ar-4 Low-E)</t>
  </si>
  <si>
    <t xml:space="preserve">ALS-SFD-0020</t>
  </si>
  <si>
    <t xml:space="preserve">Aluminium 3-Leaf Stacking-Folding Door — 3009x2090mm — Graphite Black (RAL 9005) — IGU Double-Glazed Laminated (6.38-12Ar-4 Low-E)</t>
  </si>
  <si>
    <t xml:space="preserve">ALS-SFD-0021</t>
  </si>
  <si>
    <t xml:space="preserve">Aluminium 3-Leaf Stacking-Folding Door — 3609x2090mm — Natural Anodised — 6.38mm Laminated Safety</t>
  </si>
  <si>
    <t xml:space="preserve">ALS-SFD-0022</t>
  </si>
  <si>
    <t xml:space="preserve">Aluminium 3-Leaf Stacking-Folding Door — 3609x2090mm — Satin White (RAL 9016) — 6.38mm Laminated Safety</t>
  </si>
  <si>
    <t xml:space="preserve">ALS-SFD-0023</t>
  </si>
  <si>
    <t xml:space="preserve">Aluminium 3-Leaf Stacking-Folding Door — 3609x2090mm — Charcoal Grey (RAL 7016) — 6.38mm Laminated Safety</t>
  </si>
  <si>
    <t xml:space="preserve">ALS-SFD-0024</t>
  </si>
  <si>
    <t xml:space="preserve">Aluminium 3-Leaf Stacking-Folding Door — 3609x2090mm — Bronze Anodised — 6.38mm Laminated Safety</t>
  </si>
  <si>
    <t xml:space="preserve">ALS-SFD-0025</t>
  </si>
  <si>
    <t xml:space="preserve">Aluminium 3-Leaf Stacking-Folding Door — 3609x2090mm — Graphite Black (RAL 9005) — 6.38mm Laminated Safety</t>
  </si>
  <si>
    <t xml:space="preserve">ALS-SFD-0026</t>
  </si>
  <si>
    <t xml:space="preserve">Aluminium 3-Leaf Stacking-Folding Door — 3609x2090mm — Natural Anodised — IGU Double-Glazed Laminated (6.38-12Ar-4 Low-E)</t>
  </si>
  <si>
    <t xml:space="preserve">ALS-SFD-0027</t>
  </si>
  <si>
    <t xml:space="preserve">Aluminium 3-Leaf Stacking-Folding Door — 3609x2090mm — Satin White (RAL 9016) — IGU Double-Glazed Laminated (6.38-12Ar-4 Low-E)</t>
  </si>
  <si>
    <t xml:space="preserve">ALS-SFD-0028</t>
  </si>
  <si>
    <t xml:space="preserve">Aluminium 3-Leaf Stacking-Folding Door — 3609x2090mm — Charcoal Grey (RAL 7016) — IGU Double-Glazed Laminated (6.38-12Ar-4 Low-E)</t>
  </si>
  <si>
    <t xml:space="preserve">ALS-SFD-0029</t>
  </si>
  <si>
    <t xml:space="preserve">Aluminium 3-Leaf Stacking-Folding Door — 3609x2090mm — Bronze Anodised — IGU Double-Glazed Laminated (6.38-12Ar-4 Low-E)</t>
  </si>
  <si>
    <t xml:space="preserve">ALS-SFD-0030</t>
  </si>
  <si>
    <t xml:space="preserve">Aluminium 3-Leaf Stacking-Folding Door — 3609x2090mm — Graphite Black (RAL 9005) — IGU Double-Glazed Laminated (6.38-12Ar-4 Low-E)</t>
  </si>
  <si>
    <t xml:space="preserve">ALS-SFD-0031</t>
  </si>
  <si>
    <t xml:space="preserve">Aluminium 3-Leaf Stacking-Folding Door — 4209x2090mm — Natural Anodised — 6.38mm Laminated Safety</t>
  </si>
  <si>
    <t xml:space="preserve">ALS-SFD-0032</t>
  </si>
  <si>
    <t xml:space="preserve">Aluminium 3-Leaf Stacking-Folding Door — 4209x2090mm — Satin White (RAL 9016) — 6.38mm Laminated Safety</t>
  </si>
  <si>
    <t xml:space="preserve">ALS-SFD-0033</t>
  </si>
  <si>
    <t xml:space="preserve">Aluminium 3-Leaf Stacking-Folding Door — 4209x2090mm — Charcoal Grey (RAL 7016) — 6.38mm Laminated Safety</t>
  </si>
  <si>
    <t xml:space="preserve">ALS-SFD-0034</t>
  </si>
  <si>
    <t xml:space="preserve">Aluminium 3-Leaf Stacking-Folding Door — 4209x2090mm — Bronze Anodised — 6.38mm Laminated Safety</t>
  </si>
  <si>
    <t xml:space="preserve">ALS-SFD-0035</t>
  </si>
  <si>
    <t xml:space="preserve">Aluminium 3-Leaf Stacking-Folding Door — 4209x2090mm — Graphite Black (RAL 9005) — 6.38mm Laminated Safety</t>
  </si>
  <si>
    <t xml:space="preserve">ALS-SFD-0036</t>
  </si>
  <si>
    <t xml:space="preserve">Aluminium 3-Leaf Stacking-Folding Door — 4209x2090mm — Natural Anodised — IGU Double-Glazed Laminated (6.38-12Ar-4 Low-E)</t>
  </si>
  <si>
    <t xml:space="preserve">ALS-SFD-0037</t>
  </si>
  <si>
    <t xml:space="preserve">Aluminium 3-Leaf Stacking-Folding Door — 4209x2090mm — Satin White (RAL 9016) — IGU Double-Glazed Laminated (6.38-12Ar-4 Low-E)</t>
  </si>
  <si>
    <t xml:space="preserve">ALS-SFD-0038</t>
  </si>
  <si>
    <t xml:space="preserve">Aluminium 3-Leaf Stacking-Folding Door — 4209x2090mm — Charcoal Grey (RAL 7016) — IGU Double-Glazed Laminated (6.38-12Ar-4 Low-E)</t>
  </si>
  <si>
    <t xml:space="preserve">ALS-SFD-0039</t>
  </si>
  <si>
    <t xml:space="preserve">Aluminium 3-Leaf Stacking-Folding Door — 4209x2090mm — Bronze Anodised — IGU Double-Glazed Laminated (6.38-12Ar-4 Low-E)</t>
  </si>
  <si>
    <t xml:space="preserve">ALS-SFD-0040</t>
  </si>
  <si>
    <t xml:space="preserve">Aluminium 3-Leaf Stacking-Folding Door — 4209x2090mm — Graphite Black (RAL 9005) — IGU Double-Glazed Laminated (6.38-12Ar-4 Low-E)</t>
  </si>
  <si>
    <t xml:space="preserve">ALS-SFD-0041</t>
  </si>
  <si>
    <t xml:space="preserve">Aluminium 3-Leaf Stacking-Folding Door — 4809x2090mm — Natural Anodised — 6.38mm Laminated Safety</t>
  </si>
  <si>
    <t xml:space="preserve">ALS-SFD-0042</t>
  </si>
  <si>
    <t xml:space="preserve">Aluminium 3-Leaf Stacking-Folding Door — 4809x2090mm — Satin White (RAL 9016) — 6.38mm Laminated Safety</t>
  </si>
  <si>
    <t xml:space="preserve">ALS-SFD-0043</t>
  </si>
  <si>
    <t xml:space="preserve">Aluminium 3-Leaf Stacking-Folding Door — 4809x2090mm — Charcoal Grey (RAL 7016) — 6.38mm Laminated Safety</t>
  </si>
  <si>
    <t xml:space="preserve">ALS-SFD-0044</t>
  </si>
  <si>
    <t xml:space="preserve">Aluminium 3-Leaf Stacking-Folding Door — 4809x2090mm — Bronze Anodised — 6.38mm Laminated Safety</t>
  </si>
  <si>
    <t xml:space="preserve">ALS-SFD-0045</t>
  </si>
  <si>
    <t xml:space="preserve">Aluminium 3-Leaf Stacking-Folding Door — 4809x2090mm — Graphite Black (RAL 9005) — 6.38mm Laminated Safety</t>
  </si>
  <si>
    <t xml:space="preserve">ALS-SFD-0046</t>
  </si>
  <si>
    <t xml:space="preserve">Aluminium 3-Leaf Stacking-Folding Door — 4809x2090mm — Natural Anodised — IGU Double-Glazed Laminated (6.38-12Ar-4 Low-E)</t>
  </si>
  <si>
    <t xml:space="preserve">ALS-SFD-0047</t>
  </si>
  <si>
    <t xml:space="preserve">Aluminium 3-Leaf Stacking-Folding Door — 4809x2090mm — Satin White (RAL 9016) — IGU Double-Glazed Laminated (6.38-12Ar-4 Low-E)</t>
  </si>
  <si>
    <t xml:space="preserve">ALS-SFD-0048</t>
  </si>
  <si>
    <t xml:space="preserve">Aluminium 3-Leaf Stacking-Folding Door — 4809x2090mm — Charcoal Grey (RAL 7016) — IGU Double-Glazed Laminated (6.38-12Ar-4 Low-E)</t>
  </si>
  <si>
    <t xml:space="preserve">ALS-SFD-0049</t>
  </si>
  <si>
    <t xml:space="preserve">Aluminium 3-Leaf Stacking-Folding Door — 4809x2090mm — Bronze Anodised — IGU Double-Glazed Laminated (6.38-12Ar-4 Low-E)</t>
  </si>
  <si>
    <t xml:space="preserve">ALS-SFD-0050</t>
  </si>
  <si>
    <t xml:space="preserve">Aluminium 3-Leaf Stacking-Folding Door — 4809x2090mm — Graphite Black (RAL 9005) — IGU Double-Glazed Laminated (6.38-12Ar-4 Low-E)</t>
  </si>
  <si>
    <t xml:space="preserve">ALS-SFD-0051</t>
  </si>
  <si>
    <t xml:space="preserve">Aluminium 3-Leaf Stacking-Folding Door — 5409x2090mm — Natural Anodised — 6.38mm Laminated Safety</t>
  </si>
  <si>
    <t xml:space="preserve">5409x2090mm</t>
  </si>
  <si>
    <t xml:space="preserve">ALS-SFD-0052</t>
  </si>
  <si>
    <t xml:space="preserve">Aluminium 3-Leaf Stacking-Folding Door — 5409x2090mm — Satin White (RAL 9016) — 6.38mm Laminated Safety</t>
  </si>
  <si>
    <t xml:space="preserve">ALS-SFD-0053</t>
  </si>
  <si>
    <t xml:space="preserve">Aluminium 3-Leaf Stacking-Folding Door — 5409x2090mm — Charcoal Grey (RAL 7016) — 6.38mm Laminated Safety</t>
  </si>
  <si>
    <t xml:space="preserve">ALS-SFD-0054</t>
  </si>
  <si>
    <t xml:space="preserve">Aluminium 3-Leaf Stacking-Folding Door — 5409x2090mm — Bronze Anodised — 6.38mm Laminated Safety</t>
  </si>
  <si>
    <t xml:space="preserve">ALS-SFD-0055</t>
  </si>
  <si>
    <t xml:space="preserve">Aluminium 3-Leaf Stacking-Folding Door — 5409x2090mm — Graphite Black (RAL 9005) — 6.38mm Laminated Safety</t>
  </si>
  <si>
    <t xml:space="preserve">ALS-SFD-0056</t>
  </si>
  <si>
    <t xml:space="preserve">Aluminium 3-Leaf Stacking-Folding Door — 5409x2090mm — Natural Anodised — IGU Double-Glazed Laminated (6.38-12Ar-4 Low-E)</t>
  </si>
  <si>
    <t xml:space="preserve">ALS-SFD-0057</t>
  </si>
  <si>
    <t xml:space="preserve">Aluminium 3-Leaf Stacking-Folding Door — 5409x2090mm — Satin White (RAL 9016) — IGU Double-Glazed Laminated (6.38-12Ar-4 Low-E)</t>
  </si>
  <si>
    <t xml:space="preserve">ALS-SFD-0058</t>
  </si>
  <si>
    <t xml:space="preserve">Aluminium 3-Leaf Stacking-Folding Door — 5409x2090mm — Charcoal Grey (RAL 7016) — IGU Double-Glazed Laminated (6.38-12Ar-4 Low-E)</t>
  </si>
  <si>
    <t xml:space="preserve">ALS-SFD-0059</t>
  </si>
  <si>
    <t xml:space="preserve">Aluminium 3-Leaf Stacking-Folding Door — 5409x2090mm — Bronze Anodised — IGU Double-Glazed Laminated (6.38-12Ar-4 Low-E)</t>
  </si>
  <si>
    <t xml:space="preserve">ALS-SFD-0060</t>
  </si>
  <si>
    <t xml:space="preserve">Aluminium 3-Leaf Stacking-Folding Door — 5409x2090mm — Graphite Black (RAL 9005) — IGU Double-Glazed Laminated (6.38-12Ar-4 Low-E)</t>
  </si>
  <si>
    <t xml:space="preserve">ALS-SFD-0061</t>
  </si>
  <si>
    <t xml:space="preserve">Aluminium 4-Leaf Stacking-Folding Door — 2409x2090mm — Natural Anodised — 6.38mm Laminated Safety</t>
  </si>
  <si>
    <t xml:space="preserve">4-Leaf Stacking-Folding</t>
  </si>
  <si>
    <t xml:space="preserve">ALS-SFD-0062</t>
  </si>
  <si>
    <t xml:space="preserve">Aluminium 4-Leaf Stacking-Folding Door — 2409x2090mm — Satin White (RAL 9016) — 6.38mm Laminated Safety</t>
  </si>
  <si>
    <t xml:space="preserve">ALS-SFD-0063</t>
  </si>
  <si>
    <t xml:space="preserve">Aluminium 4-Leaf Stacking-Folding Door — 2409x2090mm — Charcoal Grey (RAL 7016) — 6.38mm Laminated Safety</t>
  </si>
  <si>
    <t xml:space="preserve">ALS-SFD-0064</t>
  </si>
  <si>
    <t xml:space="preserve">Aluminium 4-Leaf Stacking-Folding Door — 2409x2090mm — Bronze Anodised — 6.38mm Laminated Safety</t>
  </si>
  <si>
    <t xml:space="preserve">ALS-SFD-0065</t>
  </si>
  <si>
    <t xml:space="preserve">Aluminium 4-Leaf Stacking-Folding Door — 2409x2090mm — Graphite Black (RAL 9005) — 6.38mm Laminated Safety</t>
  </si>
  <si>
    <t xml:space="preserve">ALS-SFD-0066</t>
  </si>
  <si>
    <t xml:space="preserve">Aluminium 4-Leaf Stacking-Folding Door — 2409x2090mm — Natural Anodised — IGU Double-Glazed Laminated (6.38-12Ar-4 Low-E)</t>
  </si>
  <si>
    <t xml:space="preserve">ALS-SFD-0067</t>
  </si>
  <si>
    <t xml:space="preserve">Aluminium 4-Leaf Stacking-Folding Door — 2409x2090mm — Satin White (RAL 9016) — IGU Double-Glazed Laminated (6.38-12Ar-4 Low-E)</t>
  </si>
  <si>
    <t xml:space="preserve">ALS-SFD-0068</t>
  </si>
  <si>
    <t xml:space="preserve">Aluminium 4-Leaf Stacking-Folding Door — 2409x2090mm — Charcoal Grey (RAL 7016) — IGU Double-Glazed Laminated (6.38-12Ar-4 Low-E)</t>
  </si>
  <si>
    <t xml:space="preserve">ALS-SFD-0069</t>
  </si>
  <si>
    <t xml:space="preserve">Aluminium 4-Leaf Stacking-Folding Door — 2409x2090mm — Bronze Anodised — IGU Double-Glazed Laminated (6.38-12Ar-4 Low-E)</t>
  </si>
  <si>
    <t xml:space="preserve">ALS-SFD-0070</t>
  </si>
  <si>
    <t xml:space="preserve">Aluminium 4-Leaf Stacking-Folding Door — 2409x2090mm — Graphite Black (RAL 9005) — IGU Double-Glazed Laminated (6.38-12Ar-4 Low-E)</t>
  </si>
  <si>
    <t xml:space="preserve">ALS-SFD-0071</t>
  </si>
  <si>
    <t xml:space="preserve">Aluminium 4-Leaf Stacking-Folding Door — 3009x2090mm — Natural Anodised — 6.38mm Laminated Safety</t>
  </si>
  <si>
    <t xml:space="preserve">ALS-SFD-0072</t>
  </si>
  <si>
    <t xml:space="preserve">Aluminium 4-Leaf Stacking-Folding Door — 3009x2090mm — Satin White (RAL 9016) — 6.38mm Laminated Safety</t>
  </si>
  <si>
    <t xml:space="preserve">ALS-SFD-0073</t>
  </si>
  <si>
    <t xml:space="preserve">Aluminium 4-Leaf Stacking-Folding Door — 3009x2090mm — Charcoal Grey (RAL 7016) — 6.38mm Laminated Safety</t>
  </si>
  <si>
    <t xml:space="preserve">ALS-SFD-0074</t>
  </si>
  <si>
    <t xml:space="preserve">Aluminium 4-Leaf Stacking-Folding Door — 3009x2090mm — Bronze Anodised — 6.38mm Laminated Safety</t>
  </si>
  <si>
    <t xml:space="preserve">ALS-SFD-0075</t>
  </si>
  <si>
    <t xml:space="preserve">Aluminium 4-Leaf Stacking-Folding Door — 3009x2090mm — Graphite Black (RAL 9005) — 6.38mm Laminated Safety</t>
  </si>
  <si>
    <t xml:space="preserve">ALS-SFD-0076</t>
  </si>
  <si>
    <t xml:space="preserve">Aluminium 4-Leaf Stacking-Folding Door — 3009x2090mm — Natural Anodised — IGU Double-Glazed Laminated (6.38-12Ar-4 Low-E)</t>
  </si>
  <si>
    <t xml:space="preserve">ALS-SFD-0077</t>
  </si>
  <si>
    <t xml:space="preserve">Aluminium 4-Leaf Stacking-Folding Door — 3009x2090mm — Satin White (RAL 9016) — IGU Double-Glazed Laminated (6.38-12Ar-4 Low-E)</t>
  </si>
  <si>
    <t xml:space="preserve">ALS-SFD-0078</t>
  </si>
  <si>
    <t xml:space="preserve">Aluminium 4-Leaf Stacking-Folding Door — 3009x2090mm — Charcoal Grey (RAL 7016) — IGU Double-Glazed Laminated (6.38-12Ar-4 Low-E)</t>
  </si>
  <si>
    <t xml:space="preserve">ALS-SFD-0079</t>
  </si>
  <si>
    <t xml:space="preserve">Aluminium 4-Leaf Stacking-Folding Door — 3009x2090mm — Bronze Anodised — IGU Double-Glazed Laminated (6.38-12Ar-4 Low-E)</t>
  </si>
  <si>
    <t xml:space="preserve">ALS-SFD-0080</t>
  </si>
  <si>
    <t xml:space="preserve">Aluminium 4-Leaf Stacking-Folding Door — 3009x2090mm — Graphite Black (RAL 9005) — IGU Double-Glazed Laminated (6.38-12Ar-4 Low-E)</t>
  </si>
  <si>
    <t xml:space="preserve">ALS-SFD-0081</t>
  </si>
  <si>
    <t xml:space="preserve">Aluminium 4-Leaf Stacking-Folding Door — 3609x2090mm — Natural Anodised — 6.38mm Laminated Safety</t>
  </si>
  <si>
    <t xml:space="preserve">ALS-SFD-0082</t>
  </si>
  <si>
    <t xml:space="preserve">Aluminium 4-Leaf Stacking-Folding Door — 3609x2090mm — Satin White (RAL 9016) — 6.38mm Laminated Safety</t>
  </si>
  <si>
    <t xml:space="preserve">ALS-SFD-0083</t>
  </si>
  <si>
    <t xml:space="preserve">Aluminium 4-Leaf Stacking-Folding Door — 3609x2090mm — Charcoal Grey (RAL 7016) — 6.38mm Laminated Safety</t>
  </si>
  <si>
    <t xml:space="preserve">ALS-SFD-0084</t>
  </si>
  <si>
    <t xml:space="preserve">Aluminium 4-Leaf Stacking-Folding Door — 3609x2090mm — Bronze Anodised — 6.38mm Laminated Safety</t>
  </si>
  <si>
    <t xml:space="preserve">ALS-SFD-0085</t>
  </si>
  <si>
    <t xml:space="preserve">Aluminium 4-Leaf Stacking-Folding Door — 3609x2090mm — Graphite Black (RAL 9005) — 6.38mm Laminated Safety</t>
  </si>
  <si>
    <t xml:space="preserve">ALS-SFD-0086</t>
  </si>
  <si>
    <t xml:space="preserve">Aluminium 4-Leaf Stacking-Folding Door — 3609x2090mm — Natural Anodised — IGU Double-Glazed Laminated (6.38-12Ar-4 Low-E)</t>
  </si>
  <si>
    <t xml:space="preserve">ALS-SFD-0087</t>
  </si>
  <si>
    <t xml:space="preserve">Aluminium 4-Leaf Stacking-Folding Door — 3609x2090mm — Satin White (RAL 9016) — IGU Double-Glazed Laminated (6.38-12Ar-4 Low-E)</t>
  </si>
  <si>
    <t xml:space="preserve">ALS-SFD-0088</t>
  </si>
  <si>
    <t xml:space="preserve">Aluminium 4-Leaf Stacking-Folding Door — 3609x2090mm — Charcoal Grey (RAL 7016) — IGU Double-Glazed Laminated (6.38-12Ar-4 Low-E)</t>
  </si>
  <si>
    <t xml:space="preserve">ALS-SFD-0089</t>
  </si>
  <si>
    <t xml:space="preserve">Aluminium 4-Leaf Stacking-Folding Door — 3609x2090mm — Bronze Anodised — IGU Double-Glazed Laminated (6.38-12Ar-4 Low-E)</t>
  </si>
  <si>
    <t xml:space="preserve">ALS-SFD-0090</t>
  </si>
  <si>
    <t xml:space="preserve">Aluminium 4-Leaf Stacking-Folding Door — 3609x2090mm — Graphite Black (RAL 9005) — IGU Double-Glazed Laminated (6.38-12Ar-4 Low-E)</t>
  </si>
  <si>
    <t xml:space="preserve">ALS-SFD-0091</t>
  </si>
  <si>
    <t xml:space="preserve">Aluminium 4-Leaf Stacking-Folding Door — 4209x2090mm — Natural Anodised — 6.38mm Laminated Safety</t>
  </si>
  <si>
    <t xml:space="preserve">ALS-SFD-0092</t>
  </si>
  <si>
    <t xml:space="preserve">Aluminium 4-Leaf Stacking-Folding Door — 4209x2090mm — Satin White (RAL 9016) — 6.38mm Laminated Safety</t>
  </si>
  <si>
    <t xml:space="preserve">ALS-SFD-0093</t>
  </si>
  <si>
    <t xml:space="preserve">Aluminium 4-Leaf Stacking-Folding Door — 4209x2090mm — Charcoal Grey (RAL 7016) — 6.38mm Laminated Safety</t>
  </si>
  <si>
    <t xml:space="preserve">ALS-SFD-0094</t>
  </si>
  <si>
    <t xml:space="preserve">Aluminium 4-Leaf Stacking-Folding Door — 4209x2090mm — Bronze Anodised — 6.38mm Laminated Safety</t>
  </si>
  <si>
    <t xml:space="preserve">ALS-SFD-0095</t>
  </si>
  <si>
    <t xml:space="preserve">Aluminium 4-Leaf Stacking-Folding Door — 4209x2090mm — Graphite Black (RAL 9005) — 6.38mm Laminated Safety</t>
  </si>
  <si>
    <t xml:space="preserve">ALS-SFD-0096</t>
  </si>
  <si>
    <t xml:space="preserve">Aluminium 4-Leaf Stacking-Folding Door — 4209x2090mm — Natural Anodised — IGU Double-Glazed Laminated (6.38-12Ar-4 Low-E)</t>
  </si>
  <si>
    <t xml:space="preserve">ALS-SFD-0097</t>
  </si>
  <si>
    <t xml:space="preserve">Aluminium 4-Leaf Stacking-Folding Door — 4209x2090mm — Satin White (RAL 9016) — IGU Double-Glazed Laminated (6.38-12Ar-4 Low-E)</t>
  </si>
  <si>
    <t xml:space="preserve">ALS-SFD-0098</t>
  </si>
  <si>
    <t xml:space="preserve">Aluminium 4-Leaf Stacking-Folding Door — 4209x2090mm — Charcoal Grey (RAL 7016) — IGU Double-Glazed Laminated (6.38-12Ar-4 Low-E)</t>
  </si>
  <si>
    <t xml:space="preserve">ALS-SFD-0099</t>
  </si>
  <si>
    <t xml:space="preserve">Aluminium 4-Leaf Stacking-Folding Door — 4209x2090mm — Bronze Anodised — IGU Double-Glazed Laminated (6.38-12Ar-4 Low-E)</t>
  </si>
  <si>
    <t xml:space="preserve">ALS-SFD-0100</t>
  </si>
  <si>
    <t xml:space="preserve">Aluminium 4-Leaf Stacking-Folding Door — 4209x2090mm — Graphite Black (RAL 9005) — IGU Double-Glazed Laminated (6.38-12Ar-4 Low-E)</t>
  </si>
  <si>
    <t xml:space="preserve">ALS-SFD-0101</t>
  </si>
  <si>
    <t xml:space="preserve">Aluminium 4-Leaf Stacking-Folding Door — 4809x2090mm — Natural Anodised — 6.38mm Laminated Safety</t>
  </si>
  <si>
    <t xml:space="preserve">ALS-SFD-0102</t>
  </si>
  <si>
    <t xml:space="preserve">Aluminium 4-Leaf Stacking-Folding Door — 4809x2090mm — Satin White (RAL 9016) — 6.38mm Laminated Safety</t>
  </si>
  <si>
    <t xml:space="preserve">ALS-SFD-0103</t>
  </si>
  <si>
    <t xml:space="preserve">Aluminium 4-Leaf Stacking-Folding Door — 4809x2090mm — Charcoal Grey (RAL 7016) — 6.38mm Laminated Safety</t>
  </si>
  <si>
    <t xml:space="preserve">ALS-SFD-0104</t>
  </si>
  <si>
    <t xml:space="preserve">Aluminium 4-Leaf Stacking-Folding Door — 4809x2090mm — Bronze Anodised — 6.38mm Laminated Safety</t>
  </si>
  <si>
    <t xml:space="preserve">ALS-SFD-0105</t>
  </si>
  <si>
    <t xml:space="preserve">Aluminium 4-Leaf Stacking-Folding Door — 4809x2090mm — Graphite Black (RAL 9005) — 6.38mm Laminated Safety</t>
  </si>
  <si>
    <t xml:space="preserve">ALS-SFD-0106</t>
  </si>
  <si>
    <t xml:space="preserve">Aluminium 4-Leaf Stacking-Folding Door — 4809x2090mm — Natural Anodised — IGU Double-Glazed Laminated (6.38-12Ar-4 Low-E)</t>
  </si>
  <si>
    <t xml:space="preserve">ALS-SFD-0107</t>
  </si>
  <si>
    <t xml:space="preserve">Aluminium 4-Leaf Stacking-Folding Door — 4809x2090mm — Satin White (RAL 9016) — IGU Double-Glazed Laminated (6.38-12Ar-4 Low-E)</t>
  </si>
  <si>
    <t xml:space="preserve">ALS-SFD-0108</t>
  </si>
  <si>
    <t xml:space="preserve">Aluminium 4-Leaf Stacking-Folding Door — 4809x2090mm — Charcoal Grey (RAL 7016) — IGU Double-Glazed Laminated (6.38-12Ar-4 Low-E)</t>
  </si>
  <si>
    <t xml:space="preserve">ALS-SFD-0109</t>
  </si>
  <si>
    <t xml:space="preserve">Aluminium 4-Leaf Stacking-Folding Door — 4809x2090mm — Bronze Anodised — IGU Double-Glazed Laminated (6.38-12Ar-4 Low-E)</t>
  </si>
  <si>
    <t xml:space="preserve">ALS-SFD-0110</t>
  </si>
  <si>
    <t xml:space="preserve">Aluminium 4-Leaf Stacking-Folding Door — 4809x2090mm — Graphite Black (RAL 9005) — IGU Double-Glazed Laminated (6.38-12Ar-4 Low-E)</t>
  </si>
  <si>
    <t xml:space="preserve">ALS-SFD-0111</t>
  </si>
  <si>
    <t xml:space="preserve">Aluminium 4-Leaf Stacking-Folding Door — 5409x2090mm — Natural Anodised — 6.38mm Laminated Safety</t>
  </si>
  <si>
    <t xml:space="preserve">ALS-SFD-0112</t>
  </si>
  <si>
    <t xml:space="preserve">Aluminium 4-Leaf Stacking-Folding Door — 5409x2090mm — Satin White (RAL 9016) — 6.38mm Laminated Safety</t>
  </si>
  <si>
    <t xml:space="preserve">ALS-SFD-0113</t>
  </si>
  <si>
    <t xml:space="preserve">Aluminium 4-Leaf Stacking-Folding Door — 5409x2090mm — Charcoal Grey (RAL 7016) — 6.38mm Laminated Safety</t>
  </si>
  <si>
    <t xml:space="preserve">ALS-SFD-0114</t>
  </si>
  <si>
    <t xml:space="preserve">Aluminium 4-Leaf Stacking-Folding Door — 5409x2090mm — Bronze Anodised — 6.38mm Laminated Safety</t>
  </si>
  <si>
    <t xml:space="preserve">ALS-SFD-0115</t>
  </si>
  <si>
    <t xml:space="preserve">Aluminium 4-Leaf Stacking-Folding Door — 5409x2090mm — Graphite Black (RAL 9005) — 6.38mm Laminated Safety</t>
  </si>
  <si>
    <t xml:space="preserve">ALS-SFD-0116</t>
  </si>
  <si>
    <t xml:space="preserve">Aluminium 4-Leaf Stacking-Folding Door — 5409x2090mm — Natural Anodised — IGU Double-Glazed Laminated (6.38-12Ar-4 Low-E)</t>
  </si>
  <si>
    <t xml:space="preserve">ALS-SFD-0117</t>
  </si>
  <si>
    <t xml:space="preserve">Aluminium 4-Leaf Stacking-Folding Door — 5409x2090mm — Satin White (RAL 9016) — IGU Double-Glazed Laminated (6.38-12Ar-4 Low-E)</t>
  </si>
  <si>
    <t xml:space="preserve">ALS-SFD-0118</t>
  </si>
  <si>
    <t xml:space="preserve">Aluminium 4-Leaf Stacking-Folding Door — 5409x2090mm — Charcoal Grey (RAL 7016) — IGU Double-Glazed Laminated (6.38-12Ar-4 Low-E)</t>
  </si>
  <si>
    <t xml:space="preserve">ALS-SFD-0119</t>
  </si>
  <si>
    <t xml:space="preserve">Aluminium 4-Leaf Stacking-Folding Door — 5409x2090mm — Bronze Anodised — IGU Double-Glazed Laminated (6.38-12Ar-4 Low-E)</t>
  </si>
  <si>
    <t xml:space="preserve">ALS-SFD-0120</t>
  </si>
  <si>
    <t xml:space="preserve">Aluminium 4-Leaf Stacking-Folding Door — 5409x2090mm — Graphite Black (RAL 9005) — IGU Double-Glazed Laminated (6.38-12Ar-4 Low-E)</t>
  </si>
  <si>
    <t xml:space="preserve">ALS-SFD-0121</t>
  </si>
  <si>
    <t xml:space="preserve">Aluminium 5-Leaf Stacking-Folding Door — 2409x2090mm — Natural Anodised — 6.38mm Laminated Safety</t>
  </si>
  <si>
    <t xml:space="preserve">5-Leaf Stacking-Folding</t>
  </si>
  <si>
    <t xml:space="preserve">ALS-SFD-0122</t>
  </si>
  <si>
    <t xml:space="preserve">Aluminium 5-Leaf Stacking-Folding Door — 2409x2090mm — Satin White (RAL 9016) — 6.38mm Laminated Safety</t>
  </si>
  <si>
    <t xml:space="preserve">ALS-SFD-0123</t>
  </si>
  <si>
    <t xml:space="preserve">Aluminium 5-Leaf Stacking-Folding Door — 2409x2090mm — Charcoal Grey (RAL 7016) — 6.38mm Laminated Safety</t>
  </si>
  <si>
    <t xml:space="preserve">ALS-SFD-0124</t>
  </si>
  <si>
    <t xml:space="preserve">Aluminium 5-Leaf Stacking-Folding Door — 2409x2090mm — Bronze Anodised — 6.38mm Laminated Safety</t>
  </si>
  <si>
    <t xml:space="preserve">ALS-SFD-0125</t>
  </si>
  <si>
    <t xml:space="preserve">Aluminium 5-Leaf Stacking-Folding Door — 2409x2090mm — Graphite Black (RAL 9005) — 6.38mm Laminated Safety</t>
  </si>
  <si>
    <t xml:space="preserve">ALS-SFD-0126</t>
  </si>
  <si>
    <t xml:space="preserve">Aluminium 5-Leaf Stacking-Folding Door — 2409x2090mm — Natural Anodised — IGU Double-Glazed Laminated (6.38-12Ar-4 Low-E)</t>
  </si>
  <si>
    <t xml:space="preserve">ALS-SFD-0127</t>
  </si>
  <si>
    <t xml:space="preserve">Aluminium 5-Leaf Stacking-Folding Door — 2409x2090mm — Satin White (RAL 9016) — IGU Double-Glazed Laminated (6.38-12Ar-4 Low-E)</t>
  </si>
  <si>
    <t xml:space="preserve">ALS-SFD-0128</t>
  </si>
  <si>
    <t xml:space="preserve">Aluminium 5-Leaf Stacking-Folding Door — 2409x2090mm — Charcoal Grey (RAL 7016) — IGU Double-Glazed Laminated (6.38-12Ar-4 Low-E)</t>
  </si>
  <si>
    <t xml:space="preserve">ALS-SFD-0129</t>
  </si>
  <si>
    <t xml:space="preserve">Aluminium 5-Leaf Stacking-Folding Door — 2409x2090mm — Bronze Anodised — IGU Double-Glazed Laminated (6.38-12Ar-4 Low-E)</t>
  </si>
  <si>
    <t xml:space="preserve">ALS-SFD-0130</t>
  </si>
  <si>
    <t xml:space="preserve">Aluminium 5-Leaf Stacking-Folding Door — 2409x2090mm — Graphite Black (RAL 9005) — IGU Double-Glazed Laminated (6.38-12Ar-4 Low-E)</t>
  </si>
  <si>
    <t xml:space="preserve">ALS-SFD-0131</t>
  </si>
  <si>
    <t xml:space="preserve">Aluminium 5-Leaf Stacking-Folding Door — 3009x2090mm — Natural Anodised — 6.38mm Laminated Safety</t>
  </si>
  <si>
    <t xml:space="preserve">ALS-SFD-0132</t>
  </si>
  <si>
    <t xml:space="preserve">Aluminium 5-Leaf Stacking-Folding Door — 3009x2090mm — Satin White (RAL 9016) — 6.38mm Laminated Safety</t>
  </si>
  <si>
    <t xml:space="preserve">ALS-SFD-0133</t>
  </si>
  <si>
    <t xml:space="preserve">Aluminium 5-Leaf Stacking-Folding Door — 3009x2090mm — Charcoal Grey (RAL 7016) — 6.38mm Laminated Safety</t>
  </si>
  <si>
    <t xml:space="preserve">ALS-SFD-0134</t>
  </si>
  <si>
    <t xml:space="preserve">Aluminium 5-Leaf Stacking-Folding Door — 3009x2090mm — Bronze Anodised — 6.38mm Laminated Safety</t>
  </si>
  <si>
    <t xml:space="preserve">ALS-SFD-0135</t>
  </si>
  <si>
    <t xml:space="preserve">Aluminium 5-Leaf Stacking-Folding Door — 3009x2090mm — Graphite Black (RAL 9005) — 6.38mm Laminated Safety</t>
  </si>
  <si>
    <t xml:space="preserve">ALS-SFD-0136</t>
  </si>
  <si>
    <t xml:space="preserve">Aluminium 5-Leaf Stacking-Folding Door — 3009x2090mm — Natural Anodised — IGU Double-Glazed Laminated (6.38-12Ar-4 Low-E)</t>
  </si>
  <si>
    <t xml:space="preserve">ALS-SFD-0137</t>
  </si>
  <si>
    <t xml:space="preserve">Aluminium 5-Leaf Stacking-Folding Door — 3009x2090mm — Satin White (RAL 9016) — IGU Double-Glazed Laminated (6.38-12Ar-4 Low-E)</t>
  </si>
  <si>
    <t xml:space="preserve">ALS-SFD-0138</t>
  </si>
  <si>
    <t xml:space="preserve">Aluminium 5-Leaf Stacking-Folding Door — 3009x2090mm — Charcoal Grey (RAL 7016) — IGU Double-Glazed Laminated (6.38-12Ar-4 Low-E)</t>
  </si>
  <si>
    <t xml:space="preserve">ALS-SFD-0139</t>
  </si>
  <si>
    <t xml:space="preserve">Aluminium 5-Leaf Stacking-Folding Door — 3009x2090mm — Bronze Anodised — IGU Double-Glazed Laminated (6.38-12Ar-4 Low-E)</t>
  </si>
  <si>
    <t xml:space="preserve">ALS-SFD-0140</t>
  </si>
  <si>
    <t xml:space="preserve">Aluminium 5-Leaf Stacking-Folding Door — 3009x2090mm — Graphite Black (RAL 9005) — IGU Double-Glazed Laminated (6.38-12Ar-4 Low-E)</t>
  </si>
  <si>
    <t xml:space="preserve">ALS-SFD-0141</t>
  </si>
  <si>
    <t xml:space="preserve">Aluminium 5-Leaf Stacking-Folding Door — 3609x2090mm — Natural Anodised — 6.38mm Laminated Safety</t>
  </si>
  <si>
    <t xml:space="preserve">ALS-SFD-0142</t>
  </si>
  <si>
    <t xml:space="preserve">Aluminium 5-Leaf Stacking-Folding Door — 3609x2090mm — Satin White (RAL 9016) — 6.38mm Laminated Safety</t>
  </si>
  <si>
    <t xml:space="preserve">ALS-SFD-0143</t>
  </si>
  <si>
    <t xml:space="preserve">Aluminium 5-Leaf Stacking-Folding Door — 3609x2090mm — Charcoal Grey (RAL 7016) — 6.38mm Laminated Safety</t>
  </si>
  <si>
    <t xml:space="preserve">ALS-SFD-0144</t>
  </si>
  <si>
    <t xml:space="preserve">Aluminium 5-Leaf Stacking-Folding Door — 3609x2090mm — Bronze Anodised — 6.38mm Laminated Safety</t>
  </si>
  <si>
    <t xml:space="preserve">ALS-SFD-0145</t>
  </si>
  <si>
    <t xml:space="preserve">Aluminium 5-Leaf Stacking-Folding Door — 3609x2090mm — Graphite Black (RAL 9005) — 6.38mm Laminated Safety</t>
  </si>
  <si>
    <t xml:space="preserve">ALS-SFD-0146</t>
  </si>
  <si>
    <t xml:space="preserve">Aluminium 5-Leaf Stacking-Folding Door — 3609x2090mm — Natural Anodised — IGU Double-Glazed Laminated (6.38-12Ar-4 Low-E)</t>
  </si>
  <si>
    <t xml:space="preserve">ALS-SFD-0147</t>
  </si>
  <si>
    <t xml:space="preserve">Aluminium 5-Leaf Stacking-Folding Door — 3609x2090mm — Satin White (RAL 9016) — IGU Double-Glazed Laminated (6.38-12Ar-4 Low-E)</t>
  </si>
  <si>
    <t xml:space="preserve">ALS-SFD-0148</t>
  </si>
  <si>
    <t xml:space="preserve">Aluminium 5-Leaf Stacking-Folding Door — 3609x2090mm — Charcoal Grey (RAL 7016) — IGU Double-Glazed Laminated (6.38-12Ar-4 Low-E)</t>
  </si>
  <si>
    <t xml:space="preserve">ALS-SFD-0149</t>
  </si>
  <si>
    <t xml:space="preserve">Aluminium 5-Leaf Stacking-Folding Door — 3609x2090mm — Bronze Anodised — IGU Double-Glazed Laminated (6.38-12Ar-4 Low-E)</t>
  </si>
  <si>
    <t xml:space="preserve">ALS-SFD-0150</t>
  </si>
  <si>
    <t xml:space="preserve">Aluminium 5-Leaf Stacking-Folding Door — 3609x2090mm — Graphite Black (RAL 9005) — IGU Double-Glazed Laminated (6.38-12Ar-4 Low-E)</t>
  </si>
  <si>
    <t xml:space="preserve">ALS-SFD-0151</t>
  </si>
  <si>
    <t xml:space="preserve">Aluminium 5-Leaf Stacking-Folding Door — 4209x2090mm — Natural Anodised — 6.38mm Laminated Safety</t>
  </si>
  <si>
    <t xml:space="preserve">ALS-SFD-0152</t>
  </si>
  <si>
    <t xml:space="preserve">Aluminium 5-Leaf Stacking-Folding Door — 4209x2090mm — Satin White (RAL 9016) — 6.38mm Laminated Safety</t>
  </si>
  <si>
    <t xml:space="preserve">ALS-SFD-0153</t>
  </si>
  <si>
    <t xml:space="preserve">Aluminium 5-Leaf Stacking-Folding Door — 4209x2090mm — Charcoal Grey (RAL 7016) — 6.38mm Laminated Safety</t>
  </si>
  <si>
    <t xml:space="preserve">ALS-SFD-0154</t>
  </si>
  <si>
    <t xml:space="preserve">Aluminium 5-Leaf Stacking-Folding Door — 4209x2090mm — Bronze Anodised — 6.38mm Laminated Safety</t>
  </si>
  <si>
    <t xml:space="preserve">ALS-SFD-0155</t>
  </si>
  <si>
    <t xml:space="preserve">Aluminium 5-Leaf Stacking-Folding Door — 4209x2090mm — Graphite Black (RAL 9005) — 6.38mm Laminated Safety</t>
  </si>
  <si>
    <t xml:space="preserve">ALS-SFD-0156</t>
  </si>
  <si>
    <t xml:space="preserve">Aluminium 5-Leaf Stacking-Folding Door — 4209x2090mm — Natural Anodised — IGU Double-Glazed Laminated (6.38-12Ar-4 Low-E)</t>
  </si>
  <si>
    <t xml:space="preserve">ALS-SFD-0157</t>
  </si>
  <si>
    <t xml:space="preserve">Aluminium 5-Leaf Stacking-Folding Door — 4209x2090mm — Satin White (RAL 9016) — IGU Double-Glazed Laminated (6.38-12Ar-4 Low-E)</t>
  </si>
  <si>
    <t xml:space="preserve">ALS-SFD-0158</t>
  </si>
  <si>
    <t xml:space="preserve">Aluminium 5-Leaf Stacking-Folding Door — 4209x2090mm — Charcoal Grey (RAL 7016) — IGU Double-Glazed Laminated (6.38-12Ar-4 Low-E)</t>
  </si>
  <si>
    <t xml:space="preserve">ALS-SFD-0159</t>
  </si>
  <si>
    <t xml:space="preserve">Aluminium 5-Leaf Stacking-Folding Door — 4209x2090mm — Bronze Anodised — IGU Double-Glazed Laminated (6.38-12Ar-4 Low-E)</t>
  </si>
  <si>
    <t xml:space="preserve">ALS-SFD-0160</t>
  </si>
  <si>
    <t xml:space="preserve">Aluminium 5-Leaf Stacking-Folding Door — 4209x2090mm — Graphite Black (RAL 9005) — IGU Double-Glazed Laminated (6.38-12Ar-4 Low-E)</t>
  </si>
  <si>
    <t xml:space="preserve">ALS-SFD-0161</t>
  </si>
  <si>
    <t xml:space="preserve">Aluminium 5-Leaf Stacking-Folding Door — 4809x2090mm — Natural Anodised — 6.38mm Laminated Safety</t>
  </si>
  <si>
    <t xml:space="preserve">ALS-SFD-0162</t>
  </si>
  <si>
    <t xml:space="preserve">Aluminium 5-Leaf Stacking-Folding Door — 4809x2090mm — Satin White (RAL 9016) — 6.38mm Laminated Safety</t>
  </si>
  <si>
    <t xml:space="preserve">ALS-SFD-0163</t>
  </si>
  <si>
    <t xml:space="preserve">Aluminium 5-Leaf Stacking-Folding Door — 4809x2090mm — Charcoal Grey (RAL 7016) — 6.38mm Laminated Safety</t>
  </si>
  <si>
    <t xml:space="preserve">ALS-SFD-0164</t>
  </si>
  <si>
    <t xml:space="preserve">Aluminium 5-Leaf Stacking-Folding Door — 4809x2090mm — Bronze Anodised — 6.38mm Laminated Safety</t>
  </si>
  <si>
    <t xml:space="preserve">ALS-SFD-0165</t>
  </si>
  <si>
    <t xml:space="preserve">Aluminium 5-Leaf Stacking-Folding Door — 4809x2090mm — Graphite Black (RAL 9005) — 6.38mm Laminated Safety</t>
  </si>
  <si>
    <t xml:space="preserve">ALS-SFD-0166</t>
  </si>
  <si>
    <t xml:space="preserve">Aluminium 5-Leaf Stacking-Folding Door — 4809x2090mm — Natural Anodised — IGU Double-Glazed Laminated (6.38-12Ar-4 Low-E)</t>
  </si>
  <si>
    <t xml:space="preserve">ALS-SFD-0167</t>
  </si>
  <si>
    <t xml:space="preserve">Aluminium 5-Leaf Stacking-Folding Door — 4809x2090mm — Satin White (RAL 9016) — IGU Double-Glazed Laminated (6.38-12Ar-4 Low-E)</t>
  </si>
  <si>
    <t xml:space="preserve">ALS-SFD-0168</t>
  </si>
  <si>
    <t xml:space="preserve">Aluminium 5-Leaf Stacking-Folding Door — 4809x2090mm — Charcoal Grey (RAL 7016) — IGU Double-Glazed Laminated (6.38-12Ar-4 Low-E)</t>
  </si>
  <si>
    <t xml:space="preserve">ALS-SFD-0169</t>
  </si>
  <si>
    <t xml:space="preserve">Aluminium 5-Leaf Stacking-Folding Door — 4809x2090mm — Bronze Anodised — IGU Double-Glazed Laminated (6.38-12Ar-4 Low-E)</t>
  </si>
  <si>
    <t xml:space="preserve">ALS-SFD-0170</t>
  </si>
  <si>
    <t xml:space="preserve">Aluminium 5-Leaf Stacking-Folding Door — 4809x2090mm — Graphite Black (RAL 9005) — IGU Double-Glazed Laminated (6.38-12Ar-4 Low-E)</t>
  </si>
  <si>
    <t xml:space="preserve">ALS-SFD-0171</t>
  </si>
  <si>
    <t xml:space="preserve">Aluminium 5-Leaf Stacking-Folding Door — 5409x2090mm — Natural Anodised — 6.38mm Laminated Safety</t>
  </si>
  <si>
    <t xml:space="preserve">ALS-SFD-0172</t>
  </si>
  <si>
    <t xml:space="preserve">Aluminium 5-Leaf Stacking-Folding Door — 5409x2090mm — Satin White (RAL 9016) — 6.38mm Laminated Safety</t>
  </si>
  <si>
    <t xml:space="preserve">ALS-SFD-0173</t>
  </si>
  <si>
    <t xml:space="preserve">Aluminium 5-Leaf Stacking-Folding Door — 5409x2090mm — Charcoal Grey (RAL 7016) — 6.38mm Laminated Safety</t>
  </si>
  <si>
    <t xml:space="preserve">ALS-SFD-0174</t>
  </si>
  <si>
    <t xml:space="preserve">Aluminium 5-Leaf Stacking-Folding Door — 5409x2090mm — Bronze Anodised — 6.38mm Laminated Safety</t>
  </si>
  <si>
    <t xml:space="preserve">ALS-SFD-0175</t>
  </si>
  <si>
    <t xml:space="preserve">Aluminium 5-Leaf Stacking-Folding Door — 5409x2090mm — Graphite Black (RAL 9005) — 6.38mm Laminated Safety</t>
  </si>
  <si>
    <t xml:space="preserve">ALS-SFD-0176</t>
  </si>
  <si>
    <t xml:space="preserve">Aluminium 5-Leaf Stacking-Folding Door — 5409x2090mm — Natural Anodised — IGU Double-Glazed Laminated (6.38-12Ar-4 Low-E)</t>
  </si>
  <si>
    <t xml:space="preserve">ALS-SFD-0177</t>
  </si>
  <si>
    <t xml:space="preserve">Aluminium 5-Leaf Stacking-Folding Door — 5409x2090mm — Satin White (RAL 9016) — IGU Double-Glazed Laminated (6.38-12Ar-4 Low-E)</t>
  </si>
  <si>
    <t xml:space="preserve">ALS-SFD-0178</t>
  </si>
  <si>
    <t xml:space="preserve">Aluminium 5-Leaf Stacking-Folding Door — 5409x2090mm — Charcoal Grey (RAL 7016) — IGU Double-Glazed Laminated (6.38-12Ar-4 Low-E)</t>
  </si>
  <si>
    <t xml:space="preserve">ALS-SFD-0179</t>
  </si>
  <si>
    <t xml:space="preserve">Aluminium 5-Leaf Stacking-Folding Door — 5409x2090mm — Bronze Anodised — IGU Double-Glazed Laminated (6.38-12Ar-4 Low-E)</t>
  </si>
  <si>
    <t xml:space="preserve">ALS-SFD-0180</t>
  </si>
  <si>
    <t xml:space="preserve">Aluminium 5-Leaf Stacking-Folding Door — 5409x2090mm — Graphite Black (RAL 9005) — IGU Double-Glazed Laminated (6.38-12Ar-4 Low-E)</t>
  </si>
  <si>
    <t xml:space="preserve">ALS-HGD-0001</t>
  </si>
  <si>
    <t xml:space="preserve">Aluminium Hinged Door — Single Door — 809x2009mm — Natural Anodised</t>
  </si>
  <si>
    <t xml:space="preserve">Single Door</t>
  </si>
  <si>
    <t xml:space="preserve">809x2009mm</t>
  </si>
  <si>
    <t xml:space="preserve">ALS-HGD-0002</t>
  </si>
  <si>
    <t xml:space="preserve">Aluminium Hinged Door — Single Door — 809x2009mm — Satin White (RAL 9016)</t>
  </si>
  <si>
    <t xml:space="preserve">ALS-HGD-0003</t>
  </si>
  <si>
    <t xml:space="preserve">Aluminium Hinged Door — Single Door — 809x2009mm — Charcoal Grey (RAL 7016)</t>
  </si>
  <si>
    <t xml:space="preserve">ALS-HGD-0004</t>
  </si>
  <si>
    <t xml:space="preserve">Aluminium Hinged Door — Single Door — 809x2009mm — Bronze Anodised</t>
  </si>
  <si>
    <t xml:space="preserve">ALS-HGD-0005</t>
  </si>
  <si>
    <t xml:space="preserve">Aluminium Hinged Door — Single Door — 809x2009mm — Graphite Black (RAL 9005)</t>
  </si>
  <si>
    <t xml:space="preserve">ALS-HGD-0006</t>
  </si>
  <si>
    <t xml:space="preserve">Aluminium Hinged Door — Single Door — 909x2009mm — Natural Anodised</t>
  </si>
  <si>
    <t xml:space="preserve">909x2009mm</t>
  </si>
  <si>
    <t xml:space="preserve">ALS-HGD-0007</t>
  </si>
  <si>
    <t xml:space="preserve">Aluminium Hinged Door — Single Door — 909x2009mm — Satin White (RAL 9016)</t>
  </si>
  <si>
    <t xml:space="preserve">ALS-HGD-0008</t>
  </si>
  <si>
    <t xml:space="preserve">Aluminium Hinged Door — Single Door — 909x2009mm — Charcoal Grey (RAL 7016)</t>
  </si>
  <si>
    <t xml:space="preserve">ALS-HGD-0009</t>
  </si>
  <si>
    <t xml:space="preserve">Aluminium Hinged Door — Single Door — 909x2009mm — Bronze Anodised</t>
  </si>
  <si>
    <t xml:space="preserve">ALS-HGD-0010</t>
  </si>
  <si>
    <t xml:space="preserve">Aluminium Hinged Door — Single Door — 909x2009mm — Graphite Black (RAL 9005)</t>
  </si>
  <si>
    <t xml:space="preserve">ALS-HGD-0011</t>
  </si>
  <si>
    <t xml:space="preserve">Aluminium Hinged Door — Single Door — 909x2090mm — Natural Anodised</t>
  </si>
  <si>
    <t xml:space="preserve">909x2090mm</t>
  </si>
  <si>
    <t xml:space="preserve">ALS-HGD-0012</t>
  </si>
  <si>
    <t xml:space="preserve">Aluminium Hinged Door — Single Door — 909x2090mm — Satin White (RAL 9016)</t>
  </si>
  <si>
    <t xml:space="preserve">ALS-HGD-0013</t>
  </si>
  <si>
    <t xml:space="preserve">Aluminium Hinged Door — Single Door — 909x2090mm — Charcoal Grey (RAL 7016)</t>
  </si>
  <si>
    <t xml:space="preserve">ALS-HGD-0014</t>
  </si>
  <si>
    <t xml:space="preserve">Aluminium Hinged Door — Single Door — 909x2090mm — Bronze Anodised</t>
  </si>
  <si>
    <t xml:space="preserve">ALS-HGD-0015</t>
  </si>
  <si>
    <t xml:space="preserve">Aluminium Hinged Door — Single Door — 909x2090mm — Graphite Black (RAL 9005)</t>
  </si>
  <si>
    <t xml:space="preserve">ALS-HGD-0016</t>
  </si>
  <si>
    <t xml:space="preserve">Aluminium Hinged Door — Single Door — 1209x2090mm — Natural Anodised</t>
  </si>
  <si>
    <t xml:space="preserve">1209x2090mm</t>
  </si>
  <si>
    <t xml:space="preserve">ALS-HGD-0017</t>
  </si>
  <si>
    <t xml:space="preserve">Aluminium Hinged Door — Single Door — 1209x2090mm — Satin White (RAL 9016)</t>
  </si>
  <si>
    <t xml:space="preserve">ALS-HGD-0018</t>
  </si>
  <si>
    <t xml:space="preserve">Aluminium Hinged Door — Single Door — 1209x2090mm — Charcoal Grey (RAL 7016)</t>
  </si>
  <si>
    <t xml:space="preserve">ALS-HGD-0019</t>
  </si>
  <si>
    <t xml:space="preserve">Aluminium Hinged Door — Single Door — 1209x2090mm — Bronze Anodised</t>
  </si>
  <si>
    <t xml:space="preserve">ALS-HGD-0020</t>
  </si>
  <si>
    <t xml:space="preserve">Aluminium Hinged Door — Single Door — 1209x2090mm — Graphite Black (RAL 9005)</t>
  </si>
  <si>
    <t xml:space="preserve">ALS-HGD-0021</t>
  </si>
  <si>
    <t xml:space="preserve">Aluminium Hinged Door — Single Door — 1509x2090mm — Natural Anodised</t>
  </si>
  <si>
    <t xml:space="preserve">1509x2090mm</t>
  </si>
  <si>
    <t xml:space="preserve">ALS-HGD-0022</t>
  </si>
  <si>
    <t xml:space="preserve">Aluminium Hinged Door — Single Door — 1509x2090mm — Satin White (RAL 9016)</t>
  </si>
  <si>
    <t xml:space="preserve">ALS-HGD-0023</t>
  </si>
  <si>
    <t xml:space="preserve">Aluminium Hinged Door — Single Door — 1509x2090mm — Charcoal Grey (RAL 7016)</t>
  </si>
  <si>
    <t xml:space="preserve">ALS-HGD-0024</t>
  </si>
  <si>
    <t xml:space="preserve">Aluminium Hinged Door — Single Door — 1509x2090mm — Bronze Anodised</t>
  </si>
  <si>
    <t xml:space="preserve">ALS-HGD-0025</t>
  </si>
  <si>
    <t xml:space="preserve">Aluminium Hinged Door — Single Door — 1509x2090mm — Graphite Black (RAL 9005)</t>
  </si>
  <si>
    <t xml:space="preserve">ALS-HGD-0026</t>
  </si>
  <si>
    <t xml:space="preserve">Aluminium Hinged Door — Single Door — 1809x2090mm — Natural Anodised</t>
  </si>
  <si>
    <t xml:space="preserve">ALS-HGD-0027</t>
  </si>
  <si>
    <t xml:space="preserve">Aluminium Hinged Door — Single Door — 1809x2090mm — Satin White (RAL 9016)</t>
  </si>
  <si>
    <t xml:space="preserve">ALS-HGD-0028</t>
  </si>
  <si>
    <t xml:space="preserve">Aluminium Hinged Door — Single Door — 1809x2090mm — Charcoal Grey (RAL 7016)</t>
  </si>
  <si>
    <t xml:space="preserve">ALS-HGD-0029</t>
  </si>
  <si>
    <t xml:space="preserve">Aluminium Hinged Door — Single Door — 1809x2090mm — Bronze Anodised</t>
  </si>
  <si>
    <t xml:space="preserve">ALS-HGD-0030</t>
  </si>
  <si>
    <t xml:space="preserve">Aluminium Hinged Door — Single Door — 1809x2090mm — Graphite Black (RAL 9005)</t>
  </si>
  <si>
    <t xml:space="preserve">ALS-HGD-0031</t>
  </si>
  <si>
    <t xml:space="preserve">Aluminium Hinged Door — Single Door — 2109x2090mm — Natural Anodised</t>
  </si>
  <si>
    <t xml:space="preserve">2109x2090mm</t>
  </si>
  <si>
    <t xml:space="preserve">ALS-HGD-0032</t>
  </si>
  <si>
    <t xml:space="preserve">Aluminium Hinged Door — Single Door — 2109x2090mm — Satin White (RAL 9016)</t>
  </si>
  <si>
    <t xml:space="preserve">ALS-HGD-0033</t>
  </si>
  <si>
    <t xml:space="preserve">Aluminium Hinged Door — Single Door — 2109x2090mm — Charcoal Grey (RAL 7016)</t>
  </si>
  <si>
    <t xml:space="preserve">ALS-HGD-0034</t>
  </si>
  <si>
    <t xml:space="preserve">Aluminium Hinged Door — Single Door — 2109x2090mm — Bronze Anodised</t>
  </si>
  <si>
    <t xml:space="preserve">ALS-HGD-0035</t>
  </si>
  <si>
    <t xml:space="preserve">Aluminium Hinged Door — Single Door — 2109x2090mm — Graphite Black (RAL 9005)</t>
  </si>
  <si>
    <t xml:space="preserve">ALS-HGD-0036</t>
  </si>
  <si>
    <t xml:space="preserve">Aluminium Hinged Door — Single Door — 2409x2090mm — Natural Anodised</t>
  </si>
  <si>
    <t xml:space="preserve">ALS-HGD-0037</t>
  </si>
  <si>
    <t xml:space="preserve">Aluminium Hinged Door — Single Door — 2409x2090mm — Satin White (RAL 9016)</t>
  </si>
  <si>
    <t xml:space="preserve">ALS-HGD-0038</t>
  </si>
  <si>
    <t xml:space="preserve">Aluminium Hinged Door — Single Door — 2409x2090mm — Charcoal Grey (RAL 7016)</t>
  </si>
  <si>
    <t xml:space="preserve">ALS-HGD-0039</t>
  </si>
  <si>
    <t xml:space="preserve">Aluminium Hinged Door — Single Door — 2409x2090mm — Bronze Anodised</t>
  </si>
  <si>
    <t xml:space="preserve">ALS-HGD-0040</t>
  </si>
  <si>
    <t xml:space="preserve">Aluminium Hinged Door — Single Door — 2409x2090mm — Graphite Black (RAL 9005)</t>
  </si>
  <si>
    <t xml:space="preserve">ALS-HGD-0041</t>
  </si>
  <si>
    <t xml:space="preserve">Aluminium Hinged Door — Double Door (French-Hinged) — 809x2009mm — Natural Anodised</t>
  </si>
  <si>
    <t xml:space="preserve">Double Door (French-Hinged)</t>
  </si>
  <si>
    <t xml:space="preserve">ALS-HGD-0042</t>
  </si>
  <si>
    <t xml:space="preserve">Aluminium Hinged Door — Double Door (French-Hinged) — 809x2009mm — Satin White (RAL 9016)</t>
  </si>
  <si>
    <t xml:space="preserve">ALS-HGD-0043</t>
  </si>
  <si>
    <t xml:space="preserve">Aluminium Hinged Door — Double Door (French-Hinged) — 809x2009mm — Charcoal Grey (RAL 7016)</t>
  </si>
  <si>
    <t xml:space="preserve">ALS-HGD-0044</t>
  </si>
  <si>
    <t xml:space="preserve">Aluminium Hinged Door — Double Door (French-Hinged) — 809x2009mm — Bronze Anodised</t>
  </si>
  <si>
    <t xml:space="preserve">ALS-HGD-0045</t>
  </si>
  <si>
    <t xml:space="preserve">Aluminium Hinged Door — Double Door (French-Hinged) — 809x2009mm — Graphite Black (RAL 9005)</t>
  </si>
  <si>
    <t xml:space="preserve">ALS-HGD-0046</t>
  </si>
  <si>
    <t xml:space="preserve">Aluminium Hinged Door — Double Door (French-Hinged) — 909x2009mm — Natural Anodised</t>
  </si>
  <si>
    <t xml:space="preserve">ALS-HGD-0047</t>
  </si>
  <si>
    <t xml:space="preserve">Aluminium Hinged Door — Double Door (French-Hinged) — 909x2009mm — Satin White (RAL 9016)</t>
  </si>
  <si>
    <t xml:space="preserve">ALS-HGD-0048</t>
  </si>
  <si>
    <t xml:space="preserve">Aluminium Hinged Door — Double Door (French-Hinged) — 909x2009mm — Charcoal Grey (RAL 7016)</t>
  </si>
  <si>
    <t xml:space="preserve">ALS-HGD-0049</t>
  </si>
  <si>
    <t xml:space="preserve">Aluminium Hinged Door — Double Door (French-Hinged) — 909x2009mm — Bronze Anodised</t>
  </si>
  <si>
    <t xml:space="preserve">ALS-HGD-0050</t>
  </si>
  <si>
    <t xml:space="preserve">Aluminium Hinged Door — Double Door (French-Hinged) — 909x2009mm — Graphite Black (RAL 9005)</t>
  </si>
  <si>
    <t xml:space="preserve">ALS-HGD-0051</t>
  </si>
  <si>
    <t xml:space="preserve">Aluminium Hinged Door — Double Door (French-Hinged) — 909x2090mm — Natural Anodised</t>
  </si>
  <si>
    <t xml:space="preserve">ALS-HGD-0052</t>
  </si>
  <si>
    <t xml:space="preserve">Aluminium Hinged Door — Double Door (French-Hinged) — 909x2090mm — Satin White (RAL 9016)</t>
  </si>
  <si>
    <t xml:space="preserve">ALS-HGD-0053</t>
  </si>
  <si>
    <t xml:space="preserve">Aluminium Hinged Door — Double Door (French-Hinged) — 909x2090mm — Charcoal Grey (RAL 7016)</t>
  </si>
  <si>
    <t xml:space="preserve">ALS-HGD-0054</t>
  </si>
  <si>
    <t xml:space="preserve">Aluminium Hinged Door — Double Door (French-Hinged) — 909x2090mm — Bronze Anodised</t>
  </si>
  <si>
    <t xml:space="preserve">ALS-HGD-0055</t>
  </si>
  <si>
    <t xml:space="preserve">Aluminium Hinged Door — Double Door (French-Hinged) — 909x2090mm — Graphite Black (RAL 9005)</t>
  </si>
  <si>
    <t xml:space="preserve">ALS-HGD-0056</t>
  </si>
  <si>
    <t xml:space="preserve">Aluminium Hinged Door — Double Door (French-Hinged) — 1209x2090mm — Natural Anodised</t>
  </si>
  <si>
    <t xml:space="preserve">ALS-HGD-0057</t>
  </si>
  <si>
    <t xml:space="preserve">Aluminium Hinged Door — Double Door (French-Hinged) — 1209x2090mm — Satin White (RAL 9016)</t>
  </si>
  <si>
    <t xml:space="preserve">ALS-HGD-0058</t>
  </si>
  <si>
    <t xml:space="preserve">Aluminium Hinged Door — Double Door (French-Hinged) — 1209x2090mm — Charcoal Grey (RAL 7016)</t>
  </si>
  <si>
    <t xml:space="preserve">ALS-HGD-0059</t>
  </si>
  <si>
    <t xml:space="preserve">Aluminium Hinged Door — Double Door (French-Hinged) — 1209x2090mm — Bronze Anodised</t>
  </si>
  <si>
    <t xml:space="preserve">ALS-HGD-0060</t>
  </si>
  <si>
    <t xml:space="preserve">Aluminium Hinged Door — Double Door (French-Hinged) — 1209x2090mm — Graphite Black (RAL 9005)</t>
  </si>
  <si>
    <t xml:space="preserve">ALS-HGD-0061</t>
  </si>
  <si>
    <t xml:space="preserve">Aluminium Hinged Door — Double Door (French-Hinged) — 1509x2090mm — Natural Anodised</t>
  </si>
  <si>
    <t xml:space="preserve">ALS-HGD-0062</t>
  </si>
  <si>
    <t xml:space="preserve">Aluminium Hinged Door — Double Door (French-Hinged) — 1509x2090mm — Satin White (RAL 9016)</t>
  </si>
  <si>
    <t xml:space="preserve">ALS-HGD-0063</t>
  </si>
  <si>
    <t xml:space="preserve">Aluminium Hinged Door — Double Door (French-Hinged) — 1509x2090mm — Charcoal Grey (RAL 7016)</t>
  </si>
  <si>
    <t xml:space="preserve">ALS-HGD-0064</t>
  </si>
  <si>
    <t xml:space="preserve">Aluminium Hinged Door — Double Door (French-Hinged) — 1509x2090mm — Bronze Anodised</t>
  </si>
  <si>
    <t xml:space="preserve">ALS-HGD-0065</t>
  </si>
  <si>
    <t xml:space="preserve">Aluminium Hinged Door — Double Door (French-Hinged) — 1509x2090mm — Graphite Black (RAL 9005)</t>
  </si>
  <si>
    <t xml:space="preserve">ALS-HGD-0066</t>
  </si>
  <si>
    <t xml:space="preserve">Aluminium Hinged Door — Double Door (French-Hinged) — 1809x2090mm — Natural Anodised</t>
  </si>
  <si>
    <t xml:space="preserve">ALS-HGD-0067</t>
  </si>
  <si>
    <t xml:space="preserve">Aluminium Hinged Door — Double Door (French-Hinged) — 1809x2090mm — Satin White (RAL 9016)</t>
  </si>
  <si>
    <t xml:space="preserve">ALS-HGD-0068</t>
  </si>
  <si>
    <t xml:space="preserve">Aluminium Hinged Door — Double Door (French-Hinged) — 1809x2090mm — Charcoal Grey (RAL 7016)</t>
  </si>
  <si>
    <t xml:space="preserve">ALS-HGD-0069</t>
  </si>
  <si>
    <t xml:space="preserve">Aluminium Hinged Door — Double Door (French-Hinged) — 1809x2090mm — Bronze Anodised</t>
  </si>
  <si>
    <t xml:space="preserve">ALS-HGD-0070</t>
  </si>
  <si>
    <t xml:space="preserve">Aluminium Hinged Door — Double Door (French-Hinged) — 1809x2090mm — Graphite Black (RAL 9005)</t>
  </si>
  <si>
    <t xml:space="preserve">ALS-HGD-0071</t>
  </si>
  <si>
    <t xml:space="preserve">Aluminium Hinged Door — Double Door (French-Hinged) — 2109x2090mm — Natural Anodised</t>
  </si>
  <si>
    <t xml:space="preserve">ALS-HGD-0072</t>
  </si>
  <si>
    <t xml:space="preserve">Aluminium Hinged Door — Double Door (French-Hinged) — 2109x2090mm — Satin White (RAL 9016)</t>
  </si>
  <si>
    <t xml:space="preserve">ALS-HGD-0073</t>
  </si>
  <si>
    <t xml:space="preserve">Aluminium Hinged Door — Double Door (French-Hinged) — 2109x2090mm — Charcoal Grey (RAL 7016)</t>
  </si>
  <si>
    <t xml:space="preserve">ALS-HGD-0074</t>
  </si>
  <si>
    <t xml:space="preserve">Aluminium Hinged Door — Double Door (French-Hinged) — 2109x2090mm — Bronze Anodised</t>
  </si>
  <si>
    <t xml:space="preserve">ALS-HGD-0075</t>
  </si>
  <si>
    <t xml:space="preserve">Aluminium Hinged Door — Double Door (French-Hinged) — 2109x2090mm — Graphite Black (RAL 9005)</t>
  </si>
  <si>
    <t xml:space="preserve">ALS-HGD-0076</t>
  </si>
  <si>
    <t xml:space="preserve">Aluminium Hinged Door — Double Door (French-Hinged) — 2409x2090mm — Natural Anodised</t>
  </si>
  <si>
    <t xml:space="preserve">ALS-HGD-0077</t>
  </si>
  <si>
    <t xml:space="preserve">Aluminium Hinged Door — Double Door (French-Hinged) — 2409x2090mm — Satin White (RAL 9016)</t>
  </si>
  <si>
    <t xml:space="preserve">ALS-HGD-0078</t>
  </si>
  <si>
    <t xml:space="preserve">Aluminium Hinged Door — Double Door (French-Hinged) — 2409x2090mm — Charcoal Grey (RAL 7016)</t>
  </si>
  <si>
    <t xml:space="preserve">ALS-HGD-0079</t>
  </si>
  <si>
    <t xml:space="preserve">Aluminium Hinged Door — Double Door (French-Hinged) — 2409x2090mm — Bronze Anodised</t>
  </si>
  <si>
    <t xml:space="preserve">ALS-HGD-0080</t>
  </si>
  <si>
    <t xml:space="preserve">Aluminium Hinged Door — Double Door (French-Hinged) — 2409x2090mm — Graphite Black (RAL 9005)</t>
  </si>
  <si>
    <t xml:space="preserve">ALS-FRD-0001</t>
  </si>
  <si>
    <t xml:space="preserve">Aluminium French Door Set — 1209x2009mm — Natural Anodised</t>
  </si>
  <si>
    <t xml:space="preserve">Double-Leaf, Fully-Glazed</t>
  </si>
  <si>
    <t xml:space="preserve">1209x2009mm</t>
  </si>
  <si>
    <t xml:space="preserve">ALS-FRD-0002</t>
  </si>
  <si>
    <t xml:space="preserve">Aluminium French Door Set — 1209x2009mm — Satin White (RAL 9016)</t>
  </si>
  <si>
    <t xml:space="preserve">ALS-FRD-0003</t>
  </si>
  <si>
    <t xml:space="preserve">Aluminium French Door Set — 1209x2009mm — Charcoal Grey (RAL 7016)</t>
  </si>
  <si>
    <t xml:space="preserve">ALS-FRD-0004</t>
  </si>
  <si>
    <t xml:space="preserve">Aluminium French Door Set — 1209x2009mm — Bronze Anodised</t>
  </si>
  <si>
    <t xml:space="preserve">ALS-FRD-0005</t>
  </si>
  <si>
    <t xml:space="preserve">Aluminium French Door Set — 1209x2009mm — Graphite Black (RAL 9005)</t>
  </si>
  <si>
    <t xml:space="preserve">ALS-FRD-0006</t>
  </si>
  <si>
    <t xml:space="preserve">Aluminium French Door Set — 1509x2009mm — Natural Anodised</t>
  </si>
  <si>
    <t xml:space="preserve">1509x2009mm</t>
  </si>
  <si>
    <t xml:space="preserve">ALS-FRD-0007</t>
  </si>
  <si>
    <t xml:space="preserve">Aluminium French Door Set — 1509x2009mm — Satin White (RAL 9016)</t>
  </si>
  <si>
    <t xml:space="preserve">ALS-FRD-0008</t>
  </si>
  <si>
    <t xml:space="preserve">Aluminium French Door Set — 1509x2009mm — Charcoal Grey (RAL 7016)</t>
  </si>
  <si>
    <t xml:space="preserve">ALS-FRD-0009</t>
  </si>
  <si>
    <t xml:space="preserve">Aluminium French Door Set — 1509x2009mm — Bronze Anodised</t>
  </si>
  <si>
    <t xml:space="preserve">ALS-FRD-0010</t>
  </si>
  <si>
    <t xml:space="preserve">Aluminium French Door Set — 1509x2009mm — Graphite Black (RAL 9005)</t>
  </si>
  <si>
    <t xml:space="preserve">ALS-FRD-0011</t>
  </si>
  <si>
    <t xml:space="preserve">Aluminium French Door Set — 1809x2090mm — Natural Anodised</t>
  </si>
  <si>
    <t xml:space="preserve">ALS-FRD-0012</t>
  </si>
  <si>
    <t xml:space="preserve">Aluminium French Door Set — 1809x2090mm — Satin White (RAL 9016)</t>
  </si>
  <si>
    <t xml:space="preserve">ALS-FRD-0013</t>
  </si>
  <si>
    <t xml:space="preserve">Aluminium French Door Set — 1809x2090mm — Charcoal Grey (RAL 7016)</t>
  </si>
  <si>
    <t xml:space="preserve">ALS-FRD-0014</t>
  </si>
  <si>
    <t xml:space="preserve">Aluminium French Door Set — 1809x2090mm — Bronze Anodised</t>
  </si>
  <si>
    <t xml:space="preserve">ALS-FRD-0015</t>
  </si>
  <si>
    <t xml:space="preserve">Aluminium French Door Set — 1809x2090mm — Graphite Black (RAL 9005)</t>
  </si>
  <si>
    <t xml:space="preserve">ALS-FRD-0016</t>
  </si>
  <si>
    <t xml:space="preserve">Aluminium French Door Set — 2109x2090mm — Natural Anodised</t>
  </si>
  <si>
    <t xml:space="preserve">ALS-FRD-0017</t>
  </si>
  <si>
    <t xml:space="preserve">Aluminium French Door Set — 2109x2090mm — Satin White (RAL 9016)</t>
  </si>
  <si>
    <t xml:space="preserve">ALS-FRD-0018</t>
  </si>
  <si>
    <t xml:space="preserve">Aluminium French Door Set — 2109x2090mm — Charcoal Grey (RAL 7016)</t>
  </si>
  <si>
    <t xml:space="preserve">ALS-FRD-0019</t>
  </si>
  <si>
    <t xml:space="preserve">Aluminium French Door Set — 2109x2090mm — Bronze Anodised</t>
  </si>
  <si>
    <t xml:space="preserve">ALS-FRD-0020</t>
  </si>
  <si>
    <t xml:space="preserve">Aluminium French Door Set — 2109x2090mm — Graphite Black (RAL 9005)</t>
  </si>
  <si>
    <t xml:space="preserve">ALS-FRD-0021</t>
  </si>
  <si>
    <t xml:space="preserve">Aluminium French Door Set — 2409x2090mm — Natural Anodised</t>
  </si>
  <si>
    <t xml:space="preserve">ALS-FRD-0022</t>
  </si>
  <si>
    <t xml:space="preserve">Aluminium French Door Set — 2409x2090mm — Satin White (RAL 9016)</t>
  </si>
  <si>
    <t xml:space="preserve">ALS-FRD-0023</t>
  </si>
  <si>
    <t xml:space="preserve">Aluminium French Door Set — 2409x2090mm — Charcoal Grey (RAL 7016)</t>
  </si>
  <si>
    <t xml:space="preserve">ALS-FRD-0024</t>
  </si>
  <si>
    <t xml:space="preserve">Aluminium French Door Set — 2409x2090mm — Bronze Anodised</t>
  </si>
  <si>
    <t xml:space="preserve">ALS-FRD-0025</t>
  </si>
  <si>
    <t xml:space="preserve">Aluminium French Door Set — 2409x2090mm — Graphite Black (RAL 9005)</t>
  </si>
  <si>
    <t xml:space="preserve">ALS-FRD-0026</t>
  </si>
  <si>
    <t xml:space="preserve">Aluminium French Door Set — 2709x2090mm — Natural Anodised</t>
  </si>
  <si>
    <t xml:space="preserve">2709x2090mm</t>
  </si>
  <si>
    <t xml:space="preserve">ALS-FRD-0027</t>
  </si>
  <si>
    <t xml:space="preserve">Aluminium French Door Set — 2709x2090mm — Satin White (RAL 9016)</t>
  </si>
  <si>
    <t xml:space="preserve">ALS-FRD-0028</t>
  </si>
  <si>
    <t xml:space="preserve">Aluminium French Door Set — 2709x2090mm — Charcoal Grey (RAL 7016)</t>
  </si>
  <si>
    <t xml:space="preserve">ALS-FRD-0029</t>
  </si>
  <si>
    <t xml:space="preserve">Aluminium French Door Set — 2709x2090mm — Bronze Anodised</t>
  </si>
  <si>
    <t xml:space="preserve">ALS-FRD-0030</t>
  </si>
  <si>
    <t xml:space="preserve">Aluminium French Door Set — 2709x2090mm — Graphite Black (RAL 9005)</t>
  </si>
  <si>
    <t xml:space="preserve">ALS-PVD-0001</t>
  </si>
  <si>
    <t xml:space="preserve">Aluminium Pivot Entrance Door — 909x2090mm — Natural Anodised</t>
  </si>
  <si>
    <t xml:space="preserve">Offset-Pivot, Oversized Entrance</t>
  </si>
  <si>
    <t xml:space="preserve">Commercial/Residential</t>
  </si>
  <si>
    <t xml:space="preserve">ALS-PVD-0002</t>
  </si>
  <si>
    <t xml:space="preserve">Aluminium Pivot Entrance Door — 909x2090mm — Satin White (RAL 9016)</t>
  </si>
  <si>
    <t xml:space="preserve">ALS-PVD-0003</t>
  </si>
  <si>
    <t xml:space="preserve">Aluminium Pivot Entrance Door — 909x2090mm — Charcoal Grey (RAL 7016)</t>
  </si>
  <si>
    <t xml:space="preserve">ALS-PVD-0004</t>
  </si>
  <si>
    <t xml:space="preserve">Aluminium Pivot Entrance Door — 909x2090mm — Bronze Anodised</t>
  </si>
  <si>
    <t xml:space="preserve">ALS-PVD-0005</t>
  </si>
  <si>
    <t xml:space="preserve">Aluminium Pivot Entrance Door — 1009x2400mm — Natural Anodised</t>
  </si>
  <si>
    <t xml:space="preserve">1009x2400mm</t>
  </si>
  <si>
    <t xml:space="preserve">ALS-PVD-0006</t>
  </si>
  <si>
    <t xml:space="preserve">Aluminium Pivot Entrance Door — 1009x2400mm — Satin White (RAL 9016)</t>
  </si>
  <si>
    <t xml:space="preserve">ALS-PVD-0007</t>
  </si>
  <si>
    <t xml:space="preserve">Aluminium Pivot Entrance Door — 1009x2400mm — Charcoal Grey (RAL 7016)</t>
  </si>
  <si>
    <t xml:space="preserve">ALS-PVD-0008</t>
  </si>
  <si>
    <t xml:space="preserve">Aluminium Pivot Entrance Door — 1009x2400mm — Bronze Anodised</t>
  </si>
  <si>
    <t xml:space="preserve">ALS-PVD-0009</t>
  </si>
  <si>
    <t xml:space="preserve">Aluminium Pivot Entrance Door — 1209x2400mm — Natural Anodised</t>
  </si>
  <si>
    <t xml:space="preserve">1209x2400mm</t>
  </si>
  <si>
    <t xml:space="preserve">ALS-PVD-0010</t>
  </si>
  <si>
    <t xml:space="preserve">Aluminium Pivot Entrance Door — 1209x2400mm — Satin White (RAL 9016)</t>
  </si>
  <si>
    <t xml:space="preserve">ALS-PVD-0011</t>
  </si>
  <si>
    <t xml:space="preserve">Aluminium Pivot Entrance Door — 1209x2400mm — Charcoal Grey (RAL 7016)</t>
  </si>
  <si>
    <t xml:space="preserve">ALS-PVD-0012</t>
  </si>
  <si>
    <t xml:space="preserve">Aluminium Pivot Entrance Door — 1209x2400mm — Bronze Anodised</t>
  </si>
  <si>
    <t xml:space="preserve">ALS-PVD-0013</t>
  </si>
  <si>
    <t xml:space="preserve">Aluminium Pivot Entrance Door — 1209x2700mm — Natural Anodised</t>
  </si>
  <si>
    <t xml:space="preserve">1209x2700mm</t>
  </si>
  <si>
    <t xml:space="preserve">ALS-PVD-0014</t>
  </si>
  <si>
    <t xml:space="preserve">Aluminium Pivot Entrance Door — 1209x2700mm — Satin White (RAL 9016)</t>
  </si>
  <si>
    <t xml:space="preserve">ALS-PVD-0015</t>
  </si>
  <si>
    <t xml:space="preserve">Aluminium Pivot Entrance Door — 1209x2700mm — Charcoal Grey (RAL 7016)</t>
  </si>
  <si>
    <t xml:space="preserve">ALS-PVD-0016</t>
  </si>
  <si>
    <t xml:space="preserve">Aluminium Pivot Entrance Door — 1209x2700mm — Bronze Anodised</t>
  </si>
  <si>
    <t xml:space="preserve">ALS-PVD-0017</t>
  </si>
  <si>
    <t xml:space="preserve">Aluminium Pivot Entrance Door — 1509x2700mm — Natural Anodised</t>
  </si>
  <si>
    <t xml:space="preserve">1509x2700mm</t>
  </si>
  <si>
    <t xml:space="preserve">ALS-PVD-0018</t>
  </si>
  <si>
    <t xml:space="preserve">Aluminium Pivot Entrance Door — 1509x2700mm — Satin White (RAL 9016)</t>
  </si>
  <si>
    <t xml:space="preserve">ALS-PVD-0019</t>
  </si>
  <si>
    <t xml:space="preserve">Aluminium Pivot Entrance Door — 1509x2700mm — Charcoal Grey (RAL 7016)</t>
  </si>
  <si>
    <t xml:space="preserve">ALS-PVD-0020</t>
  </si>
  <si>
    <t xml:space="preserve">Aluminium Pivot Entrance Door — 1509x2700mm — Bronze Anodised</t>
  </si>
  <si>
    <t xml:space="preserve">ALS-SCD-0001</t>
  </si>
  <si>
    <t xml:space="preserve">Aluminium Sliding Security Door (Mesh Infill) — 809x2009mm — Natural Anodised</t>
  </si>
  <si>
    <t xml:space="preserve">Sliding Security Door (Mesh Infill)</t>
  </si>
  <si>
    <t xml:space="preserve">ALS-SCD-0002</t>
  </si>
  <si>
    <t xml:space="preserve">Aluminium Sliding Security Door (Mesh Infill) — 809x2009mm — Satin White (RAL 9016)</t>
  </si>
  <si>
    <t xml:space="preserve">ALS-SCD-0003</t>
  </si>
  <si>
    <t xml:space="preserve">Aluminium Sliding Security Door (Mesh Infill) — 809x2009mm — Charcoal Grey (RAL 7016)</t>
  </si>
  <si>
    <t xml:space="preserve">ALS-SCD-0004</t>
  </si>
  <si>
    <t xml:space="preserve">Aluminium Sliding Security Door (Mesh Infill) — 909x2009mm — Natural Anodised</t>
  </si>
  <si>
    <t xml:space="preserve">ALS-SCD-0005</t>
  </si>
  <si>
    <t xml:space="preserve">Aluminium Sliding Security Door (Mesh Infill) — 909x2009mm — Satin White (RAL 9016)</t>
  </si>
  <si>
    <t xml:space="preserve">ALS-SCD-0006</t>
  </si>
  <si>
    <t xml:space="preserve">Aluminium Sliding Security Door (Mesh Infill) — 909x2009mm — Charcoal Grey (RAL 7016)</t>
  </si>
  <si>
    <t xml:space="preserve">ALS-SCD-0007</t>
  </si>
  <si>
    <t xml:space="preserve">Aluminium Sliding Security Door (Mesh Infill) — 1209x2009mm — Natural Anodised</t>
  </si>
  <si>
    <t xml:space="preserve">ALS-SCD-0008</t>
  </si>
  <si>
    <t xml:space="preserve">Aluminium Sliding Security Door (Mesh Infill) — 1209x2009mm — Satin White (RAL 9016)</t>
  </si>
  <si>
    <t xml:space="preserve">ALS-SCD-0009</t>
  </si>
  <si>
    <t xml:space="preserve">Aluminium Sliding Security Door (Mesh Infill) — 1209x2009mm — Charcoal Grey (RAL 7016)</t>
  </si>
  <si>
    <t xml:space="preserve">ALS-SCD-0010</t>
  </si>
  <si>
    <t xml:space="preserve">Aluminium Sliding Security Door (Mesh Infill) — 1809x2009mm — Natural Anodised</t>
  </si>
  <si>
    <t xml:space="preserve">ALS-SCD-0011</t>
  </si>
  <si>
    <t xml:space="preserve">Aluminium Sliding Security Door (Mesh Infill) — 1809x2009mm — Satin White (RAL 9016)</t>
  </si>
  <si>
    <t xml:space="preserve">ALS-SCD-0012</t>
  </si>
  <si>
    <t xml:space="preserve">Aluminium Sliding Security Door (Mesh Infill) — 1809x2009mm — Charcoal Grey (RAL 7016)</t>
  </si>
  <si>
    <t xml:space="preserve">ALS-SCD-0013</t>
  </si>
  <si>
    <t xml:space="preserve">Aluminium Sliding Security Door (Mesh Infill) — 2409x2009mm — Natural Anodised</t>
  </si>
  <si>
    <t xml:space="preserve">ALS-SCD-0014</t>
  </si>
  <si>
    <t xml:space="preserve">Aluminium Sliding Security Door (Mesh Infill) — 2409x2009mm — Satin White (RAL 9016)</t>
  </si>
  <si>
    <t xml:space="preserve">ALS-SCD-0015</t>
  </si>
  <si>
    <t xml:space="preserve">Aluminium Sliding Security Door (Mesh Infill) — 2409x2009mm — Charcoal Grey (RAL 7016)</t>
  </si>
  <si>
    <t xml:space="preserve">ALS-SCD-0016</t>
  </si>
  <si>
    <t xml:space="preserve">Aluminium Sliding Security Door (Mesh Infill) — 3009x2009mm — Natural Anodised</t>
  </si>
  <si>
    <t xml:space="preserve">3009x2009mm</t>
  </si>
  <si>
    <t xml:space="preserve">ALS-SCD-0017</t>
  </si>
  <si>
    <t xml:space="preserve">Aluminium Sliding Security Door (Mesh Infill) — 3009x2009mm — Satin White (RAL 9016)</t>
  </si>
  <si>
    <t xml:space="preserve">ALS-SCD-0018</t>
  </si>
  <si>
    <t xml:space="preserve">Aluminium Sliding Security Door (Mesh Infill) — 3009x2009mm — Charcoal Grey (RAL 7016)</t>
  </si>
  <si>
    <t xml:space="preserve">ALS-SCD-0019</t>
  </si>
  <si>
    <t xml:space="preserve">Aluminium Hinged Security Door (Mesh Infill) — 809x2009mm — Natural Anodised</t>
  </si>
  <si>
    <t xml:space="preserve">Hinged Security Door (Mesh Infill)</t>
  </si>
  <si>
    <t xml:space="preserve">ALS-SCD-0020</t>
  </si>
  <si>
    <t xml:space="preserve">Aluminium Hinged Security Door (Mesh Infill) — 809x2009mm — Satin White (RAL 9016)</t>
  </si>
  <si>
    <t xml:space="preserve">ALS-SCD-0021</t>
  </si>
  <si>
    <t xml:space="preserve">Aluminium Hinged Security Door (Mesh Infill) — 809x2009mm — Charcoal Grey (RAL 7016)</t>
  </si>
  <si>
    <t xml:space="preserve">ALS-SCD-0022</t>
  </si>
  <si>
    <t xml:space="preserve">Aluminium Hinged Security Door (Mesh Infill) — 909x2009mm — Natural Anodised</t>
  </si>
  <si>
    <t xml:space="preserve">ALS-SCD-0023</t>
  </si>
  <si>
    <t xml:space="preserve">Aluminium Hinged Security Door (Mesh Infill) — 909x2009mm — Satin White (RAL 9016)</t>
  </si>
  <si>
    <t xml:space="preserve">ALS-SCD-0024</t>
  </si>
  <si>
    <t xml:space="preserve">Aluminium Hinged Security Door (Mesh Infill) — 909x2009mm — Charcoal Grey (RAL 7016)</t>
  </si>
  <si>
    <t xml:space="preserve">ALS-SCD-0025</t>
  </si>
  <si>
    <t xml:space="preserve">Aluminium Hinged Security Door (Mesh Infill) — 1209x2009mm — Natural Anodised</t>
  </si>
  <si>
    <t xml:space="preserve">ALS-SCD-0026</t>
  </si>
  <si>
    <t xml:space="preserve">Aluminium Hinged Security Door (Mesh Infill) — 1209x2009mm — Satin White (RAL 9016)</t>
  </si>
  <si>
    <t xml:space="preserve">ALS-SCD-0027</t>
  </si>
  <si>
    <t xml:space="preserve">Aluminium Hinged Security Door (Mesh Infill) — 1209x2009mm — Charcoal Grey (RAL 7016)</t>
  </si>
  <si>
    <t xml:space="preserve">ALS-SCD-0028</t>
  </si>
  <si>
    <t xml:space="preserve">Aluminium Hinged Security Door (Mesh Infill) — 1809x2009mm — Natural Anodised</t>
  </si>
  <si>
    <t xml:space="preserve">ALS-SCD-0029</t>
  </si>
  <si>
    <t xml:space="preserve">Aluminium Hinged Security Door (Mesh Infill) — 1809x2009mm — Satin White (RAL 9016)</t>
  </si>
  <si>
    <t xml:space="preserve">ALS-SCD-0030</t>
  </si>
  <si>
    <t xml:space="preserve">Aluminium Hinged Security Door (Mesh Infill) — 1809x2009mm — Charcoal Grey (RAL 7016)</t>
  </si>
  <si>
    <t xml:space="preserve">ALS-SCD-0031</t>
  </si>
  <si>
    <t xml:space="preserve">Aluminium Hinged Security Door (Mesh Infill) — 2409x2009mm — Natural Anodised</t>
  </si>
  <si>
    <t xml:space="preserve">ALS-SCD-0032</t>
  </si>
  <si>
    <t xml:space="preserve">Aluminium Hinged Security Door (Mesh Infill) — 2409x2009mm — Satin White (RAL 9016)</t>
  </si>
  <si>
    <t xml:space="preserve">ALS-SCD-0033</t>
  </si>
  <si>
    <t xml:space="preserve">Aluminium Hinged Security Door (Mesh Infill) — 2409x2009mm — Charcoal Grey (RAL 7016)</t>
  </si>
  <si>
    <t xml:space="preserve">ALS-SCD-0034</t>
  </si>
  <si>
    <t xml:space="preserve">Aluminium Hinged Security Door (Mesh Infill) — 3009x2009mm — Natural Anodised</t>
  </si>
  <si>
    <t xml:space="preserve">ALS-SCD-0035</t>
  </si>
  <si>
    <t xml:space="preserve">Aluminium Hinged Security Door (Mesh Infill) — 3009x2009mm — Satin White (RAL 9016)</t>
  </si>
  <si>
    <t xml:space="preserve">ALS-SCD-0036</t>
  </si>
  <si>
    <t xml:space="preserve">Aluminium Hinged Security Door (Mesh Infill) — 3009x2009mm — Charcoal Grey (RAL 7016)</t>
  </si>
  <si>
    <t xml:space="preserve">ALS-SCD-0037</t>
  </si>
  <si>
    <t xml:space="preserve">Aluminium Retractable Security Screen Door — 809x2009mm — Natural Anodised</t>
  </si>
  <si>
    <t xml:space="preserve">Retractable Security Screen Door</t>
  </si>
  <si>
    <t xml:space="preserve">ALS-SCD-0038</t>
  </si>
  <si>
    <t xml:space="preserve">Aluminium Retractable Security Screen Door — 809x2009mm — Satin White (RAL 9016)</t>
  </si>
  <si>
    <t xml:space="preserve">ALS-SCD-0039</t>
  </si>
  <si>
    <t xml:space="preserve">Aluminium Retractable Security Screen Door — 809x2009mm — Charcoal Grey (RAL 7016)</t>
  </si>
  <si>
    <t xml:space="preserve">ALS-SCD-0040</t>
  </si>
  <si>
    <t xml:space="preserve">Aluminium Retractable Security Screen Door — 909x2009mm — Natural Anodised</t>
  </si>
  <si>
    <t xml:space="preserve">ALS-SCD-0041</t>
  </si>
  <si>
    <t xml:space="preserve">Aluminium Retractable Security Screen Door — 909x2009mm — Satin White (RAL 9016)</t>
  </si>
  <si>
    <t xml:space="preserve">ALS-SCD-0042</t>
  </si>
  <si>
    <t xml:space="preserve">Aluminium Retractable Security Screen Door — 909x2009mm — Charcoal Grey (RAL 7016)</t>
  </si>
  <si>
    <t xml:space="preserve">ALS-SCD-0043</t>
  </si>
  <si>
    <t xml:space="preserve">Aluminium Retractable Security Screen Door — 1209x2009mm — Natural Anodised</t>
  </si>
  <si>
    <t xml:space="preserve">ALS-SCD-0044</t>
  </si>
  <si>
    <t xml:space="preserve">Aluminium Retractable Security Screen Door — 1209x2009mm — Satin White (RAL 9016)</t>
  </si>
  <si>
    <t xml:space="preserve">ALS-SCD-0045</t>
  </si>
  <si>
    <t xml:space="preserve">Aluminium Retractable Security Screen Door — 1209x2009mm — Charcoal Grey (RAL 7016)</t>
  </si>
  <si>
    <t xml:space="preserve">ALS-SCD-0046</t>
  </si>
  <si>
    <t xml:space="preserve">Aluminium Retractable Security Screen Door — 1809x2009mm — Natural Anodised</t>
  </si>
  <si>
    <t xml:space="preserve">ALS-SCD-0047</t>
  </si>
  <si>
    <t xml:space="preserve">Aluminium Retractable Security Screen Door — 1809x2009mm — Satin White (RAL 9016)</t>
  </si>
  <si>
    <t xml:space="preserve">ALS-SCD-0048</t>
  </si>
  <si>
    <t xml:space="preserve">Aluminium Retractable Security Screen Door — 1809x2009mm — Charcoal Grey (RAL 7016)</t>
  </si>
  <si>
    <t xml:space="preserve">ALS-SCD-0049</t>
  </si>
  <si>
    <t xml:space="preserve">Aluminium Retractable Security Screen Door — 2409x2009mm — Natural Anodised</t>
  </si>
  <si>
    <t xml:space="preserve">ALS-SCD-0050</t>
  </si>
  <si>
    <t xml:space="preserve">Aluminium Retractable Security Screen Door — 2409x2009mm — Satin White (RAL 9016)</t>
  </si>
  <si>
    <t xml:space="preserve">ALS-SCD-0051</t>
  </si>
  <si>
    <t xml:space="preserve">Aluminium Retractable Security Screen Door — 2409x2009mm — Charcoal Grey (RAL 7016)</t>
  </si>
  <si>
    <t xml:space="preserve">ALS-SCD-0052</t>
  </si>
  <si>
    <t xml:space="preserve">Aluminium Retractable Security Screen Door — 3009x2009mm — Natural Anodised</t>
  </si>
  <si>
    <t xml:space="preserve">ALS-SCD-0053</t>
  </si>
  <si>
    <t xml:space="preserve">Aluminium Retractable Security Screen Door — 3009x2009mm — Satin White (RAL 9016)</t>
  </si>
  <si>
    <t xml:space="preserve">ALS-SCD-0054</t>
  </si>
  <si>
    <t xml:space="preserve">Aluminium Retractable Security Screen Door — 3009x2009mm — Charcoal Grey (RAL 7016)</t>
  </si>
  <si>
    <t xml:space="preserve">ALS-SFS-0001</t>
  </si>
  <si>
    <t xml:space="preserve">Shopfront Systems</t>
  </si>
  <si>
    <t xml:space="preserve">Shopfront Framing System — Standard Profile — Natural Anodised</t>
  </si>
  <si>
    <t xml:space="preserve">Shopfront Framing System — Standard Profile</t>
  </si>
  <si>
    <t xml:space="preserve">Custom to Opening</t>
  </si>
  <si>
    <t xml:space="preserve">Per Linear Metre</t>
  </si>
  <si>
    <t xml:space="preserve">Commercial/Institutional</t>
  </si>
  <si>
    <t xml:space="preserve">ALS-SFS-0002</t>
  </si>
  <si>
    <t xml:space="preserve">Shopfront Framing System — Standard Profile — Satin White (RAL 9016)</t>
  </si>
  <si>
    <t xml:space="preserve">ALS-SFS-0003</t>
  </si>
  <si>
    <t xml:space="preserve">Shopfront Framing System — Standard Profile — Charcoal Grey (RAL 7016)</t>
  </si>
  <si>
    <t xml:space="preserve">ALS-SFS-0004</t>
  </si>
  <si>
    <t xml:space="preserve">Shopfront Framing System — Standard Profile — Bronze Anodised</t>
  </si>
  <si>
    <t xml:space="preserve">ALS-SFS-0005</t>
  </si>
  <si>
    <t xml:space="preserve">Shopfront Framing System — Heavy-Duty Profile — Natural Anodised</t>
  </si>
  <si>
    <t xml:space="preserve">Shopfront Framing System — Heavy-Duty Profile</t>
  </si>
  <si>
    <t xml:space="preserve">ALS-SFS-0006</t>
  </si>
  <si>
    <t xml:space="preserve">Shopfront Framing System — Heavy-Duty Profile — Satin White (RAL 9016)</t>
  </si>
  <si>
    <t xml:space="preserve">ALS-SFS-0007</t>
  </si>
  <si>
    <t xml:space="preserve">Shopfront Framing System — Heavy-Duty Profile — Charcoal Grey (RAL 7016)</t>
  </si>
  <si>
    <t xml:space="preserve">ALS-SFS-0008</t>
  </si>
  <si>
    <t xml:space="preserve">Shopfront Framing System — Heavy-Duty Profile — Bronze Anodised</t>
  </si>
  <si>
    <t xml:space="preserve">ALS-SFS-0009</t>
  </si>
  <si>
    <t xml:space="preserve">Shopfront Entrance Door Unit — Single, Fully-Glazed — Natural Anodised</t>
  </si>
  <si>
    <t xml:space="preserve">Shopfront Entrance Door Unit — Single, Fully-Glazed</t>
  </si>
  <si>
    <t xml:space="preserve">ALS-SFS-0010</t>
  </si>
  <si>
    <t xml:space="preserve">Shopfront Entrance Door Unit — Single, Fully-Glazed — Satin White (RAL 9016)</t>
  </si>
  <si>
    <t xml:space="preserve">ALS-SFS-0011</t>
  </si>
  <si>
    <t xml:space="preserve">Shopfront Entrance Door Unit — Single, Fully-Glazed — Charcoal Grey (RAL 7016)</t>
  </si>
  <si>
    <t xml:space="preserve">ALS-SFS-0012</t>
  </si>
  <si>
    <t xml:space="preserve">Shopfront Entrance Door Unit — Single, Fully-Glazed — Bronze Anodised</t>
  </si>
  <si>
    <t xml:space="preserve">ALS-SFS-0013</t>
  </si>
  <si>
    <t xml:space="preserve">Shopfront Entrance Door Unit — Double, Fully-Glazed — Natural Anodised</t>
  </si>
  <si>
    <t xml:space="preserve">Shopfront Entrance Door Unit — Double, Fully-Glazed</t>
  </si>
  <si>
    <t xml:space="preserve">ALS-SFS-0014</t>
  </si>
  <si>
    <t xml:space="preserve">Shopfront Entrance Door Unit — Double, Fully-Glazed — Satin White (RAL 9016)</t>
  </si>
  <si>
    <t xml:space="preserve">ALS-SFS-0015</t>
  </si>
  <si>
    <t xml:space="preserve">Shopfront Entrance Door Unit — Double, Fully-Glazed — Charcoal Grey (RAL 7016)</t>
  </si>
  <si>
    <t xml:space="preserve">ALS-SFS-0016</t>
  </si>
  <si>
    <t xml:space="preserve">Shopfront Entrance Door Unit — Double, Fully-Glazed — Bronze Anodised</t>
  </si>
  <si>
    <t xml:space="preserve">ALS-SFS-0017</t>
  </si>
  <si>
    <t xml:space="preserve">Shopfront Transom Panel — Fixed Glazed — Natural Anodised</t>
  </si>
  <si>
    <t xml:space="preserve">Shopfront Transom Panel — Fixed Glazed</t>
  </si>
  <si>
    <t xml:space="preserve">Per m²</t>
  </si>
  <si>
    <t xml:space="preserve">ALS-SFS-0018</t>
  </si>
  <si>
    <t xml:space="preserve">Shopfront Transom Panel — Fixed Glazed — Satin White (RAL 9016)</t>
  </si>
  <si>
    <t xml:space="preserve">ALS-SFS-0019</t>
  </si>
  <si>
    <t xml:space="preserve">Shopfront Transom Panel — Fixed Glazed — Charcoal Grey (RAL 7016)</t>
  </si>
  <si>
    <t xml:space="preserve">ALS-SFS-0020</t>
  </si>
  <si>
    <t xml:space="preserve">Shopfront Transom Panel — Fixed Glazed — Bronze Anodised</t>
  </si>
  <si>
    <t xml:space="preserve">ALS-SFS-0021</t>
  </si>
  <si>
    <t xml:space="preserve">Shopfront Side Panel — Fixed Glazed — Natural Anodised</t>
  </si>
  <si>
    <t xml:space="preserve">Shopfront Side Panel — Fixed Glazed</t>
  </si>
  <si>
    <t xml:space="preserve">ALS-SFS-0022</t>
  </si>
  <si>
    <t xml:space="preserve">Shopfront Side Panel — Fixed Glazed — Satin White (RAL 9016)</t>
  </si>
  <si>
    <t xml:space="preserve">ALS-SFS-0023</t>
  </si>
  <si>
    <t xml:space="preserve">Shopfront Side Panel — Fixed Glazed — Charcoal Grey (RAL 7016)</t>
  </si>
  <si>
    <t xml:space="preserve">ALS-SFS-0024</t>
  </si>
  <si>
    <t xml:space="preserve">Shopfront Side Panel — Fixed Glazed — Bronze Anodised</t>
  </si>
  <si>
    <t xml:space="preserve">ALS-SFS-0025</t>
  </si>
  <si>
    <t xml:space="preserve">Automatic Sliding Entrance Door Package — Natural Anodised</t>
  </si>
  <si>
    <t xml:space="preserve">Automatic Sliding Entrance Door Package</t>
  </si>
  <si>
    <t xml:space="preserve">ALS-SFS-0026</t>
  </si>
  <si>
    <t xml:space="preserve">Automatic Sliding Entrance Door Package — Satin White (RAL 9016)</t>
  </si>
  <si>
    <t xml:space="preserve">ALS-SFS-0027</t>
  </si>
  <si>
    <t xml:space="preserve">Automatic Sliding Entrance Door Package — Charcoal Grey (RAL 7016)</t>
  </si>
  <si>
    <t xml:space="preserve">ALS-SFS-0028</t>
  </si>
  <si>
    <t xml:space="preserve">Automatic Sliding Entrance Door Package — Bronze Anodised</t>
  </si>
  <si>
    <t xml:space="preserve">ALS-CWG-0001</t>
  </si>
  <si>
    <t xml:space="preserve">Curtain Walling &amp; Structural Glazing</t>
  </si>
  <si>
    <t xml:space="preserve">Unitised Curtain Wall Panel — Standard Module — IGU Double-Glazed (4-12Ar-4 Low-E) — Natural Anodised</t>
  </si>
  <si>
    <t xml:space="preserve">Unitised Curtain Wall Panel — Standard Module</t>
  </si>
  <si>
    <t xml:space="preserve">Custom to Elevation</t>
  </si>
  <si>
    <t xml:space="preserve">CMI Partner Network</t>
  </si>
  <si>
    <t xml:space="preserve">ALS-CWG-0002</t>
  </si>
  <si>
    <t xml:space="preserve">Unitised Curtain Wall Panel — Standard Module — IGU Double-Glazed (4-12Ar-4 Low-E) — Satin White (RAL 9016)</t>
  </si>
  <si>
    <t xml:space="preserve">ALS-CWG-0003</t>
  </si>
  <si>
    <t xml:space="preserve">Unitised Curtain Wall Panel — Standard Module — IGU Double-Glazed (4-12Ar-4 Low-E) — Charcoal Grey (RAL 7016)</t>
  </si>
  <si>
    <t xml:space="preserve">ALS-CWG-0004</t>
  </si>
  <si>
    <t xml:space="preserve">Unitised Curtain Wall Panel — Standard Module — 6.38mm Laminated Safety — Natural Anodised</t>
  </si>
  <si>
    <t xml:space="preserve">ALS-CWG-0005</t>
  </si>
  <si>
    <t xml:space="preserve">Unitised Curtain Wall Panel — Standard Module — 6.38mm Laminated Safety — Satin White (RAL 9016)</t>
  </si>
  <si>
    <t xml:space="preserve">ALS-CWG-0006</t>
  </si>
  <si>
    <t xml:space="preserve">Unitised Curtain Wall Panel — Standard Module — 6.38mm Laminated Safety — Charcoal Grey (RAL 7016)</t>
  </si>
  <si>
    <t xml:space="preserve">ALS-CWG-0007</t>
  </si>
  <si>
    <t xml:space="preserve">Unitised Curtain Wall Panel — Standard Module — Solar-Control Tinted IGU — Natural Anodised</t>
  </si>
  <si>
    <t xml:space="preserve">ALS-CWG-0008</t>
  </si>
  <si>
    <t xml:space="preserve">Unitised Curtain Wall Panel — Standard Module — Solar-Control Tinted IGU — Satin White (RAL 9016)</t>
  </si>
  <si>
    <t xml:space="preserve">ALS-CWG-0009</t>
  </si>
  <si>
    <t xml:space="preserve">Unitised Curtain Wall Panel — Standard Module — Solar-Control Tinted IGU — Charcoal Grey (RAL 7016)</t>
  </si>
  <si>
    <t xml:space="preserve">ALS-CWG-0010</t>
  </si>
  <si>
    <t xml:space="preserve">Stick Curtain Wall System — Mullion &amp; Transom — IGU Double-Glazed (4-12Ar-4 Low-E) — Natural Anodised</t>
  </si>
  <si>
    <t xml:space="preserve">Stick Curtain Wall System — Mullion &amp; Transom</t>
  </si>
  <si>
    <t xml:space="preserve">ALS-CWG-0011</t>
  </si>
  <si>
    <t xml:space="preserve">Stick Curtain Wall System — Mullion &amp; Transom — IGU Double-Glazed (4-12Ar-4 Low-E) — Satin White (RAL 9016)</t>
  </si>
  <si>
    <t xml:space="preserve">ALS-CWG-0012</t>
  </si>
  <si>
    <t xml:space="preserve">Stick Curtain Wall System — Mullion &amp; Transom — IGU Double-Glazed (4-12Ar-4 Low-E) — Charcoal Grey (RAL 7016)</t>
  </si>
  <si>
    <t xml:space="preserve">ALS-CWG-0013</t>
  </si>
  <si>
    <t xml:space="preserve">Stick Curtain Wall System — Mullion &amp; Transom — 6.38mm Laminated Safety — Natural Anodised</t>
  </si>
  <si>
    <t xml:space="preserve">ALS-CWG-0014</t>
  </si>
  <si>
    <t xml:space="preserve">Stick Curtain Wall System — Mullion &amp; Transom — 6.38mm Laminated Safety — Satin White (RAL 9016)</t>
  </si>
  <si>
    <t xml:space="preserve">ALS-CWG-0015</t>
  </si>
  <si>
    <t xml:space="preserve">Stick Curtain Wall System — Mullion &amp; Transom — 6.38mm Laminated Safety — Charcoal Grey (RAL 7016)</t>
  </si>
  <si>
    <t xml:space="preserve">ALS-CWG-0016</t>
  </si>
  <si>
    <t xml:space="preserve">Stick Curtain Wall System — Mullion &amp; Transom — Solar-Control Tinted IGU — Natural Anodised</t>
  </si>
  <si>
    <t xml:space="preserve">ALS-CWG-0017</t>
  </si>
  <si>
    <t xml:space="preserve">Stick Curtain Wall System — Mullion &amp; Transom — Solar-Control Tinted IGU — Satin White (RAL 9016)</t>
  </si>
  <si>
    <t xml:space="preserve">ALS-CWG-0018</t>
  </si>
  <si>
    <t xml:space="preserve">Stick Curtain Wall System — Mullion &amp; Transom — Solar-Control Tinted IGU — Charcoal Grey (RAL 7016)</t>
  </si>
  <si>
    <t xml:space="preserve">ALS-CWG-0019</t>
  </si>
  <si>
    <t xml:space="preserve">Structural Silicone-Glazed Facade Module — IGU Double-Glazed (4-12Ar-4 Low-E) — Natural Anodised</t>
  </si>
  <si>
    <t xml:space="preserve">Structural Silicone-Glazed Facade Module</t>
  </si>
  <si>
    <t xml:space="preserve">ALS-CWG-0020</t>
  </si>
  <si>
    <t xml:space="preserve">Structural Silicone-Glazed Facade Module — IGU Double-Glazed (4-12Ar-4 Low-E) — Satin White (RAL 9016)</t>
  </si>
  <si>
    <t xml:space="preserve">ALS-CWG-0021</t>
  </si>
  <si>
    <t xml:space="preserve">Structural Silicone-Glazed Facade Module — IGU Double-Glazed (4-12Ar-4 Low-E) — Charcoal Grey (RAL 7016)</t>
  </si>
  <si>
    <t xml:space="preserve">ALS-CWG-0022</t>
  </si>
  <si>
    <t xml:space="preserve">Structural Silicone-Glazed Facade Module — 6.38mm Laminated Safety — Natural Anodised</t>
  </si>
  <si>
    <t xml:space="preserve">ALS-CWG-0023</t>
  </si>
  <si>
    <t xml:space="preserve">Structural Silicone-Glazed Facade Module — 6.38mm Laminated Safety — Satin White (RAL 9016)</t>
  </si>
  <si>
    <t xml:space="preserve">ALS-CWG-0024</t>
  </si>
  <si>
    <t xml:space="preserve">Structural Silicone-Glazed Facade Module — 6.38mm Laminated Safety — Charcoal Grey (RAL 7016)</t>
  </si>
  <si>
    <t xml:space="preserve">ALS-CWG-0025</t>
  </si>
  <si>
    <t xml:space="preserve">Structural Silicone-Glazed Facade Module — Solar-Control Tinted IGU — Natural Anodised</t>
  </si>
  <si>
    <t xml:space="preserve">ALS-CWG-0026</t>
  </si>
  <si>
    <t xml:space="preserve">Structural Silicone-Glazed Facade Module — Solar-Control Tinted IGU — Satin White (RAL 9016)</t>
  </si>
  <si>
    <t xml:space="preserve">ALS-CWG-0027</t>
  </si>
  <si>
    <t xml:space="preserve">Structural Silicone-Glazed Facade Module — Solar-Control Tinted IGU — Charcoal Grey (RAL 7016)</t>
  </si>
  <si>
    <t xml:space="preserve">ALS-CWG-0028</t>
  </si>
  <si>
    <t xml:space="preserve">Spider-Fitting Structural Glazing Bracket Set — IGU Double-Glazed (4-12Ar-4 Low-E) — Natural Anodised</t>
  </si>
  <si>
    <t xml:space="preserve">Spider-Fitting Structural Glazing Bracket Set</t>
  </si>
  <si>
    <t xml:space="preserve">Per Set</t>
  </si>
  <si>
    <t xml:space="preserve">ALS-CWG-0029</t>
  </si>
  <si>
    <t xml:space="preserve">Spider-Fitting Structural Glazing Bracket Set — IGU Double-Glazed (4-12Ar-4 Low-E) — Satin White (RAL 9016)</t>
  </si>
  <si>
    <t xml:space="preserve">ALS-CWG-0030</t>
  </si>
  <si>
    <t xml:space="preserve">Spider-Fitting Structural Glazing Bracket Set — IGU Double-Glazed (4-12Ar-4 Low-E) — Charcoal Grey (RAL 7016)</t>
  </si>
  <si>
    <t xml:space="preserve">ALS-CWG-0031</t>
  </si>
  <si>
    <t xml:space="preserve">Spider-Fitting Structural Glazing Bracket Set — 6.38mm Laminated Safety — Natural Anodised</t>
  </si>
  <si>
    <t xml:space="preserve">ALS-CWG-0032</t>
  </si>
  <si>
    <t xml:space="preserve">Spider-Fitting Structural Glazing Bracket Set — 6.38mm Laminated Safety — Satin White (RAL 9016)</t>
  </si>
  <si>
    <t xml:space="preserve">ALS-CWG-0033</t>
  </si>
  <si>
    <t xml:space="preserve">Spider-Fitting Structural Glazing Bracket Set — 6.38mm Laminated Safety — Charcoal Grey (RAL 7016)</t>
  </si>
  <si>
    <t xml:space="preserve">ALS-CWG-0034</t>
  </si>
  <si>
    <t xml:space="preserve">Spider-Fitting Structural Glazing Bracket Set — Solar-Control Tinted IGU — Natural Anodised</t>
  </si>
  <si>
    <t xml:space="preserve">ALS-CWG-0035</t>
  </si>
  <si>
    <t xml:space="preserve">Spider-Fitting Structural Glazing Bracket Set — Solar-Control Tinted IGU — Satin White (RAL 9016)</t>
  </si>
  <si>
    <t xml:space="preserve">ALS-CWG-0036</t>
  </si>
  <si>
    <t xml:space="preserve">Spider-Fitting Structural Glazing Bracket Set — Solar-Control Tinted IGU — Charcoal Grey (RAL 7016)</t>
  </si>
  <si>
    <t xml:space="preserve">ALS-PRG-0001</t>
  </si>
  <si>
    <t xml:space="preserve">Aluminium Fixed-Slat Pergola — 3000x3000mm — Natural Anodised</t>
  </si>
  <si>
    <t xml:space="preserve">Fixed-Slat Pergola</t>
  </si>
  <si>
    <t xml:space="preserve">3000x3000mm footprint</t>
  </si>
  <si>
    <t xml:space="preserve">N/A</t>
  </si>
  <si>
    <t xml:space="preserve">ALS-PRG-0002</t>
  </si>
  <si>
    <t xml:space="preserve">Aluminium Fixed-Slat Pergola — 3000x3000mm — Satin White (RAL 9016)</t>
  </si>
  <si>
    <t xml:space="preserve">ALS-PRG-0003</t>
  </si>
  <si>
    <t xml:space="preserve">Aluminium Fixed-Slat Pergola — 3000x3000mm — Charcoal Grey (RAL 7016)</t>
  </si>
  <si>
    <t xml:space="preserve">ALS-PRG-0004</t>
  </si>
  <si>
    <t xml:space="preserve">Aluminium Fixed-Slat Pergola — 3000x3000mm — Bronze Anodised</t>
  </si>
  <si>
    <t xml:space="preserve">ALS-PRG-0005</t>
  </si>
  <si>
    <t xml:space="preserve">Aluminium Fixed-Slat Pergola — 3000x4000mm — Natural Anodised</t>
  </si>
  <si>
    <t xml:space="preserve">3000x4000mm footprint</t>
  </si>
  <si>
    <t xml:space="preserve">ALS-PRG-0006</t>
  </si>
  <si>
    <t xml:space="preserve">Aluminium Fixed-Slat Pergola — 3000x4000mm — Satin White (RAL 9016)</t>
  </si>
  <si>
    <t xml:space="preserve">ALS-PRG-0007</t>
  </si>
  <si>
    <t xml:space="preserve">Aluminium Fixed-Slat Pergola — 3000x4000mm — Charcoal Grey (RAL 7016)</t>
  </si>
  <si>
    <t xml:space="preserve">ALS-PRG-0008</t>
  </si>
  <si>
    <t xml:space="preserve">Aluminium Fixed-Slat Pergola — 3000x4000mm — Bronze Anodised</t>
  </si>
  <si>
    <t xml:space="preserve">ALS-PRG-0009</t>
  </si>
  <si>
    <t xml:space="preserve">Aluminium Fixed-Slat Pergola — 4000x4000mm — Natural Anodised</t>
  </si>
  <si>
    <t xml:space="preserve">4000x4000mm footprint</t>
  </si>
  <si>
    <t xml:space="preserve">ALS-PRG-0010</t>
  </si>
  <si>
    <t xml:space="preserve">Aluminium Fixed-Slat Pergola — 4000x4000mm — Satin White (RAL 9016)</t>
  </si>
  <si>
    <t xml:space="preserve">ALS-PRG-0011</t>
  </si>
  <si>
    <t xml:space="preserve">Aluminium Fixed-Slat Pergola — 4000x4000mm — Charcoal Grey (RAL 7016)</t>
  </si>
  <si>
    <t xml:space="preserve">ALS-PRG-0012</t>
  </si>
  <si>
    <t xml:space="preserve">Aluminium Fixed-Slat Pergola — 4000x4000mm — Bronze Anodised</t>
  </si>
  <si>
    <t xml:space="preserve">ALS-PRG-0013</t>
  </si>
  <si>
    <t xml:space="preserve">Aluminium Fixed-Slat Pergola — 4000x5000mm — Natural Anodised</t>
  </si>
  <si>
    <t xml:space="preserve">4000x5000mm footprint</t>
  </si>
  <si>
    <t xml:space="preserve">ALS-PRG-0014</t>
  </si>
  <si>
    <t xml:space="preserve">Aluminium Fixed-Slat Pergola — 4000x5000mm — Satin White (RAL 9016)</t>
  </si>
  <si>
    <t xml:space="preserve">ALS-PRG-0015</t>
  </si>
  <si>
    <t xml:space="preserve">Aluminium Fixed-Slat Pergola — 4000x5000mm — Charcoal Grey (RAL 7016)</t>
  </si>
  <si>
    <t xml:space="preserve">ALS-PRG-0016</t>
  </si>
  <si>
    <t xml:space="preserve">Aluminium Fixed-Slat Pergola — 4000x5000mm — Bronze Anodised</t>
  </si>
  <si>
    <t xml:space="preserve">ALS-PRG-0017</t>
  </si>
  <si>
    <t xml:space="preserve">Aluminium Fixed-Slat Pergola — 5000x5000mm — Natural Anodised</t>
  </si>
  <si>
    <t xml:space="preserve">5000x5000mm footprint</t>
  </si>
  <si>
    <t xml:space="preserve">ALS-PRG-0018</t>
  </si>
  <si>
    <t xml:space="preserve">Aluminium Fixed-Slat Pergola — 5000x5000mm — Satin White (RAL 9016)</t>
  </si>
  <si>
    <t xml:space="preserve">ALS-PRG-0019</t>
  </si>
  <si>
    <t xml:space="preserve">Aluminium Fixed-Slat Pergola — 5000x5000mm — Charcoal Grey (RAL 7016)</t>
  </si>
  <si>
    <t xml:space="preserve">ALS-PRG-0020</t>
  </si>
  <si>
    <t xml:space="preserve">Aluminium Fixed-Slat Pergola — 5000x5000mm — Bronze Anodised</t>
  </si>
  <si>
    <t xml:space="preserve">ALS-PRG-0021</t>
  </si>
  <si>
    <t xml:space="preserve">Aluminium Fixed-Slat Pergola — 6000x4000mm — Natural Anodised</t>
  </si>
  <si>
    <t xml:space="preserve">6000x4000mm footprint</t>
  </si>
  <si>
    <t xml:space="preserve">ALS-PRG-0022</t>
  </si>
  <si>
    <t xml:space="preserve">Aluminium Fixed-Slat Pergola — 6000x4000mm — Satin White (RAL 9016)</t>
  </si>
  <si>
    <t xml:space="preserve">ALS-PRG-0023</t>
  </si>
  <si>
    <t xml:space="preserve">Aluminium Fixed-Slat Pergola — 6000x4000mm — Charcoal Grey (RAL 7016)</t>
  </si>
  <si>
    <t xml:space="preserve">ALS-PRG-0024</t>
  </si>
  <si>
    <t xml:space="preserve">Aluminium Fixed-Slat Pergola — 6000x4000mm — Bronze Anodised</t>
  </si>
  <si>
    <t xml:space="preserve">ALS-PRG-0025</t>
  </si>
  <si>
    <t xml:space="preserve">Aluminium Adjustable Louvre-Roof Pergola — 3000x3000mm — Natural Anodised</t>
  </si>
  <si>
    <t xml:space="preserve">Adjustable Louvre-Roof Pergola</t>
  </si>
  <si>
    <t xml:space="preserve">ALS-PRG-0026</t>
  </si>
  <si>
    <t xml:space="preserve">Aluminium Adjustable Louvre-Roof Pergola — 3000x3000mm — Satin White (RAL 9016)</t>
  </si>
  <si>
    <t xml:space="preserve">ALS-PRG-0027</t>
  </si>
  <si>
    <t xml:space="preserve">Aluminium Adjustable Louvre-Roof Pergola — 3000x3000mm — Charcoal Grey (RAL 7016)</t>
  </si>
  <si>
    <t xml:space="preserve">ALS-PRG-0028</t>
  </si>
  <si>
    <t xml:space="preserve">Aluminium Adjustable Louvre-Roof Pergola — 3000x3000mm — Bronze Anodised</t>
  </si>
  <si>
    <t xml:space="preserve">ALS-PRG-0029</t>
  </si>
  <si>
    <t xml:space="preserve">Aluminium Adjustable Louvre-Roof Pergola — 3000x4000mm — Natural Anodised</t>
  </si>
  <si>
    <t xml:space="preserve">ALS-PRG-0030</t>
  </si>
  <si>
    <t xml:space="preserve">Aluminium Adjustable Louvre-Roof Pergola — 3000x4000mm — Satin White (RAL 9016)</t>
  </si>
  <si>
    <t xml:space="preserve">ALS-PRG-0031</t>
  </si>
  <si>
    <t xml:space="preserve">Aluminium Adjustable Louvre-Roof Pergola — 3000x4000mm — Charcoal Grey (RAL 7016)</t>
  </si>
  <si>
    <t xml:space="preserve">ALS-PRG-0032</t>
  </si>
  <si>
    <t xml:space="preserve">Aluminium Adjustable Louvre-Roof Pergola — 3000x4000mm — Bronze Anodised</t>
  </si>
  <si>
    <t xml:space="preserve">ALS-PRG-0033</t>
  </si>
  <si>
    <t xml:space="preserve">Aluminium Adjustable Louvre-Roof Pergola — 4000x4000mm — Natural Anodised</t>
  </si>
  <si>
    <t xml:space="preserve">ALS-PRG-0034</t>
  </si>
  <si>
    <t xml:space="preserve">Aluminium Adjustable Louvre-Roof Pergola — 4000x4000mm — Satin White (RAL 9016)</t>
  </si>
  <si>
    <t xml:space="preserve">ALS-PRG-0035</t>
  </si>
  <si>
    <t xml:space="preserve">Aluminium Adjustable Louvre-Roof Pergola — 4000x4000mm — Charcoal Grey (RAL 7016)</t>
  </si>
  <si>
    <t xml:space="preserve">ALS-PRG-0036</t>
  </si>
  <si>
    <t xml:space="preserve">Aluminium Adjustable Louvre-Roof Pergola — 4000x4000mm — Bronze Anodised</t>
  </si>
  <si>
    <t xml:space="preserve">ALS-PRG-0037</t>
  </si>
  <si>
    <t xml:space="preserve">Aluminium Adjustable Louvre-Roof Pergola — 4000x5000mm — Natural Anodised</t>
  </si>
  <si>
    <t xml:space="preserve">ALS-PRG-0038</t>
  </si>
  <si>
    <t xml:space="preserve">Aluminium Adjustable Louvre-Roof Pergola — 4000x5000mm — Satin White (RAL 9016)</t>
  </si>
  <si>
    <t xml:space="preserve">ALS-PRG-0039</t>
  </si>
  <si>
    <t xml:space="preserve">Aluminium Adjustable Louvre-Roof Pergola — 4000x5000mm — Charcoal Grey (RAL 7016)</t>
  </si>
  <si>
    <t xml:space="preserve">ALS-PRG-0040</t>
  </si>
  <si>
    <t xml:space="preserve">Aluminium Adjustable Louvre-Roof Pergola — 4000x5000mm — Bronze Anodised</t>
  </si>
  <si>
    <t xml:space="preserve">ALS-PRG-0041</t>
  </si>
  <si>
    <t xml:space="preserve">Aluminium Adjustable Louvre-Roof Pergola — 5000x5000mm — Natural Anodised</t>
  </si>
  <si>
    <t xml:space="preserve">ALS-PRG-0042</t>
  </si>
  <si>
    <t xml:space="preserve">Aluminium Adjustable Louvre-Roof Pergola — 5000x5000mm — Satin White (RAL 9016)</t>
  </si>
  <si>
    <t xml:space="preserve">ALS-PRG-0043</t>
  </si>
  <si>
    <t xml:space="preserve">Aluminium Adjustable Louvre-Roof Pergola — 5000x5000mm — Charcoal Grey (RAL 7016)</t>
  </si>
  <si>
    <t xml:space="preserve">ALS-PRG-0044</t>
  </si>
  <si>
    <t xml:space="preserve">Aluminium Adjustable Louvre-Roof Pergola — 5000x5000mm — Bronze Anodised</t>
  </si>
  <si>
    <t xml:space="preserve">ALS-PRG-0045</t>
  </si>
  <si>
    <t xml:space="preserve">Aluminium Adjustable Louvre-Roof Pergola — 6000x4000mm — Natural Anodised</t>
  </si>
  <si>
    <t xml:space="preserve">ALS-PRG-0046</t>
  </si>
  <si>
    <t xml:space="preserve">Aluminium Adjustable Louvre-Roof Pergola — 6000x4000mm — Satin White (RAL 9016)</t>
  </si>
  <si>
    <t xml:space="preserve">ALS-PRG-0047</t>
  </si>
  <si>
    <t xml:space="preserve">Aluminium Adjustable Louvre-Roof Pergola — 6000x4000mm — Charcoal Grey (RAL 7016)</t>
  </si>
  <si>
    <t xml:space="preserve">ALS-PRG-0048</t>
  </si>
  <si>
    <t xml:space="preserve">Aluminium Adjustable Louvre-Roof Pergola — 6000x4000mm — Bronze Anodised</t>
  </si>
  <si>
    <t xml:space="preserve">ALS-PRG-0049</t>
  </si>
  <si>
    <t xml:space="preserve">Aluminium Flat-Roof Pergola — 3000x3000mm — Natural Anodised</t>
  </si>
  <si>
    <t xml:space="preserve">Flat-Roof Pergola</t>
  </si>
  <si>
    <t xml:space="preserve">ALS-PRG-0050</t>
  </si>
  <si>
    <t xml:space="preserve">Aluminium Flat-Roof Pergola — 3000x3000mm — Satin White (RAL 9016)</t>
  </si>
  <si>
    <t xml:space="preserve">ALS-PRG-0051</t>
  </si>
  <si>
    <t xml:space="preserve">Aluminium Flat-Roof Pergola — 3000x3000mm — Charcoal Grey (RAL 7016)</t>
  </si>
  <si>
    <t xml:space="preserve">ALS-PRG-0052</t>
  </si>
  <si>
    <t xml:space="preserve">Aluminium Flat-Roof Pergola — 3000x3000mm — Bronze Anodised</t>
  </si>
  <si>
    <t xml:space="preserve">ALS-PRG-0053</t>
  </si>
  <si>
    <t xml:space="preserve">Aluminium Flat-Roof Pergola — 3000x4000mm — Natural Anodised</t>
  </si>
  <si>
    <t xml:space="preserve">ALS-PRG-0054</t>
  </si>
  <si>
    <t xml:space="preserve">Aluminium Flat-Roof Pergola — 3000x4000mm — Satin White (RAL 9016)</t>
  </si>
  <si>
    <t xml:space="preserve">ALS-PRG-0055</t>
  </si>
  <si>
    <t xml:space="preserve">Aluminium Flat-Roof Pergola — 3000x4000mm — Charcoal Grey (RAL 7016)</t>
  </si>
  <si>
    <t xml:space="preserve">ALS-PRG-0056</t>
  </si>
  <si>
    <t xml:space="preserve">Aluminium Flat-Roof Pergola — 3000x4000mm — Bronze Anodised</t>
  </si>
  <si>
    <t xml:space="preserve">ALS-PRG-0057</t>
  </si>
  <si>
    <t xml:space="preserve">Aluminium Flat-Roof Pergola — 4000x4000mm — Natural Anodised</t>
  </si>
  <si>
    <t xml:space="preserve">ALS-PRG-0058</t>
  </si>
  <si>
    <t xml:space="preserve">Aluminium Flat-Roof Pergola — 4000x4000mm — Satin White (RAL 9016)</t>
  </si>
  <si>
    <t xml:space="preserve">ALS-PRG-0059</t>
  </si>
  <si>
    <t xml:space="preserve">Aluminium Flat-Roof Pergola — 4000x4000mm — Charcoal Grey (RAL 7016)</t>
  </si>
  <si>
    <t xml:space="preserve">ALS-PRG-0060</t>
  </si>
  <si>
    <t xml:space="preserve">Aluminium Flat-Roof Pergola — 4000x4000mm — Bronze Anodised</t>
  </si>
  <si>
    <t xml:space="preserve">ALS-PRG-0061</t>
  </si>
  <si>
    <t xml:space="preserve">Aluminium Flat-Roof Pergola — 4000x5000mm — Natural Anodised</t>
  </si>
  <si>
    <t xml:space="preserve">ALS-PRG-0062</t>
  </si>
  <si>
    <t xml:space="preserve">Aluminium Flat-Roof Pergola — 4000x5000mm — Satin White (RAL 9016)</t>
  </si>
  <si>
    <t xml:space="preserve">ALS-PRG-0063</t>
  </si>
  <si>
    <t xml:space="preserve">Aluminium Flat-Roof Pergola — 4000x5000mm — Charcoal Grey (RAL 7016)</t>
  </si>
  <si>
    <t xml:space="preserve">ALS-PRG-0064</t>
  </si>
  <si>
    <t xml:space="preserve">Aluminium Flat-Roof Pergola — 4000x5000mm — Bronze Anodised</t>
  </si>
  <si>
    <t xml:space="preserve">ALS-PRG-0065</t>
  </si>
  <si>
    <t xml:space="preserve">Aluminium Flat-Roof Pergola — 5000x5000mm — Natural Anodised</t>
  </si>
  <si>
    <t xml:space="preserve">ALS-PRG-0066</t>
  </si>
  <si>
    <t xml:space="preserve">Aluminium Flat-Roof Pergola — 5000x5000mm — Satin White (RAL 9016)</t>
  </si>
  <si>
    <t xml:space="preserve">ALS-PRG-0067</t>
  </si>
  <si>
    <t xml:space="preserve">Aluminium Flat-Roof Pergola — 5000x5000mm — Charcoal Grey (RAL 7016)</t>
  </si>
  <si>
    <t xml:space="preserve">ALS-PRG-0068</t>
  </si>
  <si>
    <t xml:space="preserve">Aluminium Flat-Roof Pergola — 5000x5000mm — Bronze Anodised</t>
  </si>
  <si>
    <t xml:space="preserve">ALS-PRG-0069</t>
  </si>
  <si>
    <t xml:space="preserve">Aluminium Flat-Roof Pergola — 6000x4000mm — Natural Anodised</t>
  </si>
  <si>
    <t xml:space="preserve">ALS-PRG-0070</t>
  </si>
  <si>
    <t xml:space="preserve">Aluminium Flat-Roof Pergola — 6000x4000mm — Satin White (RAL 9016)</t>
  </si>
  <si>
    <t xml:space="preserve">ALS-PRG-0071</t>
  </si>
  <si>
    <t xml:space="preserve">Aluminium Flat-Roof Pergola — 6000x4000mm — Charcoal Grey (RAL 7016)</t>
  </si>
  <si>
    <t xml:space="preserve">ALS-PRG-0072</t>
  </si>
  <si>
    <t xml:space="preserve">Aluminium Flat-Roof Pergola — 6000x4000mm — Bronze Anodised</t>
  </si>
  <si>
    <t xml:space="preserve">ALS-PRG-0073</t>
  </si>
  <si>
    <t xml:space="preserve">Aluminium Gable-Roof Pergola — 3000x3000mm — Natural Anodised</t>
  </si>
  <si>
    <t xml:space="preserve">Gable-Roof Pergola</t>
  </si>
  <si>
    <t xml:space="preserve">ALS-PRG-0074</t>
  </si>
  <si>
    <t xml:space="preserve">Aluminium Gable-Roof Pergola — 3000x3000mm — Satin White (RAL 9016)</t>
  </si>
  <si>
    <t xml:space="preserve">ALS-PRG-0075</t>
  </si>
  <si>
    <t xml:space="preserve">Aluminium Gable-Roof Pergola — 3000x3000mm — Charcoal Grey (RAL 7016)</t>
  </si>
  <si>
    <t xml:space="preserve">ALS-PRG-0076</t>
  </si>
  <si>
    <t xml:space="preserve">Aluminium Gable-Roof Pergola — 3000x3000mm — Bronze Anodised</t>
  </si>
  <si>
    <t xml:space="preserve">ALS-PRG-0077</t>
  </si>
  <si>
    <t xml:space="preserve">Aluminium Gable-Roof Pergola — 3000x4000mm — Natural Anodised</t>
  </si>
  <si>
    <t xml:space="preserve">ALS-PRG-0078</t>
  </si>
  <si>
    <t xml:space="preserve">Aluminium Gable-Roof Pergola — 3000x4000mm — Satin White (RAL 9016)</t>
  </si>
  <si>
    <t xml:space="preserve">ALS-PRG-0079</t>
  </si>
  <si>
    <t xml:space="preserve">Aluminium Gable-Roof Pergola — 3000x4000mm — Charcoal Grey (RAL 7016)</t>
  </si>
  <si>
    <t xml:space="preserve">ALS-PRG-0080</t>
  </si>
  <si>
    <t xml:space="preserve">Aluminium Gable-Roof Pergola — 3000x4000mm — Bronze Anodised</t>
  </si>
  <si>
    <t xml:space="preserve">ALS-PRG-0081</t>
  </si>
  <si>
    <t xml:space="preserve">Aluminium Gable-Roof Pergola — 4000x4000mm — Natural Anodised</t>
  </si>
  <si>
    <t xml:space="preserve">ALS-PRG-0082</t>
  </si>
  <si>
    <t xml:space="preserve">Aluminium Gable-Roof Pergola — 4000x4000mm — Satin White (RAL 9016)</t>
  </si>
  <si>
    <t xml:space="preserve">ALS-PRG-0083</t>
  </si>
  <si>
    <t xml:space="preserve">Aluminium Gable-Roof Pergola — 4000x4000mm — Charcoal Grey (RAL 7016)</t>
  </si>
  <si>
    <t xml:space="preserve">ALS-PRG-0084</t>
  </si>
  <si>
    <t xml:space="preserve">Aluminium Gable-Roof Pergola — 4000x4000mm — Bronze Anodised</t>
  </si>
  <si>
    <t xml:space="preserve">ALS-PRG-0085</t>
  </si>
  <si>
    <t xml:space="preserve">Aluminium Gable-Roof Pergola — 4000x5000mm — Natural Anodised</t>
  </si>
  <si>
    <t xml:space="preserve">ALS-PRG-0086</t>
  </si>
  <si>
    <t xml:space="preserve">Aluminium Gable-Roof Pergola — 4000x5000mm — Satin White (RAL 9016)</t>
  </si>
  <si>
    <t xml:space="preserve">ALS-PRG-0087</t>
  </si>
  <si>
    <t xml:space="preserve">Aluminium Gable-Roof Pergola — 4000x5000mm — Charcoal Grey (RAL 7016)</t>
  </si>
  <si>
    <t xml:space="preserve">ALS-PRG-0088</t>
  </si>
  <si>
    <t xml:space="preserve">Aluminium Gable-Roof Pergola — 4000x5000mm — Bronze Anodised</t>
  </si>
  <si>
    <t xml:space="preserve">ALS-PRG-0089</t>
  </si>
  <si>
    <t xml:space="preserve">Aluminium Gable-Roof Pergola — 5000x5000mm — Natural Anodised</t>
  </si>
  <si>
    <t xml:space="preserve">ALS-PRG-0090</t>
  </si>
  <si>
    <t xml:space="preserve">Aluminium Gable-Roof Pergola — 5000x5000mm — Satin White (RAL 9016)</t>
  </si>
  <si>
    <t xml:space="preserve">ALS-PRG-0091</t>
  </si>
  <si>
    <t xml:space="preserve">Aluminium Gable-Roof Pergola — 5000x5000mm — Charcoal Grey (RAL 7016)</t>
  </si>
  <si>
    <t xml:space="preserve">ALS-PRG-0092</t>
  </si>
  <si>
    <t xml:space="preserve">Aluminium Gable-Roof Pergola — 5000x5000mm — Bronze Anodised</t>
  </si>
  <si>
    <t xml:space="preserve">ALS-PRG-0093</t>
  </si>
  <si>
    <t xml:space="preserve">Aluminium Gable-Roof Pergola — 6000x4000mm — Natural Anodised</t>
  </si>
  <si>
    <t xml:space="preserve">ALS-PRG-0094</t>
  </si>
  <si>
    <t xml:space="preserve">Aluminium Gable-Roof Pergola — 6000x4000mm — Satin White (RAL 9016)</t>
  </si>
  <si>
    <t xml:space="preserve">ALS-PRG-0095</t>
  </si>
  <si>
    <t xml:space="preserve">Aluminium Gable-Roof Pergola — 6000x4000mm — Charcoal Grey (RAL 7016)</t>
  </si>
  <si>
    <t xml:space="preserve">ALS-PRG-0096</t>
  </si>
  <si>
    <t xml:space="preserve">Aluminium Gable-Roof Pergola — 6000x4000mm — Bronze Anodised</t>
  </si>
  <si>
    <t xml:space="preserve">ALS-CPT-0001</t>
  </si>
  <si>
    <t xml:space="preserve">Aluminium Single-Bay Flat Carport — 3000x5500mm — Natural Anodised</t>
  </si>
  <si>
    <t xml:space="preserve">Single-Bay Flat Carport</t>
  </si>
  <si>
    <t xml:space="preserve">3000x5500mm footprint</t>
  </si>
  <si>
    <t xml:space="preserve">ALS-CPT-0002</t>
  </si>
  <si>
    <t xml:space="preserve">Aluminium Single-Bay Flat Carport — 3000x5500mm — Satin White (RAL 9016)</t>
  </si>
  <si>
    <t xml:space="preserve">ALS-CPT-0003</t>
  </si>
  <si>
    <t xml:space="preserve">Aluminium Single-Bay Flat Carport — 3000x5500mm — Charcoal Grey (RAL 7016)</t>
  </si>
  <si>
    <t xml:space="preserve">ALS-CPT-0004</t>
  </si>
  <si>
    <t xml:space="preserve">Aluminium Single-Bay Flat Carport — 3000x6000mm — Natural Anodised</t>
  </si>
  <si>
    <t xml:space="preserve">3000x6000mm footprint</t>
  </si>
  <si>
    <t xml:space="preserve">ALS-CPT-0005</t>
  </si>
  <si>
    <t xml:space="preserve">Aluminium Single-Bay Flat Carport — 3000x6000mm — Satin White (RAL 9016)</t>
  </si>
  <si>
    <t xml:space="preserve">ALS-CPT-0006</t>
  </si>
  <si>
    <t xml:space="preserve">Aluminium Single-Bay Flat Carport — 3000x6000mm — Charcoal Grey (RAL 7016)</t>
  </si>
  <si>
    <t xml:space="preserve">ALS-CPT-0007</t>
  </si>
  <si>
    <t xml:space="preserve">Aluminium Single-Bay Flat Carport — 5500x5500mm — Natural Anodised</t>
  </si>
  <si>
    <t xml:space="preserve">5500x5500mm footprint</t>
  </si>
  <si>
    <t xml:space="preserve">ALS-CPT-0008</t>
  </si>
  <si>
    <t xml:space="preserve">Aluminium Single-Bay Flat Carport — 5500x5500mm — Satin White (RAL 9016)</t>
  </si>
  <si>
    <t xml:space="preserve">ALS-CPT-0009</t>
  </si>
  <si>
    <t xml:space="preserve">Aluminium Single-Bay Flat Carport — 5500x5500mm — Charcoal Grey (RAL 7016)</t>
  </si>
  <si>
    <t xml:space="preserve">ALS-CPT-0010</t>
  </si>
  <si>
    <t xml:space="preserve">Aluminium Single-Bay Flat Carport — 6000x6000mm — Natural Anodised</t>
  </si>
  <si>
    <t xml:space="preserve">6000x6000mm footprint</t>
  </si>
  <si>
    <t xml:space="preserve">ALS-CPT-0011</t>
  </si>
  <si>
    <t xml:space="preserve">Aluminium Single-Bay Flat Carport — 6000x6000mm — Satin White (RAL 9016)</t>
  </si>
  <si>
    <t xml:space="preserve">ALS-CPT-0012</t>
  </si>
  <si>
    <t xml:space="preserve">Aluminium Single-Bay Flat Carport — 6000x6000mm — Charcoal Grey (RAL 7016)</t>
  </si>
  <si>
    <t xml:space="preserve">ALS-CPT-0013</t>
  </si>
  <si>
    <t xml:space="preserve">Aluminium Single-Bay Flat Carport — 6000x7000mm — Natural Anodised</t>
  </si>
  <si>
    <t xml:space="preserve">6000x7000mm footprint</t>
  </si>
  <si>
    <t xml:space="preserve">ALS-CPT-0014</t>
  </si>
  <si>
    <t xml:space="preserve">Aluminium Single-Bay Flat Carport — 6000x7000mm — Satin White (RAL 9016)</t>
  </si>
  <si>
    <t xml:space="preserve">ALS-CPT-0015</t>
  </si>
  <si>
    <t xml:space="preserve">Aluminium Single-Bay Flat Carport — 6000x7000mm — Charcoal Grey (RAL 7016)</t>
  </si>
  <si>
    <t xml:space="preserve">ALS-CPT-0016</t>
  </si>
  <si>
    <t xml:space="preserve">Aluminium Double-Bay Flat Carport — 3000x5500mm — Natural Anodised</t>
  </si>
  <si>
    <t xml:space="preserve">Double-Bay Flat Carport</t>
  </si>
  <si>
    <t xml:space="preserve">ALS-CPT-0017</t>
  </si>
  <si>
    <t xml:space="preserve">Aluminium Double-Bay Flat Carport — 3000x5500mm — Satin White (RAL 9016)</t>
  </si>
  <si>
    <t xml:space="preserve">ALS-CPT-0018</t>
  </si>
  <si>
    <t xml:space="preserve">Aluminium Double-Bay Flat Carport — 3000x5500mm — Charcoal Grey (RAL 7016)</t>
  </si>
  <si>
    <t xml:space="preserve">ALS-CPT-0019</t>
  </si>
  <si>
    <t xml:space="preserve">Aluminium Double-Bay Flat Carport — 3000x6000mm — Natural Anodised</t>
  </si>
  <si>
    <t xml:space="preserve">ALS-CPT-0020</t>
  </si>
  <si>
    <t xml:space="preserve">Aluminium Double-Bay Flat Carport — 3000x6000mm — Satin White (RAL 9016)</t>
  </si>
  <si>
    <t xml:space="preserve">ALS-CPT-0021</t>
  </si>
  <si>
    <t xml:space="preserve">Aluminium Double-Bay Flat Carport — 3000x6000mm — Charcoal Grey (RAL 7016)</t>
  </si>
  <si>
    <t xml:space="preserve">ALS-CPT-0022</t>
  </si>
  <si>
    <t xml:space="preserve">Aluminium Double-Bay Flat Carport — 5500x5500mm — Natural Anodised</t>
  </si>
  <si>
    <t xml:space="preserve">ALS-CPT-0023</t>
  </si>
  <si>
    <t xml:space="preserve">Aluminium Double-Bay Flat Carport — 5500x5500mm — Satin White (RAL 9016)</t>
  </si>
  <si>
    <t xml:space="preserve">ALS-CPT-0024</t>
  </si>
  <si>
    <t xml:space="preserve">Aluminium Double-Bay Flat Carport — 5500x5500mm — Charcoal Grey (RAL 7016)</t>
  </si>
  <si>
    <t xml:space="preserve">ALS-CPT-0025</t>
  </si>
  <si>
    <t xml:space="preserve">Aluminium Double-Bay Flat Carport — 6000x6000mm — Natural Anodised</t>
  </si>
  <si>
    <t xml:space="preserve">ALS-CPT-0026</t>
  </si>
  <si>
    <t xml:space="preserve">Aluminium Double-Bay Flat Carport — 6000x6000mm — Satin White (RAL 9016)</t>
  </si>
  <si>
    <t xml:space="preserve">ALS-CPT-0027</t>
  </si>
  <si>
    <t xml:space="preserve">Aluminium Double-Bay Flat Carport — 6000x6000mm — Charcoal Grey (RAL 7016)</t>
  </si>
  <si>
    <t xml:space="preserve">ALS-CPT-0028</t>
  </si>
  <si>
    <t xml:space="preserve">Aluminium Double-Bay Flat Carport — 6000x7000mm — Natural Anodised</t>
  </si>
  <si>
    <t xml:space="preserve">ALS-CPT-0029</t>
  </si>
  <si>
    <t xml:space="preserve">Aluminium Double-Bay Flat Carport — 6000x7000mm — Satin White (RAL 9016)</t>
  </si>
  <si>
    <t xml:space="preserve">ALS-CPT-0030</t>
  </si>
  <si>
    <t xml:space="preserve">Aluminium Double-Bay Flat Carport — 6000x7000mm — Charcoal Grey (RAL 7016)</t>
  </si>
  <si>
    <t xml:space="preserve">ALS-CPT-0031</t>
  </si>
  <si>
    <t xml:space="preserve">Aluminium Curved-Roof Carport Canopy — 3000x5500mm — Natural Anodised</t>
  </si>
  <si>
    <t xml:space="preserve">Curved-Roof Carport Canopy</t>
  </si>
  <si>
    <t xml:space="preserve">ALS-CPT-0032</t>
  </si>
  <si>
    <t xml:space="preserve">Aluminium Curved-Roof Carport Canopy — 3000x5500mm — Satin White (RAL 9016)</t>
  </si>
  <si>
    <t xml:space="preserve">ALS-CPT-0033</t>
  </si>
  <si>
    <t xml:space="preserve">Aluminium Curved-Roof Carport Canopy — 3000x5500mm — Charcoal Grey (RAL 7016)</t>
  </si>
  <si>
    <t xml:space="preserve">ALS-CPT-0034</t>
  </si>
  <si>
    <t xml:space="preserve">Aluminium Curved-Roof Carport Canopy — 3000x6000mm — Natural Anodised</t>
  </si>
  <si>
    <t xml:space="preserve">ALS-CPT-0035</t>
  </si>
  <si>
    <t xml:space="preserve">Aluminium Curved-Roof Carport Canopy — 3000x6000mm — Satin White (RAL 9016)</t>
  </si>
  <si>
    <t xml:space="preserve">ALS-CPT-0036</t>
  </si>
  <si>
    <t xml:space="preserve">Aluminium Curved-Roof Carport Canopy — 3000x6000mm — Charcoal Grey (RAL 7016)</t>
  </si>
  <si>
    <t xml:space="preserve">ALS-CPT-0037</t>
  </si>
  <si>
    <t xml:space="preserve">Aluminium Curved-Roof Carport Canopy — 5500x5500mm — Natural Anodised</t>
  </si>
  <si>
    <t xml:space="preserve">ALS-CPT-0038</t>
  </si>
  <si>
    <t xml:space="preserve">Aluminium Curved-Roof Carport Canopy — 5500x5500mm — Satin White (RAL 9016)</t>
  </si>
  <si>
    <t xml:space="preserve">ALS-CPT-0039</t>
  </si>
  <si>
    <t xml:space="preserve">Aluminium Curved-Roof Carport Canopy — 5500x5500mm — Charcoal Grey (RAL 7016)</t>
  </si>
  <si>
    <t xml:space="preserve">ALS-CPT-0040</t>
  </si>
  <si>
    <t xml:space="preserve">Aluminium Curved-Roof Carport Canopy — 6000x6000mm — Natural Anodised</t>
  </si>
  <si>
    <t xml:space="preserve">ALS-CPT-0041</t>
  </si>
  <si>
    <t xml:space="preserve">Aluminium Curved-Roof Carport Canopy — 6000x6000mm — Satin White (RAL 9016)</t>
  </si>
  <si>
    <t xml:space="preserve">ALS-CPT-0042</t>
  </si>
  <si>
    <t xml:space="preserve">Aluminium Curved-Roof Carport Canopy — 6000x6000mm — Charcoal Grey (RAL 7016)</t>
  </si>
  <si>
    <t xml:space="preserve">ALS-CPT-0043</t>
  </si>
  <si>
    <t xml:space="preserve">Aluminium Curved-Roof Carport Canopy — 6000x7000mm — Natural Anodised</t>
  </si>
  <si>
    <t xml:space="preserve">ALS-CPT-0044</t>
  </si>
  <si>
    <t xml:space="preserve">Aluminium Curved-Roof Carport Canopy — 6000x7000mm — Satin White (RAL 9016)</t>
  </si>
  <si>
    <t xml:space="preserve">ALS-CPT-0045</t>
  </si>
  <si>
    <t xml:space="preserve">Aluminium Curved-Roof Carport Canopy — 6000x7000mm — Charcoal Grey (RAL 7016)</t>
  </si>
  <si>
    <t xml:space="preserve">ALS-AWN-0001</t>
  </si>
  <si>
    <t xml:space="preserve">Retractable Fabric Awning, Aluminium Cassette — 2000x1500mm — Natural Anodised</t>
  </si>
  <si>
    <t xml:space="preserve">Retractable Fabric Awning, Aluminium Cassette</t>
  </si>
  <si>
    <t xml:space="preserve">2000x1500mm</t>
  </si>
  <si>
    <t xml:space="preserve">ALS-AWN-0002</t>
  </si>
  <si>
    <t xml:space="preserve">Retractable Fabric Awning, Aluminium Cassette — 2000x1500mm — Satin White (RAL 9016)</t>
  </si>
  <si>
    <t xml:space="preserve">ALS-AWN-0003</t>
  </si>
  <si>
    <t xml:space="preserve">Retractable Fabric Awning, Aluminium Cassette — 2000x1500mm — Charcoal Grey (RAL 7016)</t>
  </si>
  <si>
    <t xml:space="preserve">ALS-AWN-0004</t>
  </si>
  <si>
    <t xml:space="preserve">Retractable Fabric Awning, Aluminium Cassette — 3000x2000mm — Natural Anodised</t>
  </si>
  <si>
    <t xml:space="preserve">3000x2000mm</t>
  </si>
  <si>
    <t xml:space="preserve">ALS-AWN-0005</t>
  </si>
  <si>
    <t xml:space="preserve">Retractable Fabric Awning, Aluminium Cassette — 3000x2000mm — Satin White (RAL 9016)</t>
  </si>
  <si>
    <t xml:space="preserve">ALS-AWN-0006</t>
  </si>
  <si>
    <t xml:space="preserve">Retractable Fabric Awning, Aluminium Cassette — 3000x2000mm — Charcoal Grey (RAL 7016)</t>
  </si>
  <si>
    <t xml:space="preserve">ALS-AWN-0007</t>
  </si>
  <si>
    <t xml:space="preserve">Retractable Fabric Awning, Aluminium Cassette — 4000x2500mm — Natural Anodised</t>
  </si>
  <si>
    <t xml:space="preserve">4000x2500mm</t>
  </si>
  <si>
    <t xml:space="preserve">ALS-AWN-0008</t>
  </si>
  <si>
    <t xml:space="preserve">Retractable Fabric Awning, Aluminium Cassette — 4000x2500mm — Satin White (RAL 9016)</t>
  </si>
  <si>
    <t xml:space="preserve">ALS-AWN-0009</t>
  </si>
  <si>
    <t xml:space="preserve">Retractable Fabric Awning, Aluminium Cassette — 4000x2500mm — Charcoal Grey (RAL 7016)</t>
  </si>
  <si>
    <t xml:space="preserve">ALS-AWN-0010</t>
  </si>
  <si>
    <t xml:space="preserve">Retractable Fabric Awning, Aluminium Cassette — 5000x3000mm — Natural Anodised</t>
  </si>
  <si>
    <t xml:space="preserve">5000x3000mm</t>
  </si>
  <si>
    <t xml:space="preserve">ALS-AWN-0011</t>
  </si>
  <si>
    <t xml:space="preserve">Retractable Fabric Awning, Aluminium Cassette — 5000x3000mm — Satin White (RAL 9016)</t>
  </si>
  <si>
    <t xml:space="preserve">ALS-AWN-0012</t>
  </si>
  <si>
    <t xml:space="preserve">Retractable Fabric Awning, Aluminium Cassette — 5000x3000mm — Charcoal Grey (RAL 7016)</t>
  </si>
  <si>
    <t xml:space="preserve">ALS-AWN-0013</t>
  </si>
  <si>
    <t xml:space="preserve">Fixed Aluminium Louvre Awning — 2000x1500mm — Natural Anodised</t>
  </si>
  <si>
    <t xml:space="preserve">Fixed Aluminium Louvre Awning</t>
  </si>
  <si>
    <t xml:space="preserve">ALS-AWN-0014</t>
  </si>
  <si>
    <t xml:space="preserve">Fixed Aluminium Louvre Awning — 2000x1500mm — Satin White (RAL 9016)</t>
  </si>
  <si>
    <t xml:space="preserve">ALS-AWN-0015</t>
  </si>
  <si>
    <t xml:space="preserve">Fixed Aluminium Louvre Awning — 2000x1500mm — Charcoal Grey (RAL 7016)</t>
  </si>
  <si>
    <t xml:space="preserve">ALS-AWN-0016</t>
  </si>
  <si>
    <t xml:space="preserve">Fixed Aluminium Louvre Awning — 3000x2000mm — Natural Anodised</t>
  </si>
  <si>
    <t xml:space="preserve">ALS-AWN-0017</t>
  </si>
  <si>
    <t xml:space="preserve">Fixed Aluminium Louvre Awning — 3000x2000mm — Satin White (RAL 9016)</t>
  </si>
  <si>
    <t xml:space="preserve">ALS-AWN-0018</t>
  </si>
  <si>
    <t xml:space="preserve">Fixed Aluminium Louvre Awning — 3000x2000mm — Charcoal Grey (RAL 7016)</t>
  </si>
  <si>
    <t xml:space="preserve">ALS-AWN-0019</t>
  </si>
  <si>
    <t xml:space="preserve">Fixed Aluminium Louvre Awning — 4000x2500mm — Natural Anodised</t>
  </si>
  <si>
    <t xml:space="preserve">ALS-AWN-0020</t>
  </si>
  <si>
    <t xml:space="preserve">Fixed Aluminium Louvre Awning — 4000x2500mm — Satin White (RAL 9016)</t>
  </si>
  <si>
    <t xml:space="preserve">ALS-AWN-0021</t>
  </si>
  <si>
    <t xml:space="preserve">Fixed Aluminium Louvre Awning — 4000x2500mm — Charcoal Grey (RAL 7016)</t>
  </si>
  <si>
    <t xml:space="preserve">ALS-AWN-0022</t>
  </si>
  <si>
    <t xml:space="preserve">Fixed Aluminium Louvre Awning — 5000x3000mm — Natural Anodised</t>
  </si>
  <si>
    <t xml:space="preserve">ALS-AWN-0023</t>
  </si>
  <si>
    <t xml:space="preserve">Fixed Aluminium Louvre Awning — 5000x3000mm — Satin White (RAL 9016)</t>
  </si>
  <si>
    <t xml:space="preserve">ALS-AWN-0024</t>
  </si>
  <si>
    <t xml:space="preserve">Fixed Aluminium Louvre Awning — 5000x3000mm — Charcoal Grey (RAL 7016)</t>
  </si>
  <si>
    <t xml:space="preserve">ALS-AWN-0025</t>
  </si>
  <si>
    <t xml:space="preserve">Fixed Aluminium Slat Canopy — 2000x1500mm — Natural Anodised</t>
  </si>
  <si>
    <t xml:space="preserve">Fixed Aluminium Slat Canopy</t>
  </si>
  <si>
    <t xml:space="preserve">ALS-AWN-0026</t>
  </si>
  <si>
    <t xml:space="preserve">Fixed Aluminium Slat Canopy — 2000x1500mm — Satin White (RAL 9016)</t>
  </si>
  <si>
    <t xml:space="preserve">ALS-AWN-0027</t>
  </si>
  <si>
    <t xml:space="preserve">Fixed Aluminium Slat Canopy — 2000x1500mm — Charcoal Grey (RAL 7016)</t>
  </si>
  <si>
    <t xml:space="preserve">ALS-AWN-0028</t>
  </si>
  <si>
    <t xml:space="preserve">Fixed Aluminium Slat Canopy — 3000x2000mm — Natural Anodised</t>
  </si>
  <si>
    <t xml:space="preserve">ALS-AWN-0029</t>
  </si>
  <si>
    <t xml:space="preserve">Fixed Aluminium Slat Canopy — 3000x2000mm — Satin White (RAL 9016)</t>
  </si>
  <si>
    <t xml:space="preserve">ALS-AWN-0030</t>
  </si>
  <si>
    <t xml:space="preserve">Fixed Aluminium Slat Canopy — 3000x2000mm — Charcoal Grey (RAL 7016)</t>
  </si>
  <si>
    <t xml:space="preserve">ALS-AWN-0031</t>
  </si>
  <si>
    <t xml:space="preserve">Fixed Aluminium Slat Canopy — 4000x2500mm — Natural Anodised</t>
  </si>
  <si>
    <t xml:space="preserve">ALS-AWN-0032</t>
  </si>
  <si>
    <t xml:space="preserve">Fixed Aluminium Slat Canopy — 4000x2500mm — Satin White (RAL 9016)</t>
  </si>
  <si>
    <t xml:space="preserve">ALS-AWN-0033</t>
  </si>
  <si>
    <t xml:space="preserve">Fixed Aluminium Slat Canopy — 4000x2500mm — Charcoal Grey (RAL 7016)</t>
  </si>
  <si>
    <t xml:space="preserve">ALS-AWN-0034</t>
  </si>
  <si>
    <t xml:space="preserve">Fixed Aluminium Slat Canopy — 5000x3000mm — Natural Anodised</t>
  </si>
  <si>
    <t xml:space="preserve">ALS-AWN-0035</t>
  </si>
  <si>
    <t xml:space="preserve">Fixed Aluminium Slat Canopy — 5000x3000mm — Satin White (RAL 9016)</t>
  </si>
  <si>
    <t xml:space="preserve">ALS-AWN-0036</t>
  </si>
  <si>
    <t xml:space="preserve">Fixed Aluminium Slat Canopy — 5000x3000mm — Charcoal Grey (RAL 7016)</t>
  </si>
  <si>
    <t xml:space="preserve">ALS-BAL-0001</t>
  </si>
  <si>
    <t xml:space="preserve">Balustrades &amp; Railings</t>
  </si>
  <si>
    <t xml:space="preserve">Aluminium Glass-Infill Balustrade (Post &amp; Handrail) — 1.0m run — Natural Anodised</t>
  </si>
  <si>
    <t xml:space="preserve">1.0m run</t>
  </si>
  <si>
    <t xml:space="preserve">Per Run</t>
  </si>
  <si>
    <t xml:space="preserve">Residential/Commercial/Institutional</t>
  </si>
  <si>
    <t xml:space="preserve">ALS-BAL-0002</t>
  </si>
  <si>
    <t xml:space="preserve">Aluminium Glass-Infill Balustrade (Post &amp; Handrail) — 1.0m run — Satin White (RAL 9016)</t>
  </si>
  <si>
    <t xml:space="preserve">ALS-BAL-0003</t>
  </si>
  <si>
    <t xml:space="preserve">Aluminium Glass-Infill Balustrade (Post &amp; Handrail) — 1.0m run — Charcoal Grey (RAL 7016)</t>
  </si>
  <si>
    <t xml:space="preserve">ALS-BAL-0004</t>
  </si>
  <si>
    <t xml:space="preserve">Aluminium Glass-Infill Balustrade (Post &amp; Handrail) — 1.0m run — Bronze Anodised</t>
  </si>
  <si>
    <t xml:space="preserve">ALS-BAL-0005</t>
  </si>
  <si>
    <t xml:space="preserve">Aluminium Glass-Infill Balustrade (Post &amp; Handrail) — 2.0m run — Natural Anodised</t>
  </si>
  <si>
    <t xml:space="preserve">2.0m run</t>
  </si>
  <si>
    <t xml:space="preserve">ALS-BAL-0006</t>
  </si>
  <si>
    <t xml:space="preserve">Aluminium Glass-Infill Balustrade (Post &amp; Handrail) — 2.0m run — Satin White (RAL 9016)</t>
  </si>
  <si>
    <t xml:space="preserve">ALS-BAL-0007</t>
  </si>
  <si>
    <t xml:space="preserve">Aluminium Glass-Infill Balustrade (Post &amp; Handrail) — 2.0m run — Charcoal Grey (RAL 7016)</t>
  </si>
  <si>
    <t xml:space="preserve">ALS-BAL-0008</t>
  </si>
  <si>
    <t xml:space="preserve">Aluminium Glass-Infill Balustrade (Post &amp; Handrail) — 2.0m run — Bronze Anodised</t>
  </si>
  <si>
    <t xml:space="preserve">ALS-BAL-0009</t>
  </si>
  <si>
    <t xml:space="preserve">Aluminium Glass-Infill Balustrade (Post &amp; Handrail) — 3.0m run — Natural Anodised</t>
  </si>
  <si>
    <t xml:space="preserve">3.0m run</t>
  </si>
  <si>
    <t xml:space="preserve">ALS-BAL-0010</t>
  </si>
  <si>
    <t xml:space="preserve">Aluminium Glass-Infill Balustrade (Post &amp; Handrail) — 3.0m run — Satin White (RAL 9016)</t>
  </si>
  <si>
    <t xml:space="preserve">ALS-BAL-0011</t>
  </si>
  <si>
    <t xml:space="preserve">Aluminium Glass-Infill Balustrade (Post &amp; Handrail) — 3.0m run — Charcoal Grey (RAL 7016)</t>
  </si>
  <si>
    <t xml:space="preserve">ALS-BAL-0012</t>
  </si>
  <si>
    <t xml:space="preserve">Aluminium Glass-Infill Balustrade (Post &amp; Handrail) — 3.0m run — Bronze Anodised</t>
  </si>
  <si>
    <t xml:space="preserve">ALS-BAL-0013</t>
  </si>
  <si>
    <t xml:space="preserve">Aluminium Glass-Infill Balustrade (Post &amp; Handrail) — 4.0m run — Natural Anodised</t>
  </si>
  <si>
    <t xml:space="preserve">4.0m run</t>
  </si>
  <si>
    <t xml:space="preserve">ALS-BAL-0014</t>
  </si>
  <si>
    <t xml:space="preserve">Aluminium Glass-Infill Balustrade (Post &amp; Handrail) — 4.0m run — Satin White (RAL 9016)</t>
  </si>
  <si>
    <t xml:space="preserve">ALS-BAL-0015</t>
  </si>
  <si>
    <t xml:space="preserve">Aluminium Glass-Infill Balustrade (Post &amp; Handrail) — 4.0m run — Charcoal Grey (RAL 7016)</t>
  </si>
  <si>
    <t xml:space="preserve">ALS-BAL-0016</t>
  </si>
  <si>
    <t xml:space="preserve">Aluminium Glass-Infill Balustrade (Post &amp; Handrail) — 4.0m run — Bronze Anodised</t>
  </si>
  <si>
    <t xml:space="preserve">ALS-BAL-0017</t>
  </si>
  <si>
    <t xml:space="preserve">Aluminium Glass-Infill Balustrade (Post &amp; Handrail) — 5.0m run — Natural Anodised</t>
  </si>
  <si>
    <t xml:space="preserve">5.0m run</t>
  </si>
  <si>
    <t xml:space="preserve">ALS-BAL-0018</t>
  </si>
  <si>
    <t xml:space="preserve">Aluminium Glass-Infill Balustrade (Post &amp; Handrail) — 5.0m run — Satin White (RAL 9016)</t>
  </si>
  <si>
    <t xml:space="preserve">ALS-BAL-0019</t>
  </si>
  <si>
    <t xml:space="preserve">Aluminium Glass-Infill Balustrade (Post &amp; Handrail) — 5.0m run — Charcoal Grey (RAL 7016)</t>
  </si>
  <si>
    <t xml:space="preserve">ALS-BAL-0020</t>
  </si>
  <si>
    <t xml:space="preserve">Aluminium Glass-Infill Balustrade (Post &amp; Handrail) — 5.0m run — Bronze Anodised</t>
  </si>
  <si>
    <t xml:space="preserve">ALS-BAL-0021</t>
  </si>
  <si>
    <t xml:space="preserve">Aluminium Flat-Bar Infill Balustrade — 1.0m run — Natural Anodised</t>
  </si>
  <si>
    <t xml:space="preserve">ALS-BAL-0022</t>
  </si>
  <si>
    <t xml:space="preserve">Aluminium Flat-Bar Infill Balustrade — 1.0m run — Satin White (RAL 9016)</t>
  </si>
  <si>
    <t xml:space="preserve">ALS-BAL-0023</t>
  </si>
  <si>
    <t xml:space="preserve">Aluminium Flat-Bar Infill Balustrade — 1.0m run — Charcoal Grey (RAL 7016)</t>
  </si>
  <si>
    <t xml:space="preserve">ALS-BAL-0024</t>
  </si>
  <si>
    <t xml:space="preserve">Aluminium Flat-Bar Infill Balustrade — 1.0m run — Bronze Anodised</t>
  </si>
  <si>
    <t xml:space="preserve">ALS-BAL-0025</t>
  </si>
  <si>
    <t xml:space="preserve">Aluminium Flat-Bar Infill Balustrade — 2.0m run — Natural Anodised</t>
  </si>
  <si>
    <t xml:space="preserve">ALS-BAL-0026</t>
  </si>
  <si>
    <t xml:space="preserve">Aluminium Flat-Bar Infill Balustrade — 2.0m run — Satin White (RAL 9016)</t>
  </si>
  <si>
    <t xml:space="preserve">ALS-BAL-0027</t>
  </si>
  <si>
    <t xml:space="preserve">Aluminium Flat-Bar Infill Balustrade — 2.0m run — Charcoal Grey (RAL 7016)</t>
  </si>
  <si>
    <t xml:space="preserve">ALS-BAL-0028</t>
  </si>
  <si>
    <t xml:space="preserve">Aluminium Flat-Bar Infill Balustrade — 2.0m run — Bronze Anodised</t>
  </si>
  <si>
    <t xml:space="preserve">ALS-BAL-0029</t>
  </si>
  <si>
    <t xml:space="preserve">Aluminium Flat-Bar Infill Balustrade — 3.0m run — Natural Anodised</t>
  </si>
  <si>
    <t xml:space="preserve">ALS-BAL-0030</t>
  </si>
  <si>
    <t xml:space="preserve">Aluminium Flat-Bar Infill Balustrade — 3.0m run — Satin White (RAL 9016)</t>
  </si>
  <si>
    <t xml:space="preserve">ALS-BAL-0031</t>
  </si>
  <si>
    <t xml:space="preserve">Aluminium Flat-Bar Infill Balustrade — 3.0m run — Charcoal Grey (RAL 7016)</t>
  </si>
  <si>
    <t xml:space="preserve">ALS-BAL-0032</t>
  </si>
  <si>
    <t xml:space="preserve">Aluminium Flat-Bar Infill Balustrade — 3.0m run — Bronze Anodised</t>
  </si>
  <si>
    <t xml:space="preserve">ALS-BAL-0033</t>
  </si>
  <si>
    <t xml:space="preserve">Aluminium Flat-Bar Infill Balustrade — 4.0m run — Natural Anodised</t>
  </si>
  <si>
    <t xml:space="preserve">ALS-BAL-0034</t>
  </si>
  <si>
    <t xml:space="preserve">Aluminium Flat-Bar Infill Balustrade — 4.0m run — Satin White (RAL 9016)</t>
  </si>
  <si>
    <t xml:space="preserve">ALS-BAL-0035</t>
  </si>
  <si>
    <t xml:space="preserve">Aluminium Flat-Bar Infill Balustrade — 4.0m run — Charcoal Grey (RAL 7016)</t>
  </si>
  <si>
    <t xml:space="preserve">ALS-BAL-0036</t>
  </si>
  <si>
    <t xml:space="preserve">Aluminium Flat-Bar Infill Balustrade — 4.0m run — Bronze Anodised</t>
  </si>
  <si>
    <t xml:space="preserve">ALS-BAL-0037</t>
  </si>
  <si>
    <t xml:space="preserve">Aluminium Flat-Bar Infill Balustrade — 5.0m run — Natural Anodised</t>
  </si>
  <si>
    <t xml:space="preserve">ALS-BAL-0038</t>
  </si>
  <si>
    <t xml:space="preserve">Aluminium Flat-Bar Infill Balustrade — 5.0m run — Satin White (RAL 9016)</t>
  </si>
  <si>
    <t xml:space="preserve">ALS-BAL-0039</t>
  </si>
  <si>
    <t xml:space="preserve">Aluminium Flat-Bar Infill Balustrade — 5.0m run — Charcoal Grey (RAL 7016)</t>
  </si>
  <si>
    <t xml:space="preserve">ALS-BAL-0040</t>
  </si>
  <si>
    <t xml:space="preserve">Aluminium Flat-Bar Infill Balustrade — 5.0m run — Bronze Anodised</t>
  </si>
  <si>
    <t xml:space="preserve">ALS-BAL-0041</t>
  </si>
  <si>
    <t xml:space="preserve">Aluminium Cable-Infill Balustrade — 1.0m run — Natural Anodised</t>
  </si>
  <si>
    <t xml:space="preserve">ALS-BAL-0042</t>
  </si>
  <si>
    <t xml:space="preserve">Aluminium Cable-Infill Balustrade — 1.0m run — Satin White (RAL 9016)</t>
  </si>
  <si>
    <t xml:space="preserve">ALS-BAL-0043</t>
  </si>
  <si>
    <t xml:space="preserve">Aluminium Cable-Infill Balustrade — 1.0m run — Charcoal Grey (RAL 7016)</t>
  </si>
  <si>
    <t xml:space="preserve">ALS-BAL-0044</t>
  </si>
  <si>
    <t xml:space="preserve">Aluminium Cable-Infill Balustrade — 1.0m run — Bronze Anodised</t>
  </si>
  <si>
    <t xml:space="preserve">ALS-BAL-0045</t>
  </si>
  <si>
    <t xml:space="preserve">Aluminium Cable-Infill Balustrade — 2.0m run — Natural Anodised</t>
  </si>
  <si>
    <t xml:space="preserve">ALS-BAL-0046</t>
  </si>
  <si>
    <t xml:space="preserve">Aluminium Cable-Infill Balustrade — 2.0m run — Satin White (RAL 9016)</t>
  </si>
  <si>
    <t xml:space="preserve">ALS-BAL-0047</t>
  </si>
  <si>
    <t xml:space="preserve">Aluminium Cable-Infill Balustrade — 2.0m run — Charcoal Grey (RAL 7016)</t>
  </si>
  <si>
    <t xml:space="preserve">ALS-BAL-0048</t>
  </si>
  <si>
    <t xml:space="preserve">Aluminium Cable-Infill Balustrade — 2.0m run — Bronze Anodised</t>
  </si>
  <si>
    <t xml:space="preserve">ALS-BAL-0049</t>
  </si>
  <si>
    <t xml:space="preserve">Aluminium Cable-Infill Balustrade — 3.0m run — Natural Anodised</t>
  </si>
  <si>
    <t xml:space="preserve">ALS-BAL-0050</t>
  </si>
  <si>
    <t xml:space="preserve">Aluminium Cable-Infill Balustrade — 3.0m run — Satin White (RAL 9016)</t>
  </si>
  <si>
    <t xml:space="preserve">ALS-BAL-0051</t>
  </si>
  <si>
    <t xml:space="preserve">Aluminium Cable-Infill Balustrade — 3.0m run — Charcoal Grey (RAL 7016)</t>
  </si>
  <si>
    <t xml:space="preserve">ALS-BAL-0052</t>
  </si>
  <si>
    <t xml:space="preserve">Aluminium Cable-Infill Balustrade — 3.0m run — Bronze Anodised</t>
  </si>
  <si>
    <t xml:space="preserve">ALS-BAL-0053</t>
  </si>
  <si>
    <t xml:space="preserve">Aluminium Cable-Infill Balustrade — 4.0m run — Natural Anodised</t>
  </si>
  <si>
    <t xml:space="preserve">ALS-BAL-0054</t>
  </si>
  <si>
    <t xml:space="preserve">Aluminium Cable-Infill Balustrade — 4.0m run — Satin White (RAL 9016)</t>
  </si>
  <si>
    <t xml:space="preserve">ALS-BAL-0055</t>
  </si>
  <si>
    <t xml:space="preserve">Aluminium Cable-Infill Balustrade — 4.0m run — Charcoal Grey (RAL 7016)</t>
  </si>
  <si>
    <t xml:space="preserve">ALS-BAL-0056</t>
  </si>
  <si>
    <t xml:space="preserve">Aluminium Cable-Infill Balustrade — 4.0m run — Bronze Anodised</t>
  </si>
  <si>
    <t xml:space="preserve">ALS-BAL-0057</t>
  </si>
  <si>
    <t xml:space="preserve">Aluminium Cable-Infill Balustrade — 5.0m run — Natural Anodised</t>
  </si>
  <si>
    <t xml:space="preserve">ALS-BAL-0058</t>
  </si>
  <si>
    <t xml:space="preserve">Aluminium Cable-Infill Balustrade — 5.0m run — Satin White (RAL 9016)</t>
  </si>
  <si>
    <t xml:space="preserve">ALS-BAL-0059</t>
  </si>
  <si>
    <t xml:space="preserve">Aluminium Cable-Infill Balustrade — 5.0m run — Charcoal Grey (RAL 7016)</t>
  </si>
  <si>
    <t xml:space="preserve">ALS-BAL-0060</t>
  </si>
  <si>
    <t xml:space="preserve">Aluminium Cable-Infill Balustrade — 5.0m run — Bronze Anodised</t>
  </si>
  <si>
    <t xml:space="preserve">ALS-BAL-0061</t>
  </si>
  <si>
    <t xml:space="preserve">Aluminium Picket-Infill Balustrade — 1.0m run — Natural Anodised</t>
  </si>
  <si>
    <t xml:space="preserve">ALS-BAL-0062</t>
  </si>
  <si>
    <t xml:space="preserve">Aluminium Picket-Infill Balustrade — 1.0m run — Satin White (RAL 9016)</t>
  </si>
  <si>
    <t xml:space="preserve">ALS-BAL-0063</t>
  </si>
  <si>
    <t xml:space="preserve">Aluminium Picket-Infill Balustrade — 1.0m run — Charcoal Grey (RAL 7016)</t>
  </si>
  <si>
    <t xml:space="preserve">ALS-BAL-0064</t>
  </si>
  <si>
    <t xml:space="preserve">Aluminium Picket-Infill Balustrade — 1.0m run — Bronze Anodised</t>
  </si>
  <si>
    <t xml:space="preserve">ALS-BAL-0065</t>
  </si>
  <si>
    <t xml:space="preserve">Aluminium Picket-Infill Balustrade — 2.0m run — Natural Anodised</t>
  </si>
  <si>
    <t xml:space="preserve">ALS-BAL-0066</t>
  </si>
  <si>
    <t xml:space="preserve">Aluminium Picket-Infill Balustrade — 2.0m run — Satin White (RAL 9016)</t>
  </si>
  <si>
    <t xml:space="preserve">ALS-BAL-0067</t>
  </si>
  <si>
    <t xml:space="preserve">Aluminium Picket-Infill Balustrade — 2.0m run — Charcoal Grey (RAL 7016)</t>
  </si>
  <si>
    <t xml:space="preserve">ALS-BAL-0068</t>
  </si>
  <si>
    <t xml:space="preserve">Aluminium Picket-Infill Balustrade — 2.0m run — Bronze Anodised</t>
  </si>
  <si>
    <t xml:space="preserve">ALS-BAL-0069</t>
  </si>
  <si>
    <t xml:space="preserve">Aluminium Picket-Infill Balustrade — 3.0m run — Natural Anodised</t>
  </si>
  <si>
    <t xml:space="preserve">ALS-BAL-0070</t>
  </si>
  <si>
    <t xml:space="preserve">Aluminium Picket-Infill Balustrade — 3.0m run — Satin White (RAL 9016)</t>
  </si>
  <si>
    <t xml:space="preserve">ALS-BAL-0071</t>
  </si>
  <si>
    <t xml:space="preserve">Aluminium Picket-Infill Balustrade — 3.0m run — Charcoal Grey (RAL 7016)</t>
  </si>
  <si>
    <t xml:space="preserve">ALS-BAL-0072</t>
  </si>
  <si>
    <t xml:space="preserve">Aluminium Picket-Infill Balustrade — 3.0m run — Bronze Anodised</t>
  </si>
  <si>
    <t xml:space="preserve">ALS-BAL-0073</t>
  </si>
  <si>
    <t xml:space="preserve">Aluminium Picket-Infill Balustrade — 4.0m run — Natural Anodised</t>
  </si>
  <si>
    <t xml:space="preserve">ALS-BAL-0074</t>
  </si>
  <si>
    <t xml:space="preserve">Aluminium Picket-Infill Balustrade — 4.0m run — Satin White (RAL 9016)</t>
  </si>
  <si>
    <t xml:space="preserve">ALS-BAL-0075</t>
  </si>
  <si>
    <t xml:space="preserve">Aluminium Picket-Infill Balustrade — 4.0m run — Charcoal Grey (RAL 7016)</t>
  </si>
  <si>
    <t xml:space="preserve">ALS-BAL-0076</t>
  </si>
  <si>
    <t xml:space="preserve">Aluminium Picket-Infill Balustrade — 4.0m run — Bronze Anodised</t>
  </si>
  <si>
    <t xml:space="preserve">ALS-BAL-0077</t>
  </si>
  <si>
    <t xml:space="preserve">Aluminium Picket-Infill Balustrade — 5.0m run — Natural Anodised</t>
  </si>
  <si>
    <t xml:space="preserve">ALS-BAL-0078</t>
  </si>
  <si>
    <t xml:space="preserve">Aluminium Picket-Infill Balustrade — 5.0m run — Satin White (RAL 9016)</t>
  </si>
  <si>
    <t xml:space="preserve">ALS-BAL-0079</t>
  </si>
  <si>
    <t xml:space="preserve">Aluminium Picket-Infill Balustrade — 5.0m run — Charcoal Grey (RAL 7016)</t>
  </si>
  <si>
    <t xml:space="preserve">ALS-BAL-0080</t>
  </si>
  <si>
    <t xml:space="preserve">Aluminium Picket-Infill Balustrade — 5.0m run — Bronze Anodised</t>
  </si>
  <si>
    <t xml:space="preserve">ALS-BJB-0001</t>
  </si>
  <si>
    <t xml:space="preserve">Aluminium Juliet Balcony Balustrade — Glass Infill — 900x1100mm — Natural Anodised</t>
  </si>
  <si>
    <t xml:space="preserve">Juliet Balcony Balustrade — Glass Infill</t>
  </si>
  <si>
    <t xml:space="preserve">900x1100mm</t>
  </si>
  <si>
    <t xml:space="preserve">ALS-BJB-0002</t>
  </si>
  <si>
    <t xml:space="preserve">Aluminium Juliet Balcony Balustrade — Glass Infill — 900x1100mm — Satin White (RAL 9016)</t>
  </si>
  <si>
    <t xml:space="preserve">ALS-BJB-0003</t>
  </si>
  <si>
    <t xml:space="preserve">Aluminium Juliet Balcony Balustrade — Glass Infill — 900x1100mm — Charcoal Grey (RAL 7016)</t>
  </si>
  <si>
    <t xml:space="preserve">ALS-BJB-0004</t>
  </si>
  <si>
    <t xml:space="preserve">Aluminium Juliet Balcony Balustrade — Glass Infill — 1200x1100mm — Natural Anodised</t>
  </si>
  <si>
    <t xml:space="preserve">1200x1100mm</t>
  </si>
  <si>
    <t xml:space="preserve">ALS-BJB-0005</t>
  </si>
  <si>
    <t xml:space="preserve">Aluminium Juliet Balcony Balustrade — Glass Infill — 1200x1100mm — Satin White (RAL 9016)</t>
  </si>
  <si>
    <t xml:space="preserve">ALS-BJB-0006</t>
  </si>
  <si>
    <t xml:space="preserve">Aluminium Juliet Balcony Balustrade — Glass Infill — 1200x1100mm — Charcoal Grey (RAL 7016)</t>
  </si>
  <si>
    <t xml:space="preserve">ALS-BJB-0007</t>
  </si>
  <si>
    <t xml:space="preserve">Aluminium Juliet Balcony Balustrade — Glass Infill — 1500x1100mm — Natural Anodised</t>
  </si>
  <si>
    <t xml:space="preserve">1500x1100mm</t>
  </si>
  <si>
    <t xml:space="preserve">ALS-BJB-0008</t>
  </si>
  <si>
    <t xml:space="preserve">Aluminium Juliet Balcony Balustrade — Glass Infill — 1500x1100mm — Satin White (RAL 9016)</t>
  </si>
  <si>
    <t xml:space="preserve">ALS-BJB-0009</t>
  </si>
  <si>
    <t xml:space="preserve">Aluminium Juliet Balcony Balustrade — Glass Infill — 1500x1100mm — Charcoal Grey (RAL 7016)</t>
  </si>
  <si>
    <t xml:space="preserve">ALS-BJB-0010</t>
  </si>
  <si>
    <t xml:space="preserve">Aluminium Juliet Balcony Balustrade — Glass Infill — 1800x1100mm — Natural Anodised</t>
  </si>
  <si>
    <t xml:space="preserve">1800x1100mm</t>
  </si>
  <si>
    <t xml:space="preserve">ALS-BJB-0011</t>
  </si>
  <si>
    <t xml:space="preserve">Aluminium Juliet Balcony Balustrade — Glass Infill — 1800x1100mm — Satin White (RAL 9016)</t>
  </si>
  <si>
    <t xml:space="preserve">ALS-BJB-0012</t>
  </si>
  <si>
    <t xml:space="preserve">Aluminium Juliet Balcony Balustrade — Glass Infill — 1800x1100mm — Charcoal Grey (RAL 7016)</t>
  </si>
  <si>
    <t xml:space="preserve">ALS-BJB-0013</t>
  </si>
  <si>
    <t xml:space="preserve">Aluminium Juliet Balcony Balustrade — Glass Infill — 2400x1100mm — Natural Anodised</t>
  </si>
  <si>
    <t xml:space="preserve">2400x1100mm</t>
  </si>
  <si>
    <t xml:space="preserve">ALS-BJB-0014</t>
  </si>
  <si>
    <t xml:space="preserve">Aluminium Juliet Balcony Balustrade — Glass Infill — 2400x1100mm — Satin White (RAL 9016)</t>
  </si>
  <si>
    <t xml:space="preserve">ALS-BJB-0015</t>
  </si>
  <si>
    <t xml:space="preserve">Aluminium Juliet Balcony Balustrade — Glass Infill — 2400x1100mm — Charcoal Grey (RAL 7016)</t>
  </si>
  <si>
    <t xml:space="preserve">ALS-BJB-0016</t>
  </si>
  <si>
    <t xml:space="preserve">Aluminium Juliet Balcony Balustrade — Flat-Bar Infill — 900x1100mm — Natural Anodised</t>
  </si>
  <si>
    <t xml:space="preserve">Juliet Balcony Balustrade — Flat-Bar Infill</t>
  </si>
  <si>
    <t xml:space="preserve">ALS-BJB-0017</t>
  </si>
  <si>
    <t xml:space="preserve">Aluminium Juliet Balcony Balustrade — Flat-Bar Infill — 900x1100mm — Satin White (RAL 9016)</t>
  </si>
  <si>
    <t xml:space="preserve">ALS-BJB-0018</t>
  </si>
  <si>
    <t xml:space="preserve">Aluminium Juliet Balcony Balustrade — Flat-Bar Infill — 900x1100mm — Charcoal Grey (RAL 7016)</t>
  </si>
  <si>
    <t xml:space="preserve">ALS-BJB-0019</t>
  </si>
  <si>
    <t xml:space="preserve">Aluminium Juliet Balcony Balustrade — Flat-Bar Infill — 1200x1100mm — Natural Anodised</t>
  </si>
  <si>
    <t xml:space="preserve">ALS-BJB-0020</t>
  </si>
  <si>
    <t xml:space="preserve">Aluminium Juliet Balcony Balustrade — Flat-Bar Infill — 1200x1100mm — Satin White (RAL 9016)</t>
  </si>
  <si>
    <t xml:space="preserve">ALS-BJB-0021</t>
  </si>
  <si>
    <t xml:space="preserve">Aluminium Juliet Balcony Balustrade — Flat-Bar Infill — 1200x1100mm — Charcoal Grey (RAL 7016)</t>
  </si>
  <si>
    <t xml:space="preserve">ALS-BJB-0022</t>
  </si>
  <si>
    <t xml:space="preserve">Aluminium Juliet Balcony Balustrade — Flat-Bar Infill — 1500x1100mm — Natural Anodised</t>
  </si>
  <si>
    <t xml:space="preserve">ALS-BJB-0023</t>
  </si>
  <si>
    <t xml:space="preserve">Aluminium Juliet Balcony Balustrade — Flat-Bar Infill — 1500x1100mm — Satin White (RAL 9016)</t>
  </si>
  <si>
    <t xml:space="preserve">ALS-BJB-0024</t>
  </si>
  <si>
    <t xml:space="preserve">Aluminium Juliet Balcony Balustrade — Flat-Bar Infill — 1500x1100mm — Charcoal Grey (RAL 7016)</t>
  </si>
  <si>
    <t xml:space="preserve">ALS-BJB-0025</t>
  </si>
  <si>
    <t xml:space="preserve">Aluminium Juliet Balcony Balustrade — Flat-Bar Infill — 1800x1100mm — Natural Anodised</t>
  </si>
  <si>
    <t xml:space="preserve">ALS-BJB-0026</t>
  </si>
  <si>
    <t xml:space="preserve">Aluminium Juliet Balcony Balustrade — Flat-Bar Infill — 1800x1100mm — Satin White (RAL 9016)</t>
  </si>
  <si>
    <t xml:space="preserve">ALS-BJB-0027</t>
  </si>
  <si>
    <t xml:space="preserve">Aluminium Juliet Balcony Balustrade — Flat-Bar Infill — 1800x1100mm — Charcoal Grey (RAL 7016)</t>
  </si>
  <si>
    <t xml:space="preserve">ALS-BJB-0028</t>
  </si>
  <si>
    <t xml:space="preserve">Aluminium Juliet Balcony Balustrade — Flat-Bar Infill — 2400x1100mm — Natural Anodised</t>
  </si>
  <si>
    <t xml:space="preserve">ALS-BJB-0029</t>
  </si>
  <si>
    <t xml:space="preserve">Aluminium Juliet Balcony Balustrade — Flat-Bar Infill — 2400x1100mm — Satin White (RAL 9016)</t>
  </si>
  <si>
    <t xml:space="preserve">ALS-BJB-0030</t>
  </si>
  <si>
    <t xml:space="preserve">Aluminium Juliet Balcony Balustrade — Flat-Bar Infill — 2400x1100mm — Charcoal Grey (RAL 7016)</t>
  </si>
  <si>
    <t xml:space="preserve">ALS-LVS-0001</t>
  </si>
  <si>
    <t xml:space="preserve">Aluminium Fixed Sun-Louvre Screen — 1000x1800mm — Natural Anodised</t>
  </si>
  <si>
    <t xml:space="preserve">Fixed Sun-Louvre Screen</t>
  </si>
  <si>
    <t xml:space="preserve">1000x1800mm</t>
  </si>
  <si>
    <t xml:space="preserve">ALS-LVS-0002</t>
  </si>
  <si>
    <t xml:space="preserve">Aluminium Fixed Sun-Louvre Screen — 1000x1800mm — Satin White (RAL 9016)</t>
  </si>
  <si>
    <t xml:space="preserve">ALS-LVS-0003</t>
  </si>
  <si>
    <t xml:space="preserve">Aluminium Fixed Sun-Louvre Screen — 1000x1800mm — Charcoal Grey (RAL 7016)</t>
  </si>
  <si>
    <t xml:space="preserve">ALS-LVS-0004</t>
  </si>
  <si>
    <t xml:space="preserve">Aluminium Fixed Sun-Louvre Screen — 1000x1800mm — Bronze Anodised</t>
  </si>
  <si>
    <t xml:space="preserve">ALS-LVS-0005</t>
  </si>
  <si>
    <t xml:space="preserve">Aluminium Fixed Sun-Louvre Screen — 1500x1800mm — Natural Anodised</t>
  </si>
  <si>
    <t xml:space="preserve">1500x1800mm</t>
  </si>
  <si>
    <t xml:space="preserve">ALS-LVS-0006</t>
  </si>
  <si>
    <t xml:space="preserve">Aluminium Fixed Sun-Louvre Screen — 1500x1800mm — Satin White (RAL 9016)</t>
  </si>
  <si>
    <t xml:space="preserve">ALS-LVS-0007</t>
  </si>
  <si>
    <t xml:space="preserve">Aluminium Fixed Sun-Louvre Screen — 1500x1800mm — Charcoal Grey (RAL 7016)</t>
  </si>
  <si>
    <t xml:space="preserve">ALS-LVS-0008</t>
  </si>
  <si>
    <t xml:space="preserve">Aluminium Fixed Sun-Louvre Screen — 1500x1800mm — Bronze Anodised</t>
  </si>
  <si>
    <t xml:space="preserve">ALS-LVS-0009</t>
  </si>
  <si>
    <t xml:space="preserve">Aluminium Fixed Sun-Louvre Screen — 2000x1800mm — Natural Anodised</t>
  </si>
  <si>
    <t xml:space="preserve">2000x1800mm</t>
  </si>
  <si>
    <t xml:space="preserve">ALS-LVS-0010</t>
  </si>
  <si>
    <t xml:space="preserve">Aluminium Fixed Sun-Louvre Screen — 2000x1800mm — Satin White (RAL 9016)</t>
  </si>
  <si>
    <t xml:space="preserve">ALS-LVS-0011</t>
  </si>
  <si>
    <t xml:space="preserve">Aluminium Fixed Sun-Louvre Screen — 2000x1800mm — Charcoal Grey (RAL 7016)</t>
  </si>
  <si>
    <t xml:space="preserve">ALS-LVS-0012</t>
  </si>
  <si>
    <t xml:space="preserve">Aluminium Fixed Sun-Louvre Screen — 2000x1800mm — Bronze Anodised</t>
  </si>
  <si>
    <t xml:space="preserve">ALS-LVS-0013</t>
  </si>
  <si>
    <t xml:space="preserve">Aluminium Fixed Sun-Louvre Screen — 1500x2400mm — Natural Anodised</t>
  </si>
  <si>
    <t xml:space="preserve">1500x2400mm</t>
  </si>
  <si>
    <t xml:space="preserve">ALS-LVS-0014</t>
  </si>
  <si>
    <t xml:space="preserve">Aluminium Fixed Sun-Louvre Screen — 1500x2400mm — Satin White (RAL 9016)</t>
  </si>
  <si>
    <t xml:space="preserve">ALS-LVS-0015</t>
  </si>
  <si>
    <t xml:space="preserve">Aluminium Fixed Sun-Louvre Screen — 1500x2400mm — Charcoal Grey (RAL 7016)</t>
  </si>
  <si>
    <t xml:space="preserve">ALS-LVS-0016</t>
  </si>
  <si>
    <t xml:space="preserve">Aluminium Fixed Sun-Louvre Screen — 1500x2400mm — Bronze Anodised</t>
  </si>
  <si>
    <t xml:space="preserve">ALS-LVS-0017</t>
  </si>
  <si>
    <t xml:space="preserve">Aluminium Fixed Sun-Louvre Screen — 2000x2400mm — Natural Anodised</t>
  </si>
  <si>
    <t xml:space="preserve">2000x2400mm</t>
  </si>
  <si>
    <t xml:space="preserve">ALS-LVS-0018</t>
  </si>
  <si>
    <t xml:space="preserve">Aluminium Fixed Sun-Louvre Screen — 2000x2400mm — Satin White (RAL 9016)</t>
  </si>
  <si>
    <t xml:space="preserve">ALS-LVS-0019</t>
  </si>
  <si>
    <t xml:space="preserve">Aluminium Fixed Sun-Louvre Screen — 2000x2400mm — Charcoal Grey (RAL 7016)</t>
  </si>
  <si>
    <t xml:space="preserve">ALS-LVS-0020</t>
  </si>
  <si>
    <t xml:space="preserve">Aluminium Fixed Sun-Louvre Screen — 2000x2400mm — Bronze Anodised</t>
  </si>
  <si>
    <t xml:space="preserve">ALS-LVS-0021</t>
  </si>
  <si>
    <t xml:space="preserve">Aluminium Fixed Sun-Louvre Screen — 3000x2400mm — Natural Anodised</t>
  </si>
  <si>
    <t xml:space="preserve">3000x2400mm</t>
  </si>
  <si>
    <t xml:space="preserve">ALS-LVS-0022</t>
  </si>
  <si>
    <t xml:space="preserve">Aluminium Fixed Sun-Louvre Screen — 3000x2400mm — Satin White (RAL 9016)</t>
  </si>
  <si>
    <t xml:space="preserve">ALS-LVS-0023</t>
  </si>
  <si>
    <t xml:space="preserve">Aluminium Fixed Sun-Louvre Screen — 3000x2400mm — Charcoal Grey (RAL 7016)</t>
  </si>
  <si>
    <t xml:space="preserve">ALS-LVS-0024</t>
  </si>
  <si>
    <t xml:space="preserve">Aluminium Fixed Sun-Louvre Screen — 3000x2400mm — Bronze Anodised</t>
  </si>
  <si>
    <t xml:space="preserve">ALS-LVS-0025</t>
  </si>
  <si>
    <t xml:space="preserve">Aluminium Adjustable Sun-Louvre Screen — 1000x1800mm — Natural Anodised</t>
  </si>
  <si>
    <t xml:space="preserve">Adjustable Sun-Louvre Screen</t>
  </si>
  <si>
    <t xml:space="preserve">ALS-LVS-0026</t>
  </si>
  <si>
    <t xml:space="preserve">Aluminium Adjustable Sun-Louvre Screen — 1000x1800mm — Satin White (RAL 9016)</t>
  </si>
  <si>
    <t xml:space="preserve">ALS-LVS-0027</t>
  </si>
  <si>
    <t xml:space="preserve">Aluminium Adjustable Sun-Louvre Screen — 1000x1800mm — Charcoal Grey (RAL 7016)</t>
  </si>
  <si>
    <t xml:space="preserve">ALS-LVS-0028</t>
  </si>
  <si>
    <t xml:space="preserve">Aluminium Adjustable Sun-Louvre Screen — 1000x1800mm — Bronze Anodised</t>
  </si>
  <si>
    <t xml:space="preserve">ALS-LVS-0029</t>
  </si>
  <si>
    <t xml:space="preserve">Aluminium Adjustable Sun-Louvre Screen — 1500x1800mm — Natural Anodised</t>
  </si>
  <si>
    <t xml:space="preserve">ALS-LVS-0030</t>
  </si>
  <si>
    <t xml:space="preserve">Aluminium Adjustable Sun-Louvre Screen — 1500x1800mm — Satin White (RAL 9016)</t>
  </si>
  <si>
    <t xml:space="preserve">ALS-LVS-0031</t>
  </si>
  <si>
    <t xml:space="preserve">Aluminium Adjustable Sun-Louvre Screen — 1500x1800mm — Charcoal Grey (RAL 7016)</t>
  </si>
  <si>
    <t xml:space="preserve">ALS-LVS-0032</t>
  </si>
  <si>
    <t xml:space="preserve">Aluminium Adjustable Sun-Louvre Screen — 1500x1800mm — Bronze Anodised</t>
  </si>
  <si>
    <t xml:space="preserve">ALS-LVS-0033</t>
  </si>
  <si>
    <t xml:space="preserve">Aluminium Adjustable Sun-Louvre Screen — 2000x1800mm — Natural Anodised</t>
  </si>
  <si>
    <t xml:space="preserve">ALS-LVS-0034</t>
  </si>
  <si>
    <t xml:space="preserve">Aluminium Adjustable Sun-Louvre Screen — 2000x1800mm — Satin White (RAL 9016)</t>
  </si>
  <si>
    <t xml:space="preserve">ALS-LVS-0035</t>
  </si>
  <si>
    <t xml:space="preserve">Aluminium Adjustable Sun-Louvre Screen — 2000x1800mm — Charcoal Grey (RAL 7016)</t>
  </si>
  <si>
    <t xml:space="preserve">ALS-LVS-0036</t>
  </si>
  <si>
    <t xml:space="preserve">Aluminium Adjustable Sun-Louvre Screen — 2000x1800mm — Bronze Anodised</t>
  </si>
  <si>
    <t xml:space="preserve">ALS-LVS-0037</t>
  </si>
  <si>
    <t xml:space="preserve">Aluminium Adjustable Sun-Louvre Screen — 1500x2400mm — Natural Anodised</t>
  </si>
  <si>
    <t xml:space="preserve">ALS-LVS-0038</t>
  </si>
  <si>
    <t xml:space="preserve">Aluminium Adjustable Sun-Louvre Screen — 1500x2400mm — Satin White (RAL 9016)</t>
  </si>
  <si>
    <t xml:space="preserve">ALS-LVS-0039</t>
  </si>
  <si>
    <t xml:space="preserve">Aluminium Adjustable Sun-Louvre Screen — 1500x2400mm — Charcoal Grey (RAL 7016)</t>
  </si>
  <si>
    <t xml:space="preserve">ALS-LVS-0040</t>
  </si>
  <si>
    <t xml:space="preserve">Aluminium Adjustable Sun-Louvre Screen — 1500x2400mm — Bronze Anodised</t>
  </si>
  <si>
    <t xml:space="preserve">ALS-LVS-0041</t>
  </si>
  <si>
    <t xml:space="preserve">Aluminium Adjustable Sun-Louvre Screen — 2000x2400mm — Natural Anodised</t>
  </si>
  <si>
    <t xml:space="preserve">ALS-LVS-0042</t>
  </si>
  <si>
    <t xml:space="preserve">Aluminium Adjustable Sun-Louvre Screen — 2000x2400mm — Satin White (RAL 9016)</t>
  </si>
  <si>
    <t xml:space="preserve">ALS-LVS-0043</t>
  </si>
  <si>
    <t xml:space="preserve">Aluminium Adjustable Sun-Louvre Screen — 2000x2400mm — Charcoal Grey (RAL 7016)</t>
  </si>
  <si>
    <t xml:space="preserve">ALS-LVS-0044</t>
  </si>
  <si>
    <t xml:space="preserve">Aluminium Adjustable Sun-Louvre Screen — 2000x2400mm — Bronze Anodised</t>
  </si>
  <si>
    <t xml:space="preserve">ALS-LVS-0045</t>
  </si>
  <si>
    <t xml:space="preserve">Aluminium Adjustable Sun-Louvre Screen — 3000x2400mm — Natural Anodised</t>
  </si>
  <si>
    <t xml:space="preserve">ALS-LVS-0046</t>
  </si>
  <si>
    <t xml:space="preserve">Aluminium Adjustable Sun-Louvre Screen — 3000x2400mm — Satin White (RAL 9016)</t>
  </si>
  <si>
    <t xml:space="preserve">ALS-LVS-0047</t>
  </si>
  <si>
    <t xml:space="preserve">Aluminium Adjustable Sun-Louvre Screen — 3000x2400mm — Charcoal Grey (RAL 7016)</t>
  </si>
  <si>
    <t xml:space="preserve">ALS-LVS-0048</t>
  </si>
  <si>
    <t xml:space="preserve">Aluminium Adjustable Sun-Louvre Screen — 3000x2400mm — Bronze Anodised</t>
  </si>
  <si>
    <t xml:space="preserve">ALS-LVS-0049</t>
  </si>
  <si>
    <t xml:space="preserve">Aluminium Privacy Slat Screen — 1000x1800mm — Natural Anodised</t>
  </si>
  <si>
    <t xml:space="preserve">Privacy Slat Screen</t>
  </si>
  <si>
    <t xml:space="preserve">ALS-LVS-0050</t>
  </si>
  <si>
    <t xml:space="preserve">Aluminium Privacy Slat Screen — 1000x1800mm — Satin White (RAL 9016)</t>
  </si>
  <si>
    <t xml:space="preserve">ALS-LVS-0051</t>
  </si>
  <si>
    <t xml:space="preserve">Aluminium Privacy Slat Screen — 1000x1800mm — Charcoal Grey (RAL 7016)</t>
  </si>
  <si>
    <t xml:space="preserve">ALS-LVS-0052</t>
  </si>
  <si>
    <t xml:space="preserve">Aluminium Privacy Slat Screen — 1000x1800mm — Bronze Anodised</t>
  </si>
  <si>
    <t xml:space="preserve">ALS-LVS-0053</t>
  </si>
  <si>
    <t xml:space="preserve">Aluminium Privacy Slat Screen — 1500x1800mm — Natural Anodised</t>
  </si>
  <si>
    <t xml:space="preserve">ALS-LVS-0054</t>
  </si>
  <si>
    <t xml:space="preserve">Aluminium Privacy Slat Screen — 1500x1800mm — Satin White (RAL 9016)</t>
  </si>
  <si>
    <t xml:space="preserve">ALS-LVS-0055</t>
  </si>
  <si>
    <t xml:space="preserve">Aluminium Privacy Slat Screen — 1500x1800mm — Charcoal Grey (RAL 7016)</t>
  </si>
  <si>
    <t xml:space="preserve">ALS-LVS-0056</t>
  </si>
  <si>
    <t xml:space="preserve">Aluminium Privacy Slat Screen — 1500x1800mm — Bronze Anodised</t>
  </si>
  <si>
    <t xml:space="preserve">ALS-LVS-0057</t>
  </si>
  <si>
    <t xml:space="preserve">Aluminium Privacy Slat Screen — 2000x1800mm — Natural Anodised</t>
  </si>
  <si>
    <t xml:space="preserve">ALS-LVS-0058</t>
  </si>
  <si>
    <t xml:space="preserve">Aluminium Privacy Slat Screen — 2000x1800mm — Satin White (RAL 9016)</t>
  </si>
  <si>
    <t xml:space="preserve">ALS-LVS-0059</t>
  </si>
  <si>
    <t xml:space="preserve">Aluminium Privacy Slat Screen — 2000x1800mm — Charcoal Grey (RAL 7016)</t>
  </si>
  <si>
    <t xml:space="preserve">ALS-LVS-0060</t>
  </si>
  <si>
    <t xml:space="preserve">Aluminium Privacy Slat Screen — 2000x1800mm — Bronze Anodised</t>
  </si>
  <si>
    <t xml:space="preserve">ALS-LVS-0061</t>
  </si>
  <si>
    <t xml:space="preserve">Aluminium Privacy Slat Screen — 1500x2400mm — Natural Anodised</t>
  </si>
  <si>
    <t xml:space="preserve">ALS-LVS-0062</t>
  </si>
  <si>
    <t xml:space="preserve">Aluminium Privacy Slat Screen — 1500x2400mm — Satin White (RAL 9016)</t>
  </si>
  <si>
    <t xml:space="preserve">ALS-LVS-0063</t>
  </si>
  <si>
    <t xml:space="preserve">Aluminium Privacy Slat Screen — 1500x2400mm — Charcoal Grey (RAL 7016)</t>
  </si>
  <si>
    <t xml:space="preserve">ALS-LVS-0064</t>
  </si>
  <si>
    <t xml:space="preserve">Aluminium Privacy Slat Screen — 1500x2400mm — Bronze Anodised</t>
  </si>
  <si>
    <t xml:space="preserve">ALS-LVS-0065</t>
  </si>
  <si>
    <t xml:space="preserve">Aluminium Privacy Slat Screen — 2000x2400mm — Natural Anodised</t>
  </si>
  <si>
    <t xml:space="preserve">ALS-LVS-0066</t>
  </si>
  <si>
    <t xml:space="preserve">Aluminium Privacy Slat Screen — 2000x2400mm — Satin White (RAL 9016)</t>
  </si>
  <si>
    <t xml:space="preserve">ALS-LVS-0067</t>
  </si>
  <si>
    <t xml:space="preserve">Aluminium Privacy Slat Screen — 2000x2400mm — Charcoal Grey (RAL 7016)</t>
  </si>
  <si>
    <t xml:space="preserve">ALS-LVS-0068</t>
  </si>
  <si>
    <t xml:space="preserve">Aluminium Privacy Slat Screen — 2000x2400mm — Bronze Anodised</t>
  </si>
  <si>
    <t xml:space="preserve">ALS-LVS-0069</t>
  </si>
  <si>
    <t xml:space="preserve">Aluminium Privacy Slat Screen — 3000x2400mm — Natural Anodised</t>
  </si>
  <si>
    <t xml:space="preserve">ALS-LVS-0070</t>
  </si>
  <si>
    <t xml:space="preserve">Aluminium Privacy Slat Screen — 3000x2400mm — Satin White (RAL 9016)</t>
  </si>
  <si>
    <t xml:space="preserve">ALS-LVS-0071</t>
  </si>
  <si>
    <t xml:space="preserve">Aluminium Privacy Slat Screen — 3000x2400mm — Charcoal Grey (RAL 7016)</t>
  </si>
  <si>
    <t xml:space="preserve">ALS-LVS-0072</t>
  </si>
  <si>
    <t xml:space="preserve">Aluminium Privacy Slat Screen — 3000x2400mm — Bronze Anodised</t>
  </si>
  <si>
    <t xml:space="preserve">ALS-LVS-0073</t>
  </si>
  <si>
    <t xml:space="preserve">Aluminium Ventilation Louvre Panel — 1000x1800mm — Natural Anodised</t>
  </si>
  <si>
    <t xml:space="preserve">Ventilation Louvre Panel</t>
  </si>
  <si>
    <t xml:space="preserve">ALS-LVS-0074</t>
  </si>
  <si>
    <t xml:space="preserve">Aluminium Ventilation Louvre Panel — 1000x1800mm — Satin White (RAL 9016)</t>
  </si>
  <si>
    <t xml:space="preserve">ALS-LVS-0075</t>
  </si>
  <si>
    <t xml:space="preserve">Aluminium Ventilation Louvre Panel — 1000x1800mm — Charcoal Grey (RAL 7016)</t>
  </si>
  <si>
    <t xml:space="preserve">ALS-LVS-0076</t>
  </si>
  <si>
    <t xml:space="preserve">Aluminium Ventilation Louvre Panel — 1000x1800mm — Bronze Anodised</t>
  </si>
  <si>
    <t xml:space="preserve">ALS-LVS-0077</t>
  </si>
  <si>
    <t xml:space="preserve">Aluminium Ventilation Louvre Panel — 1500x1800mm — Natural Anodised</t>
  </si>
  <si>
    <t xml:space="preserve">ALS-LVS-0078</t>
  </si>
  <si>
    <t xml:space="preserve">Aluminium Ventilation Louvre Panel — 1500x1800mm — Satin White (RAL 9016)</t>
  </si>
  <si>
    <t xml:space="preserve">ALS-LVS-0079</t>
  </si>
  <si>
    <t xml:space="preserve">Aluminium Ventilation Louvre Panel — 1500x1800mm — Charcoal Grey (RAL 7016)</t>
  </si>
  <si>
    <t xml:space="preserve">ALS-LVS-0080</t>
  </si>
  <si>
    <t xml:space="preserve">Aluminium Ventilation Louvre Panel — 1500x1800mm — Bronze Anodised</t>
  </si>
  <si>
    <t xml:space="preserve">ALS-LVS-0081</t>
  </si>
  <si>
    <t xml:space="preserve">Aluminium Ventilation Louvre Panel — 2000x1800mm — Natural Anodised</t>
  </si>
  <si>
    <t xml:space="preserve">ALS-LVS-0082</t>
  </si>
  <si>
    <t xml:space="preserve">Aluminium Ventilation Louvre Panel — 2000x1800mm — Satin White (RAL 9016)</t>
  </si>
  <si>
    <t xml:space="preserve">ALS-LVS-0083</t>
  </si>
  <si>
    <t xml:space="preserve">Aluminium Ventilation Louvre Panel — 2000x1800mm — Charcoal Grey (RAL 7016)</t>
  </si>
  <si>
    <t xml:space="preserve">ALS-LVS-0084</t>
  </si>
  <si>
    <t xml:space="preserve">Aluminium Ventilation Louvre Panel — 2000x1800mm — Bronze Anodised</t>
  </si>
  <si>
    <t xml:space="preserve">ALS-LVS-0085</t>
  </si>
  <si>
    <t xml:space="preserve">Aluminium Ventilation Louvre Panel — 1500x2400mm — Natural Anodised</t>
  </si>
  <si>
    <t xml:space="preserve">ALS-LVS-0086</t>
  </si>
  <si>
    <t xml:space="preserve">Aluminium Ventilation Louvre Panel — 1500x2400mm — Satin White (RAL 9016)</t>
  </si>
  <si>
    <t xml:space="preserve">ALS-LVS-0087</t>
  </si>
  <si>
    <t xml:space="preserve">Aluminium Ventilation Louvre Panel — 1500x2400mm — Charcoal Grey (RAL 7016)</t>
  </si>
  <si>
    <t xml:space="preserve">ALS-LVS-0088</t>
  </si>
  <si>
    <t xml:space="preserve">Aluminium Ventilation Louvre Panel — 1500x2400mm — Bronze Anodised</t>
  </si>
  <si>
    <t xml:space="preserve">ALS-LVS-0089</t>
  </si>
  <si>
    <t xml:space="preserve">Aluminium Ventilation Louvre Panel — 2000x2400mm — Natural Anodised</t>
  </si>
  <si>
    <t xml:space="preserve">ALS-LVS-0090</t>
  </si>
  <si>
    <t xml:space="preserve">Aluminium Ventilation Louvre Panel — 2000x2400mm — Satin White (RAL 9016)</t>
  </si>
  <si>
    <t xml:space="preserve">ALS-LVS-0091</t>
  </si>
  <si>
    <t xml:space="preserve">Aluminium Ventilation Louvre Panel — 2000x2400mm — Charcoal Grey (RAL 7016)</t>
  </si>
  <si>
    <t xml:space="preserve">ALS-LVS-0092</t>
  </si>
  <si>
    <t xml:space="preserve">Aluminium Ventilation Louvre Panel — 2000x2400mm — Bronze Anodised</t>
  </si>
  <si>
    <t xml:space="preserve">ALS-LVS-0093</t>
  </si>
  <si>
    <t xml:space="preserve">Aluminium Ventilation Louvre Panel — 3000x2400mm — Natural Anodised</t>
  </si>
  <si>
    <t xml:space="preserve">ALS-LVS-0094</t>
  </si>
  <si>
    <t xml:space="preserve">Aluminium Ventilation Louvre Panel — 3000x2400mm — Satin White (RAL 9016)</t>
  </si>
  <si>
    <t xml:space="preserve">ALS-LVS-0095</t>
  </si>
  <si>
    <t xml:space="preserve">Aluminium Ventilation Louvre Panel — 3000x2400mm — Charcoal Grey (RAL 7016)</t>
  </si>
  <si>
    <t xml:space="preserve">ALS-LVS-0096</t>
  </si>
  <si>
    <t xml:space="preserve">Aluminium Ventilation Louvre Panel — 3000x2400mm — Bronze Anodised</t>
  </si>
  <si>
    <t xml:space="preserve">ALS-PTN-0001</t>
  </si>
  <si>
    <t xml:space="preserve">Internal Partitioning Systems</t>
  </si>
  <si>
    <t xml:space="preserve">Framed Glass Office Partition Wall — Single-Glazed — Natural Anodised</t>
  </si>
  <si>
    <t xml:space="preserve">Framed Glass Office Partition Wall — Single-Glazed</t>
  </si>
  <si>
    <t xml:space="preserve">Custom to Layout</t>
  </si>
  <si>
    <t xml:space="preserve">ALS-PTN-0002</t>
  </si>
  <si>
    <t xml:space="preserve">Framed Glass Office Partition Wall — Single-Glazed — Satin White (RAL 9016)</t>
  </si>
  <si>
    <t xml:space="preserve">ALS-PTN-0003</t>
  </si>
  <si>
    <t xml:space="preserve">Framed Glass Office Partition Wall — Single-Glazed — Charcoal Grey (RAL 7016)</t>
  </si>
  <si>
    <t xml:space="preserve">ALS-PTN-0004</t>
  </si>
  <si>
    <t xml:space="preserve">Framed Glass Office Partition Wall — Acoustic Double-Glazed — Natural Anodised</t>
  </si>
  <si>
    <t xml:space="preserve">Framed Glass Office Partition Wall — Acoustic Double-Glazed</t>
  </si>
  <si>
    <t xml:space="preserve">ALS-PTN-0005</t>
  </si>
  <si>
    <t xml:space="preserve">Framed Glass Office Partition Wall — Acoustic Double-Glazed — Satin White (RAL 9016)</t>
  </si>
  <si>
    <t xml:space="preserve">ALS-PTN-0006</t>
  </si>
  <si>
    <t xml:space="preserve">Framed Glass Office Partition Wall — Acoustic Double-Glazed — Charcoal Grey (RAL 7016)</t>
  </si>
  <si>
    <t xml:space="preserve">ALS-PTN-0007</t>
  </si>
  <si>
    <t xml:space="preserve">Partition Swing Door Unit, Fully-Glazed — Natural Anodised</t>
  </si>
  <si>
    <t xml:space="preserve">Partition Swing Door Unit, Fully-Glazed</t>
  </si>
  <si>
    <t xml:space="preserve">ALS-PTN-0008</t>
  </si>
  <si>
    <t xml:space="preserve">Partition Swing Door Unit, Fully-Glazed — Satin White (RAL 9016)</t>
  </si>
  <si>
    <t xml:space="preserve">ALS-PTN-0009</t>
  </si>
  <si>
    <t xml:space="preserve">Partition Swing Door Unit, Fully-Glazed — Charcoal Grey (RAL 7016)</t>
  </si>
  <si>
    <t xml:space="preserve">ALS-PTN-0010</t>
  </si>
  <si>
    <t xml:space="preserve">Partition Sliding Door Unit, Fully-Glazed — Natural Anodised</t>
  </si>
  <si>
    <t xml:space="preserve">Partition Sliding Door Unit, Fully-Glazed</t>
  </si>
  <si>
    <t xml:space="preserve">ALS-PTN-0011</t>
  </si>
  <si>
    <t xml:space="preserve">Partition Sliding Door Unit, Fully-Glazed — Satin White (RAL 9016)</t>
  </si>
  <si>
    <t xml:space="preserve">ALS-PTN-0012</t>
  </si>
  <si>
    <t xml:space="preserve">Partition Sliding Door Unit, Fully-Glazed — Charcoal Grey (RAL 7016)</t>
  </si>
  <si>
    <t xml:space="preserve">ALS-SKY-0001</t>
  </si>
  <si>
    <t xml:space="preserve">Aluminium-Framed Fixed Dome Skylight — 600x600mm — 6.38mm Laminated Safety</t>
  </si>
  <si>
    <t xml:space="preserve">Fixed Dome Skylight</t>
  </si>
  <si>
    <t xml:space="preserve">600x600mm</t>
  </si>
  <si>
    <t xml:space="preserve">ALS-SKY-0002</t>
  </si>
  <si>
    <t xml:space="preserve">Aluminium-Framed Fixed Dome Skylight — 600x600mm — IGU Double-Glazed (4-12Ar-4 Low-E)</t>
  </si>
  <si>
    <t xml:space="preserve">ALS-SKY-0003</t>
  </si>
  <si>
    <t xml:space="preserve">Aluminium-Framed Fixed Dome Skylight — 900x900mm — 6.38mm Laminated Safety</t>
  </si>
  <si>
    <t xml:space="preserve">900x900mm</t>
  </si>
  <si>
    <t xml:space="preserve">ALS-SKY-0004</t>
  </si>
  <si>
    <t xml:space="preserve">Aluminium-Framed Fixed Dome Skylight — 900x900mm — IGU Double-Glazed (4-12Ar-4 Low-E)</t>
  </si>
  <si>
    <t xml:space="preserve">ALS-SKY-0005</t>
  </si>
  <si>
    <t xml:space="preserve">Aluminium-Framed Fixed Dome Skylight — 1200x900mm — 6.38mm Laminated Safety</t>
  </si>
  <si>
    <t xml:space="preserve">1200x900mm</t>
  </si>
  <si>
    <t xml:space="preserve">ALS-SKY-0006</t>
  </si>
  <si>
    <t xml:space="preserve">Aluminium-Framed Fixed Dome Skylight — 1200x900mm — IGU Double-Glazed (4-12Ar-4 Low-E)</t>
  </si>
  <si>
    <t xml:space="preserve">ALS-SKY-0007</t>
  </si>
  <si>
    <t xml:space="preserve">Aluminium-Framed Fixed Dome Skylight — 1200x1200mm — 6.38mm Laminated Safety</t>
  </si>
  <si>
    <t xml:space="preserve">1200x1200mm</t>
  </si>
  <si>
    <t xml:space="preserve">ALS-SKY-0008</t>
  </si>
  <si>
    <t xml:space="preserve">Aluminium-Framed Fixed Dome Skylight — 1200x1200mm — IGU Double-Glazed (4-12Ar-4 Low-E)</t>
  </si>
  <si>
    <t xml:space="preserve">ALS-SKY-0009</t>
  </si>
  <si>
    <t xml:space="preserve">Aluminium-Framed Fixed Dome Skylight — 1800x1200mm — 6.38mm Laminated Safety</t>
  </si>
  <si>
    <t xml:space="preserve">1800x1200mm</t>
  </si>
  <si>
    <t xml:space="preserve">ALS-SKY-0010</t>
  </si>
  <si>
    <t xml:space="preserve">Aluminium-Framed Fixed Dome Skylight — 1800x1200mm — IGU Double-Glazed (4-12Ar-4 Low-E)</t>
  </si>
  <si>
    <t xml:space="preserve">ALS-SKY-0011</t>
  </si>
  <si>
    <t xml:space="preserve">Aluminium-Framed Fixed Dome Skylight — 2400x1200mm — 6.38mm Laminated Safety</t>
  </si>
  <si>
    <t xml:space="preserve">2400x1200mm</t>
  </si>
  <si>
    <t xml:space="preserve">ALS-SKY-0012</t>
  </si>
  <si>
    <t xml:space="preserve">Aluminium-Framed Fixed Dome Skylight — 2400x1200mm — IGU Double-Glazed (4-12Ar-4 Low-E)</t>
  </si>
  <si>
    <t xml:space="preserve">ALS-SKY-0013</t>
  </si>
  <si>
    <t xml:space="preserve">Aluminium-Framed Flat Glass Rooflight — 600x600mm — 6.38mm Laminated Safety</t>
  </si>
  <si>
    <t xml:space="preserve">Flat Glass Rooflight</t>
  </si>
  <si>
    <t xml:space="preserve">ALS-SKY-0014</t>
  </si>
  <si>
    <t xml:space="preserve">Aluminium-Framed Flat Glass Rooflight — 600x600mm — IGU Double-Glazed (4-12Ar-4 Low-E)</t>
  </si>
  <si>
    <t xml:space="preserve">ALS-SKY-0015</t>
  </si>
  <si>
    <t xml:space="preserve">Aluminium-Framed Flat Glass Rooflight — 900x900mm — 6.38mm Laminated Safety</t>
  </si>
  <si>
    <t xml:space="preserve">ALS-SKY-0016</t>
  </si>
  <si>
    <t xml:space="preserve">Aluminium-Framed Flat Glass Rooflight — 900x900mm — IGU Double-Glazed (4-12Ar-4 Low-E)</t>
  </si>
  <si>
    <t xml:space="preserve">ALS-SKY-0017</t>
  </si>
  <si>
    <t xml:space="preserve">Aluminium-Framed Flat Glass Rooflight — 1200x900mm — 6.38mm Laminated Safety</t>
  </si>
  <si>
    <t xml:space="preserve">ALS-SKY-0018</t>
  </si>
  <si>
    <t xml:space="preserve">Aluminium-Framed Flat Glass Rooflight — 1200x900mm — IGU Double-Glazed (4-12Ar-4 Low-E)</t>
  </si>
  <si>
    <t xml:space="preserve">ALS-SKY-0019</t>
  </si>
  <si>
    <t xml:space="preserve">Aluminium-Framed Flat Glass Rooflight — 1200x1200mm — 6.38mm Laminated Safety</t>
  </si>
  <si>
    <t xml:space="preserve">ALS-SKY-0020</t>
  </si>
  <si>
    <t xml:space="preserve">Aluminium-Framed Flat Glass Rooflight — 1200x1200mm — IGU Double-Glazed (4-12Ar-4 Low-E)</t>
  </si>
  <si>
    <t xml:space="preserve">ALS-SKY-0021</t>
  </si>
  <si>
    <t xml:space="preserve">Aluminium-Framed Flat Glass Rooflight — 1800x1200mm — 6.38mm Laminated Safety</t>
  </si>
  <si>
    <t xml:space="preserve">ALS-SKY-0022</t>
  </si>
  <si>
    <t xml:space="preserve">Aluminium-Framed Flat Glass Rooflight — 1800x1200mm — IGU Double-Glazed (4-12Ar-4 Low-E)</t>
  </si>
  <si>
    <t xml:space="preserve">ALS-SKY-0023</t>
  </si>
  <si>
    <t xml:space="preserve">Aluminium-Framed Flat Glass Rooflight — 2400x1200mm — 6.38mm Laminated Safety</t>
  </si>
  <si>
    <t xml:space="preserve">ALS-SKY-0024</t>
  </si>
  <si>
    <t xml:space="preserve">Aluminium-Framed Flat Glass Rooflight — 2400x1200mm — IGU Double-Glazed (4-12Ar-4 Low-E)</t>
  </si>
  <si>
    <t xml:space="preserve">ALS-SKY-0025</t>
  </si>
  <si>
    <t xml:space="preserve">Aluminium-Framed Ridge Skylight Strip — 600x600mm — 6.38mm Laminated Safety</t>
  </si>
  <si>
    <t xml:space="preserve">Ridge Skylight Strip</t>
  </si>
  <si>
    <t xml:space="preserve">ALS-SKY-0026</t>
  </si>
  <si>
    <t xml:space="preserve">Aluminium-Framed Ridge Skylight Strip — 600x600mm — IGU Double-Glazed (4-12Ar-4 Low-E)</t>
  </si>
  <si>
    <t xml:space="preserve">ALS-SKY-0027</t>
  </si>
  <si>
    <t xml:space="preserve">Aluminium-Framed Ridge Skylight Strip — 900x900mm — 6.38mm Laminated Safety</t>
  </si>
  <si>
    <t xml:space="preserve">ALS-SKY-0028</t>
  </si>
  <si>
    <t xml:space="preserve">Aluminium-Framed Ridge Skylight Strip — 900x900mm — IGU Double-Glazed (4-12Ar-4 Low-E)</t>
  </si>
  <si>
    <t xml:space="preserve">ALS-SKY-0029</t>
  </si>
  <si>
    <t xml:space="preserve">Aluminium-Framed Ridge Skylight Strip — 1200x900mm — 6.38mm Laminated Safety</t>
  </si>
  <si>
    <t xml:space="preserve">ALS-SKY-0030</t>
  </si>
  <si>
    <t xml:space="preserve">Aluminium-Framed Ridge Skylight Strip — 1200x900mm — IGU Double-Glazed (4-12Ar-4 Low-E)</t>
  </si>
  <si>
    <t xml:space="preserve">ALS-SKY-0031</t>
  </si>
  <si>
    <t xml:space="preserve">Aluminium-Framed Ridge Skylight Strip — 1200x1200mm — 6.38mm Laminated Safety</t>
  </si>
  <si>
    <t xml:space="preserve">ALS-SKY-0032</t>
  </si>
  <si>
    <t xml:space="preserve">Aluminium-Framed Ridge Skylight Strip — 1200x1200mm — IGU Double-Glazed (4-12Ar-4 Low-E)</t>
  </si>
  <si>
    <t xml:space="preserve">ALS-SKY-0033</t>
  </si>
  <si>
    <t xml:space="preserve">Aluminium-Framed Ridge Skylight Strip — 1800x1200mm — 6.38mm Laminated Safety</t>
  </si>
  <si>
    <t xml:space="preserve">ALS-SKY-0034</t>
  </si>
  <si>
    <t xml:space="preserve">Aluminium-Framed Ridge Skylight Strip — 1800x1200mm — IGU Double-Glazed (4-12Ar-4 Low-E)</t>
  </si>
  <si>
    <t xml:space="preserve">ALS-SKY-0035</t>
  </si>
  <si>
    <t xml:space="preserve">Aluminium-Framed Ridge Skylight Strip — 2400x1200mm — 6.38mm Laminated Safety</t>
  </si>
  <si>
    <t xml:space="preserve">ALS-SKY-0036</t>
  </si>
  <si>
    <t xml:space="preserve">Aluminium-Framed Ridge Skylight Strip — 2400x1200mm — IGU Double-Glazed (4-12Ar-4 Low-E)</t>
  </si>
  <si>
    <t xml:space="preserve">ALS-GRD-0001</t>
  </si>
  <si>
    <t xml:space="preserve">Aluminium Sectional Garage Door — Ribbed Panel — 2400x2100mm — Natural Anodised</t>
  </si>
  <si>
    <t xml:space="preserve">Sectional Garage Door — Ribbed Panel</t>
  </si>
  <si>
    <t xml:space="preserve">2400x2100mm</t>
  </si>
  <si>
    <t xml:space="preserve">ALS-GRD-0002</t>
  </si>
  <si>
    <t xml:space="preserve">Aluminium Sectional Garage Door — Ribbed Panel — 2400x2100mm — Satin White (RAL 9016)</t>
  </si>
  <si>
    <t xml:space="preserve">ALS-GRD-0003</t>
  </si>
  <si>
    <t xml:space="preserve">Aluminium Sectional Garage Door — Ribbed Panel — 2400x2100mm — Charcoal Grey (RAL 7016)</t>
  </si>
  <si>
    <t xml:space="preserve">ALS-GRD-0004</t>
  </si>
  <si>
    <t xml:space="preserve">Aluminium Sectional Garage Door — Ribbed Panel — 2400x2100mm — Bronze Anodised</t>
  </si>
  <si>
    <t xml:space="preserve">ALS-GRD-0005</t>
  </si>
  <si>
    <t xml:space="preserve">Aluminium Sectional Garage Door — Ribbed Panel — 2400x2100mm — Graphite Black (RAL 9005)</t>
  </si>
  <si>
    <t xml:space="preserve">ALS-GRD-0006</t>
  </si>
  <si>
    <t xml:space="preserve">Aluminium Sectional Garage Door — Ribbed Panel — 2700x2100mm — Natural Anodised</t>
  </si>
  <si>
    <t xml:space="preserve">2700x2100mm</t>
  </si>
  <si>
    <t xml:space="preserve">ALS-GRD-0007</t>
  </si>
  <si>
    <t xml:space="preserve">Aluminium Sectional Garage Door — Ribbed Panel — 2700x2100mm — Satin White (RAL 9016)</t>
  </si>
  <si>
    <t xml:space="preserve">ALS-GRD-0008</t>
  </si>
  <si>
    <t xml:space="preserve">Aluminium Sectional Garage Door — Ribbed Panel — 2700x2100mm — Charcoal Grey (RAL 7016)</t>
  </si>
  <si>
    <t xml:space="preserve">ALS-GRD-0009</t>
  </si>
  <si>
    <t xml:space="preserve">Aluminium Sectional Garage Door — Ribbed Panel — 2700x2100mm — Bronze Anodised</t>
  </si>
  <si>
    <t xml:space="preserve">ALS-GRD-0010</t>
  </si>
  <si>
    <t xml:space="preserve">Aluminium Sectional Garage Door — Ribbed Panel — 2700x2100mm — Graphite Black (RAL 9005)</t>
  </si>
  <si>
    <t xml:space="preserve">ALS-GRD-0011</t>
  </si>
  <si>
    <t xml:space="preserve">Aluminium Sectional Garage Door — Ribbed Panel — 3000x2100mm — Natural Anodised</t>
  </si>
  <si>
    <t xml:space="preserve">3000x2100mm</t>
  </si>
  <si>
    <t xml:space="preserve">ALS-GRD-0012</t>
  </si>
  <si>
    <t xml:space="preserve">Aluminium Sectional Garage Door — Ribbed Panel — 3000x2100mm — Satin White (RAL 9016)</t>
  </si>
  <si>
    <t xml:space="preserve">ALS-GRD-0013</t>
  </si>
  <si>
    <t xml:space="preserve">Aluminium Sectional Garage Door — Ribbed Panel — 3000x2100mm — Charcoal Grey (RAL 7016)</t>
  </si>
  <si>
    <t xml:space="preserve">ALS-GRD-0014</t>
  </si>
  <si>
    <t xml:space="preserve">Aluminium Sectional Garage Door — Ribbed Panel — 3000x2100mm — Bronze Anodised</t>
  </si>
  <si>
    <t xml:space="preserve">ALS-GRD-0015</t>
  </si>
  <si>
    <t xml:space="preserve">Aluminium Sectional Garage Door — Ribbed Panel — 3000x2100mm — Graphite Black (RAL 9005)</t>
  </si>
  <si>
    <t xml:space="preserve">ALS-GRD-0016</t>
  </si>
  <si>
    <t xml:space="preserve">Aluminium Sectional Garage Door — Ribbed Panel — 4800x2100mm — Natural Anodised</t>
  </si>
  <si>
    <t xml:space="preserve">4800x2100mm</t>
  </si>
  <si>
    <t xml:space="preserve">ALS-GRD-0017</t>
  </si>
  <si>
    <t xml:space="preserve">Aluminium Sectional Garage Door — Ribbed Panel — 4800x2100mm — Satin White (RAL 9016)</t>
  </si>
  <si>
    <t xml:space="preserve">ALS-GRD-0018</t>
  </si>
  <si>
    <t xml:space="preserve">Aluminium Sectional Garage Door — Ribbed Panel — 4800x2100mm — Charcoal Grey (RAL 7016)</t>
  </si>
  <si>
    <t xml:space="preserve">ALS-GRD-0019</t>
  </si>
  <si>
    <t xml:space="preserve">Aluminium Sectional Garage Door — Ribbed Panel — 4800x2100mm — Bronze Anodised</t>
  </si>
  <si>
    <t xml:space="preserve">ALS-GRD-0020</t>
  </si>
  <si>
    <t xml:space="preserve">Aluminium Sectional Garage Door — Ribbed Panel — 4800x2100mm — Graphite Black (RAL 9005)</t>
  </si>
  <si>
    <t xml:space="preserve">ALS-GRD-0021</t>
  </si>
  <si>
    <t xml:space="preserve">Aluminium Sectional Garage Door — Ribbed Panel — 5400x2100mm — Natural Anodised</t>
  </si>
  <si>
    <t xml:space="preserve">5400x2100mm</t>
  </si>
  <si>
    <t xml:space="preserve">ALS-GRD-0022</t>
  </si>
  <si>
    <t xml:space="preserve">Aluminium Sectional Garage Door — Ribbed Panel — 5400x2100mm — Satin White (RAL 9016)</t>
  </si>
  <si>
    <t xml:space="preserve">ALS-GRD-0023</t>
  </si>
  <si>
    <t xml:space="preserve">Aluminium Sectional Garage Door — Ribbed Panel — 5400x2100mm — Charcoal Grey (RAL 7016)</t>
  </si>
  <si>
    <t xml:space="preserve">ALS-GRD-0024</t>
  </si>
  <si>
    <t xml:space="preserve">Aluminium Sectional Garage Door — Ribbed Panel — 5400x2100mm — Bronze Anodised</t>
  </si>
  <si>
    <t xml:space="preserve">ALS-GRD-0025</t>
  </si>
  <si>
    <t xml:space="preserve">Aluminium Sectional Garage Door — Ribbed Panel — 5400x2100mm — Graphite Black (RAL 9005)</t>
  </si>
  <si>
    <t xml:space="preserve">ALS-GRD-0026</t>
  </si>
  <si>
    <t xml:space="preserve">Aluminium Sectional Garage Door — Ribbed Panel — 5400x2400mm — Natural Anodised</t>
  </si>
  <si>
    <t xml:space="preserve">5400x2400mm</t>
  </si>
  <si>
    <t xml:space="preserve">ALS-GRD-0027</t>
  </si>
  <si>
    <t xml:space="preserve">Aluminium Sectional Garage Door — Ribbed Panel — 5400x2400mm — Satin White (RAL 9016)</t>
  </si>
  <si>
    <t xml:space="preserve">ALS-GRD-0028</t>
  </si>
  <si>
    <t xml:space="preserve">Aluminium Sectional Garage Door — Ribbed Panel — 5400x2400mm — Charcoal Grey (RAL 7016)</t>
  </si>
  <si>
    <t xml:space="preserve">ALS-GRD-0029</t>
  </si>
  <si>
    <t xml:space="preserve">Aluminium Sectional Garage Door — Ribbed Panel — 5400x2400mm — Bronze Anodised</t>
  </si>
  <si>
    <t xml:space="preserve">ALS-GRD-0030</t>
  </si>
  <si>
    <t xml:space="preserve">Aluminium Sectional Garage Door — Ribbed Panel — 5400x2400mm — Graphite Black (RAL 9005)</t>
  </si>
  <si>
    <t xml:space="preserve">ALS-GRD-0031</t>
  </si>
  <si>
    <t xml:space="preserve">Aluminium Sectional Garage Door — Flush Panel — 2400x2100mm — Natural Anodised</t>
  </si>
  <si>
    <t xml:space="preserve">Sectional Garage Door — Flush Panel</t>
  </si>
  <si>
    <t xml:space="preserve">ALS-GRD-0032</t>
  </si>
  <si>
    <t xml:space="preserve">Aluminium Sectional Garage Door — Flush Panel — 2400x2100mm — Satin White (RAL 9016)</t>
  </si>
  <si>
    <t xml:space="preserve">ALS-GRD-0033</t>
  </si>
  <si>
    <t xml:space="preserve">Aluminium Sectional Garage Door — Flush Panel — 2400x2100mm — Charcoal Grey (RAL 7016)</t>
  </si>
  <si>
    <t xml:space="preserve">ALS-GRD-0034</t>
  </si>
  <si>
    <t xml:space="preserve">Aluminium Sectional Garage Door — Flush Panel — 2400x2100mm — Bronze Anodised</t>
  </si>
  <si>
    <t xml:space="preserve">ALS-GRD-0035</t>
  </si>
  <si>
    <t xml:space="preserve">Aluminium Sectional Garage Door — Flush Panel — 2400x2100mm — Graphite Black (RAL 9005)</t>
  </si>
  <si>
    <t xml:space="preserve">ALS-GRD-0036</t>
  </si>
  <si>
    <t xml:space="preserve">Aluminium Sectional Garage Door — Flush Panel — 2700x2100mm — Natural Anodised</t>
  </si>
  <si>
    <t xml:space="preserve">ALS-GRD-0037</t>
  </si>
  <si>
    <t xml:space="preserve">Aluminium Sectional Garage Door — Flush Panel — 2700x2100mm — Satin White (RAL 9016)</t>
  </si>
  <si>
    <t xml:space="preserve">ALS-GRD-0038</t>
  </si>
  <si>
    <t xml:space="preserve">Aluminium Sectional Garage Door — Flush Panel — 2700x2100mm — Charcoal Grey (RAL 7016)</t>
  </si>
  <si>
    <t xml:space="preserve">ALS-GRD-0039</t>
  </si>
  <si>
    <t xml:space="preserve">Aluminium Sectional Garage Door — Flush Panel — 2700x2100mm — Bronze Anodised</t>
  </si>
  <si>
    <t xml:space="preserve">ALS-GRD-0040</t>
  </si>
  <si>
    <t xml:space="preserve">Aluminium Sectional Garage Door — Flush Panel — 2700x2100mm — Graphite Black (RAL 9005)</t>
  </si>
  <si>
    <t xml:space="preserve">ALS-GRD-0041</t>
  </si>
  <si>
    <t xml:space="preserve">Aluminium Sectional Garage Door — Flush Panel — 3000x2100mm — Natural Anodised</t>
  </si>
  <si>
    <t xml:space="preserve">ALS-GRD-0042</t>
  </si>
  <si>
    <t xml:space="preserve">Aluminium Sectional Garage Door — Flush Panel — 3000x2100mm — Satin White (RAL 9016)</t>
  </si>
  <si>
    <t xml:space="preserve">ALS-GRD-0043</t>
  </si>
  <si>
    <t xml:space="preserve">Aluminium Sectional Garage Door — Flush Panel — 3000x2100mm — Charcoal Grey (RAL 7016)</t>
  </si>
  <si>
    <t xml:space="preserve">ALS-GRD-0044</t>
  </si>
  <si>
    <t xml:space="preserve">Aluminium Sectional Garage Door — Flush Panel — 3000x2100mm — Bronze Anodised</t>
  </si>
  <si>
    <t xml:space="preserve">ALS-GRD-0045</t>
  </si>
  <si>
    <t xml:space="preserve">Aluminium Sectional Garage Door — Flush Panel — 3000x2100mm — Graphite Black (RAL 9005)</t>
  </si>
  <si>
    <t xml:space="preserve">ALS-GRD-0046</t>
  </si>
  <si>
    <t xml:space="preserve">Aluminium Sectional Garage Door — Flush Panel — 4800x2100mm — Natural Anodised</t>
  </si>
  <si>
    <t xml:space="preserve">ALS-GRD-0047</t>
  </si>
  <si>
    <t xml:space="preserve">Aluminium Sectional Garage Door — Flush Panel — 4800x2100mm — Satin White (RAL 9016)</t>
  </si>
  <si>
    <t xml:space="preserve">ALS-GRD-0048</t>
  </si>
  <si>
    <t xml:space="preserve">Aluminium Sectional Garage Door — Flush Panel — 4800x2100mm — Charcoal Grey (RAL 7016)</t>
  </si>
  <si>
    <t xml:space="preserve">ALS-GRD-0049</t>
  </si>
  <si>
    <t xml:space="preserve">Aluminium Sectional Garage Door — Flush Panel — 4800x2100mm — Bronze Anodised</t>
  </si>
  <si>
    <t xml:space="preserve">ALS-GRD-0050</t>
  </si>
  <si>
    <t xml:space="preserve">Aluminium Sectional Garage Door — Flush Panel — 4800x2100mm — Graphite Black (RAL 9005)</t>
  </si>
  <si>
    <t xml:space="preserve">ALS-GRD-0051</t>
  </si>
  <si>
    <t xml:space="preserve">Aluminium Sectional Garage Door — Flush Panel — 5400x2100mm — Natural Anodised</t>
  </si>
  <si>
    <t xml:space="preserve">ALS-GRD-0052</t>
  </si>
  <si>
    <t xml:space="preserve">Aluminium Sectional Garage Door — Flush Panel — 5400x2100mm — Satin White (RAL 9016)</t>
  </si>
  <si>
    <t xml:space="preserve">ALS-GRD-0053</t>
  </si>
  <si>
    <t xml:space="preserve">Aluminium Sectional Garage Door — Flush Panel — 5400x2100mm — Charcoal Grey (RAL 7016)</t>
  </si>
  <si>
    <t xml:space="preserve">ALS-GRD-0054</t>
  </si>
  <si>
    <t xml:space="preserve">Aluminium Sectional Garage Door — Flush Panel — 5400x2100mm — Bronze Anodised</t>
  </si>
  <si>
    <t xml:space="preserve">ALS-GRD-0055</t>
  </si>
  <si>
    <t xml:space="preserve">Aluminium Sectional Garage Door — Flush Panel — 5400x2100mm — Graphite Black (RAL 9005)</t>
  </si>
  <si>
    <t xml:space="preserve">ALS-GRD-0056</t>
  </si>
  <si>
    <t xml:space="preserve">Aluminium Sectional Garage Door — Flush Panel — 5400x2400mm — Natural Anodised</t>
  </si>
  <si>
    <t xml:space="preserve">ALS-GRD-0057</t>
  </si>
  <si>
    <t xml:space="preserve">Aluminium Sectional Garage Door — Flush Panel — 5400x2400mm — Satin White (RAL 9016)</t>
  </si>
  <si>
    <t xml:space="preserve">ALS-GRD-0058</t>
  </si>
  <si>
    <t xml:space="preserve">Aluminium Sectional Garage Door — Flush Panel — 5400x2400mm — Charcoal Grey (RAL 7016)</t>
  </si>
  <si>
    <t xml:space="preserve">ALS-GRD-0059</t>
  </si>
  <si>
    <t xml:space="preserve">Aluminium Sectional Garage Door — Flush Panel — 5400x2400mm — Bronze Anodised</t>
  </si>
  <si>
    <t xml:space="preserve">ALS-GRD-0060</t>
  </si>
  <si>
    <t xml:space="preserve">Aluminium Sectional Garage Door — Flush Panel — 5400x2400mm — Graphite Black (RAL 9005)</t>
  </si>
  <si>
    <t xml:space="preserve">ALS-FGR-0001</t>
  </si>
  <si>
    <t xml:space="preserve">Fascias, Gutters &amp; Rainwater</t>
  </si>
  <si>
    <t xml:space="preserve">Aluminium Fascia Board Profile — Flat — Natural Anodised</t>
  </si>
  <si>
    <t xml:space="preserve">Fascia Board Profile — Flat</t>
  </si>
  <si>
    <t xml:space="preserve">Standard Profile</t>
  </si>
  <si>
    <t xml:space="preserve">Residential/Commercial/Industrial</t>
  </si>
  <si>
    <t xml:space="preserve">ALS-FGR-0002</t>
  </si>
  <si>
    <t xml:space="preserve">Aluminium Fascia Board Profile — Flat — Satin White (RAL 9016)</t>
  </si>
  <si>
    <t xml:space="preserve">ALS-FGR-0003</t>
  </si>
  <si>
    <t xml:space="preserve">Aluminium Fascia Board Profile — Flat — Charcoal Grey (RAL 7016)</t>
  </si>
  <si>
    <t xml:space="preserve">ALS-FGR-0004</t>
  </si>
  <si>
    <t xml:space="preserve">Aluminium Fascia Board Profile — Vented — Natural Anodised</t>
  </si>
  <si>
    <t xml:space="preserve">Fascia Board Profile — Vented</t>
  </si>
  <si>
    <t xml:space="preserve">ALS-FGR-0005</t>
  </si>
  <si>
    <t xml:space="preserve">Aluminium Fascia Board Profile — Vented — Satin White (RAL 9016)</t>
  </si>
  <si>
    <t xml:space="preserve">ALS-FGR-0006</t>
  </si>
  <si>
    <t xml:space="preserve">Aluminium Fascia Board Profile — Vented — Charcoal Grey (RAL 7016)</t>
  </si>
  <si>
    <t xml:space="preserve">ALS-FGR-0007</t>
  </si>
  <si>
    <t xml:space="preserve">Aluminium Box Gutter Profile — Natural Anodised</t>
  </si>
  <si>
    <t xml:space="preserve">Box Gutter Profile</t>
  </si>
  <si>
    <t xml:space="preserve">ALS-FGR-0008</t>
  </si>
  <si>
    <t xml:space="preserve">Aluminium Box Gutter Profile — Satin White (RAL 9016)</t>
  </si>
  <si>
    <t xml:space="preserve">ALS-FGR-0009</t>
  </si>
  <si>
    <t xml:space="preserve">Aluminium Box Gutter Profile — Charcoal Grey (RAL 7016)</t>
  </si>
  <si>
    <t xml:space="preserve">ALS-FGR-0010</t>
  </si>
  <si>
    <t xml:space="preserve">Aluminium Half-Round Gutter Profile — Natural Anodised</t>
  </si>
  <si>
    <t xml:space="preserve">Half-Round Gutter Profile</t>
  </si>
  <si>
    <t xml:space="preserve">ALS-FGR-0011</t>
  </si>
  <si>
    <t xml:space="preserve">Aluminium Half-Round Gutter Profile — Satin White (RAL 9016)</t>
  </si>
  <si>
    <t xml:space="preserve">ALS-FGR-0012</t>
  </si>
  <si>
    <t xml:space="preserve">Aluminium Half-Round Gutter Profile — Charcoal Grey (RAL 7016)</t>
  </si>
  <si>
    <t xml:space="preserve">ALS-FGR-0013</t>
  </si>
  <si>
    <t xml:space="preserve">Aluminium Downpipe — Round 76mm — Natural Anodised</t>
  </si>
  <si>
    <t xml:space="preserve">Downpipe — Round 76mm</t>
  </si>
  <si>
    <t xml:space="preserve">ALS-FGR-0014</t>
  </si>
  <si>
    <t xml:space="preserve">Aluminium Downpipe — Round 76mm — Satin White (RAL 9016)</t>
  </si>
  <si>
    <t xml:space="preserve">ALS-FGR-0015</t>
  </si>
  <si>
    <t xml:space="preserve">Aluminium Downpipe — Round 76mm — Charcoal Grey (RAL 7016)</t>
  </si>
  <si>
    <t xml:space="preserve">ALS-FGR-0016</t>
  </si>
  <si>
    <t xml:space="preserve">Aluminium Downpipe — Square 75mm — Natural Anodised</t>
  </si>
  <si>
    <t xml:space="preserve">Downpipe — Square 75mm</t>
  </si>
  <si>
    <t xml:space="preserve">ALS-FGR-0017</t>
  </si>
  <si>
    <t xml:space="preserve">Aluminium Downpipe — Square 75mm — Satin White (RAL 9016)</t>
  </si>
  <si>
    <t xml:space="preserve">ALS-FGR-0018</t>
  </si>
  <si>
    <t xml:space="preserve">Aluminium Downpipe — Square 75mm — Charcoal Grey (RAL 7016)</t>
  </si>
  <si>
    <t xml:space="preserve">ALS-FGR-0019</t>
  </si>
  <si>
    <t xml:space="preserve">Aluminium Gutter Bracket — Natural Anodised</t>
  </si>
  <si>
    <t xml:space="preserve">Gutter Bracket</t>
  </si>
  <si>
    <t xml:space="preserve">ALS-FGR-0020</t>
  </si>
  <si>
    <t xml:space="preserve">Aluminium Gutter Bracket — Satin White (RAL 9016)</t>
  </si>
  <si>
    <t xml:space="preserve">ALS-FGR-0021</t>
  </si>
  <si>
    <t xml:space="preserve">Aluminium Gutter Bracket — Charcoal Grey (RAL 7016)</t>
  </si>
  <si>
    <t xml:space="preserve">ALS-FGR-0022</t>
  </si>
  <si>
    <t xml:space="preserve">Aluminium External Gutter Outlet — Natural Anodised</t>
  </si>
  <si>
    <t xml:space="preserve">External Gutter Outlet</t>
  </si>
  <si>
    <t xml:space="preserve">ALS-FGR-0023</t>
  </si>
  <si>
    <t xml:space="preserve">Aluminium External Gutter Outlet — Satin White (RAL 9016)</t>
  </si>
  <si>
    <t xml:space="preserve">ALS-FGR-0024</t>
  </si>
  <si>
    <t xml:space="preserve">Aluminium External Gutter Outlet — Charcoal Grey (RAL 7016)</t>
  </si>
  <si>
    <t xml:space="preserve">ALS-EXT-0001</t>
  </si>
  <si>
    <t xml:space="preserve">Aluminium Box Section 20x20mm — 3.0m length — Natural Anodised</t>
  </si>
  <si>
    <t xml:space="preserve">3.0m length</t>
  </si>
  <si>
    <t xml:space="preserve">Commercial/Industrial (CMI Partner Supply)</t>
  </si>
  <si>
    <t xml:space="preserve">ALS-EXT-0002</t>
  </si>
  <si>
    <t xml:space="preserve">Aluminium Box Section 20x20mm — 3.0m length — Satin White (RAL 9016)</t>
  </si>
  <si>
    <t xml:space="preserve">ALS-EXT-0003</t>
  </si>
  <si>
    <t xml:space="preserve">Aluminium Box Section 20x20mm — 3.0m length — Charcoal Grey (RAL 7016)</t>
  </si>
  <si>
    <t xml:space="preserve">ALS-EXT-0004</t>
  </si>
  <si>
    <t xml:space="preserve">Aluminium Box Section 20x20mm — 4.0m length — Natural Anodised</t>
  </si>
  <si>
    <t xml:space="preserve">4.0m length</t>
  </si>
  <si>
    <t xml:space="preserve">ALS-EXT-0005</t>
  </si>
  <si>
    <t xml:space="preserve">Aluminium Box Section 20x20mm — 4.0m length — Satin White (RAL 9016)</t>
  </si>
  <si>
    <t xml:space="preserve">ALS-EXT-0006</t>
  </si>
  <si>
    <t xml:space="preserve">Aluminium Box Section 20x20mm — 4.0m length — Charcoal Grey (RAL 7016)</t>
  </si>
  <si>
    <t xml:space="preserve">ALS-EXT-0007</t>
  </si>
  <si>
    <t xml:space="preserve">Aluminium Box Section 20x20mm — 5.8m length — Natural Anodised</t>
  </si>
  <si>
    <t xml:space="preserve">5.8m length</t>
  </si>
  <si>
    <t xml:space="preserve">ALS-EXT-0008</t>
  </si>
  <si>
    <t xml:space="preserve">Aluminium Box Section 20x20mm — 5.8m length — Satin White (RAL 9016)</t>
  </si>
  <si>
    <t xml:space="preserve">ALS-EXT-0009</t>
  </si>
  <si>
    <t xml:space="preserve">Aluminium Box Section 20x20mm — 5.8m length — Charcoal Grey (RAL 7016)</t>
  </si>
  <si>
    <t xml:space="preserve">ALS-EXT-0010</t>
  </si>
  <si>
    <t xml:space="preserve">Aluminium Box Section 20x20mm — 6.5m length — Natural Anodised</t>
  </si>
  <si>
    <t xml:space="preserve">6.5m length</t>
  </si>
  <si>
    <t xml:space="preserve">ALS-EXT-0011</t>
  </si>
  <si>
    <t xml:space="preserve">Aluminium Box Section 20x20mm — 6.5m length — Satin White (RAL 9016)</t>
  </si>
  <si>
    <t xml:space="preserve">ALS-EXT-0012</t>
  </si>
  <si>
    <t xml:space="preserve">Aluminium Box Section 20x20mm — 6.5m length — Charcoal Grey (RAL 7016)</t>
  </si>
  <si>
    <t xml:space="preserve">ALS-EXT-0013</t>
  </si>
  <si>
    <t xml:space="preserve">Aluminium Box Section 25x25mm — 3.0m length — Natural Anodised</t>
  </si>
  <si>
    <t xml:space="preserve">ALS-EXT-0014</t>
  </si>
  <si>
    <t xml:space="preserve">Aluminium Box Section 25x25mm — 3.0m length — Satin White (RAL 9016)</t>
  </si>
  <si>
    <t xml:space="preserve">ALS-EXT-0015</t>
  </si>
  <si>
    <t xml:space="preserve">Aluminium Box Section 25x25mm — 3.0m length — Charcoal Grey (RAL 7016)</t>
  </si>
  <si>
    <t xml:space="preserve">ALS-EXT-0016</t>
  </si>
  <si>
    <t xml:space="preserve">Aluminium Box Section 25x25mm — 4.0m length — Natural Anodised</t>
  </si>
  <si>
    <t xml:space="preserve">ALS-EXT-0017</t>
  </si>
  <si>
    <t xml:space="preserve">Aluminium Box Section 25x25mm — 4.0m length — Satin White (RAL 9016)</t>
  </si>
  <si>
    <t xml:space="preserve">ALS-EXT-0018</t>
  </si>
  <si>
    <t xml:space="preserve">Aluminium Box Section 25x25mm — 4.0m length — Charcoal Grey (RAL 7016)</t>
  </si>
  <si>
    <t xml:space="preserve">ALS-EXT-0019</t>
  </si>
  <si>
    <t xml:space="preserve">Aluminium Box Section 25x25mm — 5.8m length — Natural Anodised</t>
  </si>
  <si>
    <t xml:space="preserve">ALS-EXT-0020</t>
  </si>
  <si>
    <t xml:space="preserve">Aluminium Box Section 25x25mm — 5.8m length — Satin White (RAL 9016)</t>
  </si>
  <si>
    <t xml:space="preserve">ALS-EXT-0021</t>
  </si>
  <si>
    <t xml:space="preserve">Aluminium Box Section 25x25mm — 5.8m length — Charcoal Grey (RAL 7016)</t>
  </si>
  <si>
    <t xml:space="preserve">ALS-EXT-0022</t>
  </si>
  <si>
    <t xml:space="preserve">Aluminium Box Section 25x25mm — 6.5m length — Natural Anodised</t>
  </si>
  <si>
    <t xml:space="preserve">ALS-EXT-0023</t>
  </si>
  <si>
    <t xml:space="preserve">Aluminium Box Section 25x25mm — 6.5m length — Satin White (RAL 9016)</t>
  </si>
  <si>
    <t xml:space="preserve">ALS-EXT-0024</t>
  </si>
  <si>
    <t xml:space="preserve">Aluminium Box Section 25x25mm — 6.5m length — Charcoal Grey (RAL 7016)</t>
  </si>
  <si>
    <t xml:space="preserve">ALS-EXT-0025</t>
  </si>
  <si>
    <t xml:space="preserve">Aluminium Box Section 40x40mm — 3.0m length — Natural Anodised</t>
  </si>
  <si>
    <t xml:space="preserve">ALS-EXT-0026</t>
  </si>
  <si>
    <t xml:space="preserve">Aluminium Box Section 40x40mm — 3.0m length — Satin White (RAL 9016)</t>
  </si>
  <si>
    <t xml:space="preserve">ALS-EXT-0027</t>
  </si>
  <si>
    <t xml:space="preserve">Aluminium Box Section 40x40mm — 3.0m length — Charcoal Grey (RAL 7016)</t>
  </si>
  <si>
    <t xml:space="preserve">ALS-EXT-0028</t>
  </si>
  <si>
    <t xml:space="preserve">Aluminium Box Section 40x40mm — 4.0m length — Natural Anodised</t>
  </si>
  <si>
    <t xml:space="preserve">ALS-EXT-0029</t>
  </si>
  <si>
    <t xml:space="preserve">Aluminium Box Section 40x40mm — 4.0m length — Satin White (RAL 9016)</t>
  </si>
  <si>
    <t xml:space="preserve">ALS-EXT-0030</t>
  </si>
  <si>
    <t xml:space="preserve">Aluminium Box Section 40x40mm — 4.0m length — Charcoal Grey (RAL 7016)</t>
  </si>
  <si>
    <t xml:space="preserve">ALS-EXT-0031</t>
  </si>
  <si>
    <t xml:space="preserve">Aluminium Box Section 40x40mm — 5.8m length — Natural Anodised</t>
  </si>
  <si>
    <t xml:space="preserve">ALS-EXT-0032</t>
  </si>
  <si>
    <t xml:space="preserve">Aluminium Box Section 40x40mm — 5.8m length — Satin White (RAL 9016)</t>
  </si>
  <si>
    <t xml:space="preserve">ALS-EXT-0033</t>
  </si>
  <si>
    <t xml:space="preserve">Aluminium Box Section 40x40mm — 5.8m length — Charcoal Grey (RAL 7016)</t>
  </si>
  <si>
    <t xml:space="preserve">ALS-EXT-0034</t>
  </si>
  <si>
    <t xml:space="preserve">Aluminium Box Section 40x40mm — 6.5m length — Natural Anodised</t>
  </si>
  <si>
    <t xml:space="preserve">ALS-EXT-0035</t>
  </si>
  <si>
    <t xml:space="preserve">Aluminium Box Section 40x40mm — 6.5m length — Satin White (RAL 9016)</t>
  </si>
  <si>
    <t xml:space="preserve">ALS-EXT-0036</t>
  </si>
  <si>
    <t xml:space="preserve">Aluminium Box Section 40x40mm — 6.5m length — Charcoal Grey (RAL 7016)</t>
  </si>
  <si>
    <t xml:space="preserve">ALS-EXT-0037</t>
  </si>
  <si>
    <t xml:space="preserve">Aluminium Box Section 50x50mm — 3.0m length — Natural Anodised</t>
  </si>
  <si>
    <t xml:space="preserve">ALS-EXT-0038</t>
  </si>
  <si>
    <t xml:space="preserve">Aluminium Box Section 50x50mm — 3.0m length — Satin White (RAL 9016)</t>
  </si>
  <si>
    <t xml:space="preserve">ALS-EXT-0039</t>
  </si>
  <si>
    <t xml:space="preserve">Aluminium Box Section 50x50mm — 3.0m length — Charcoal Grey (RAL 7016)</t>
  </si>
  <si>
    <t xml:space="preserve">ALS-EXT-0040</t>
  </si>
  <si>
    <t xml:space="preserve">Aluminium Box Section 50x50mm — 4.0m length — Natural Anodised</t>
  </si>
  <si>
    <t xml:space="preserve">ALS-EXT-0041</t>
  </si>
  <si>
    <t xml:space="preserve">Aluminium Box Section 50x50mm — 4.0m length — Satin White (RAL 9016)</t>
  </si>
  <si>
    <t xml:space="preserve">ALS-EXT-0042</t>
  </si>
  <si>
    <t xml:space="preserve">Aluminium Box Section 50x50mm — 4.0m length — Charcoal Grey (RAL 7016)</t>
  </si>
  <si>
    <t xml:space="preserve">ALS-EXT-0043</t>
  </si>
  <si>
    <t xml:space="preserve">Aluminium Box Section 50x50mm — 5.8m length — Natural Anodised</t>
  </si>
  <si>
    <t xml:space="preserve">ALS-EXT-0044</t>
  </si>
  <si>
    <t xml:space="preserve">Aluminium Box Section 50x50mm — 5.8m length — Satin White (RAL 9016)</t>
  </si>
  <si>
    <t xml:space="preserve">ALS-EXT-0045</t>
  </si>
  <si>
    <t xml:space="preserve">Aluminium Box Section 50x50mm — 5.8m length — Charcoal Grey (RAL 7016)</t>
  </si>
  <si>
    <t xml:space="preserve">ALS-EXT-0046</t>
  </si>
  <si>
    <t xml:space="preserve">Aluminium Box Section 50x50mm — 6.5m length — Natural Anodised</t>
  </si>
  <si>
    <t xml:space="preserve">ALS-EXT-0047</t>
  </si>
  <si>
    <t xml:space="preserve">Aluminium Box Section 50x50mm — 6.5m length — Satin White (RAL 9016)</t>
  </si>
  <si>
    <t xml:space="preserve">ALS-EXT-0048</t>
  </si>
  <si>
    <t xml:space="preserve">Aluminium Box Section 50x50mm — 6.5m length — Charcoal Grey (RAL 7016)</t>
  </si>
  <si>
    <t xml:space="preserve">ALS-EXT-0049</t>
  </si>
  <si>
    <t xml:space="preserve">Aluminium Angle 25x25x3mm — 3.0m length — Natural Anodised</t>
  </si>
  <si>
    <t xml:space="preserve">ALS-EXT-0050</t>
  </si>
  <si>
    <t xml:space="preserve">Aluminium Angle 25x25x3mm — 3.0m length — Satin White (RAL 9016)</t>
  </si>
  <si>
    <t xml:space="preserve">ALS-EXT-0051</t>
  </si>
  <si>
    <t xml:space="preserve">Aluminium Angle 25x25x3mm — 3.0m length — Charcoal Grey (RAL 7016)</t>
  </si>
  <si>
    <t xml:space="preserve">ALS-EXT-0052</t>
  </si>
  <si>
    <t xml:space="preserve">Aluminium Angle 25x25x3mm — 4.0m length — Natural Anodised</t>
  </si>
  <si>
    <t xml:space="preserve">ALS-EXT-0053</t>
  </si>
  <si>
    <t xml:space="preserve">Aluminium Angle 25x25x3mm — 4.0m length — Satin White (RAL 9016)</t>
  </si>
  <si>
    <t xml:space="preserve">ALS-EXT-0054</t>
  </si>
  <si>
    <t xml:space="preserve">Aluminium Angle 25x25x3mm — 4.0m length — Charcoal Grey (RAL 7016)</t>
  </si>
  <si>
    <t xml:space="preserve">ALS-EXT-0055</t>
  </si>
  <si>
    <t xml:space="preserve">Aluminium Angle 25x25x3mm — 5.8m length — Natural Anodised</t>
  </si>
  <si>
    <t xml:space="preserve">ALS-EXT-0056</t>
  </si>
  <si>
    <t xml:space="preserve">Aluminium Angle 25x25x3mm — 5.8m length — Satin White (RAL 9016)</t>
  </si>
  <si>
    <t xml:space="preserve">ALS-EXT-0057</t>
  </si>
  <si>
    <t xml:space="preserve">Aluminium Angle 25x25x3mm — 5.8m length — Charcoal Grey (RAL 7016)</t>
  </si>
  <si>
    <t xml:space="preserve">ALS-EXT-0058</t>
  </si>
  <si>
    <t xml:space="preserve">Aluminium Angle 25x25x3mm — 6.5m length — Natural Anodised</t>
  </si>
  <si>
    <t xml:space="preserve">ALS-EXT-0059</t>
  </si>
  <si>
    <t xml:space="preserve">Aluminium Angle 25x25x3mm — 6.5m length — Satin White (RAL 9016)</t>
  </si>
  <si>
    <t xml:space="preserve">ALS-EXT-0060</t>
  </si>
  <si>
    <t xml:space="preserve">Aluminium Angle 25x25x3mm — 6.5m length — Charcoal Grey (RAL 7016)</t>
  </si>
  <si>
    <t xml:space="preserve">ALS-EXT-0061</t>
  </si>
  <si>
    <t xml:space="preserve">Aluminium Angle 40x40x3mm — 3.0m length — Natural Anodised</t>
  </si>
  <si>
    <t xml:space="preserve">ALS-EXT-0062</t>
  </si>
  <si>
    <t xml:space="preserve">Aluminium Angle 40x40x3mm — 3.0m length — Satin White (RAL 9016)</t>
  </si>
  <si>
    <t xml:space="preserve">ALS-EXT-0063</t>
  </si>
  <si>
    <t xml:space="preserve">Aluminium Angle 40x40x3mm — 3.0m length — Charcoal Grey (RAL 7016)</t>
  </si>
  <si>
    <t xml:space="preserve">ALS-EXT-0064</t>
  </si>
  <si>
    <t xml:space="preserve">Aluminium Angle 40x40x3mm — 4.0m length — Natural Anodised</t>
  </si>
  <si>
    <t xml:space="preserve">ALS-EXT-0065</t>
  </si>
  <si>
    <t xml:space="preserve">Aluminium Angle 40x40x3mm — 4.0m length — Satin White (RAL 9016)</t>
  </si>
  <si>
    <t xml:space="preserve">ALS-EXT-0066</t>
  </si>
  <si>
    <t xml:space="preserve">Aluminium Angle 40x40x3mm — 4.0m length — Charcoal Grey (RAL 7016)</t>
  </si>
  <si>
    <t xml:space="preserve">ALS-EXT-0067</t>
  </si>
  <si>
    <t xml:space="preserve">Aluminium Angle 40x40x3mm — 5.8m length — Natural Anodised</t>
  </si>
  <si>
    <t xml:space="preserve">ALS-EXT-0068</t>
  </si>
  <si>
    <t xml:space="preserve">Aluminium Angle 40x40x3mm — 5.8m length — Satin White (RAL 9016)</t>
  </si>
  <si>
    <t xml:space="preserve">ALS-EXT-0069</t>
  </si>
  <si>
    <t xml:space="preserve">Aluminium Angle 40x40x3mm — 5.8m length — Charcoal Grey (RAL 7016)</t>
  </si>
  <si>
    <t xml:space="preserve">ALS-EXT-0070</t>
  </si>
  <si>
    <t xml:space="preserve">Aluminium Angle 40x40x3mm — 6.5m length — Natural Anodised</t>
  </si>
  <si>
    <t xml:space="preserve">ALS-EXT-0071</t>
  </si>
  <si>
    <t xml:space="preserve">Aluminium Angle 40x40x3mm — 6.5m length — Satin White (RAL 9016)</t>
  </si>
  <si>
    <t xml:space="preserve">ALS-EXT-0072</t>
  </si>
  <si>
    <t xml:space="preserve">Aluminium Angle 40x40x3mm — 6.5m length — Charcoal Grey (RAL 7016)</t>
  </si>
  <si>
    <t xml:space="preserve">ALS-EXT-0073</t>
  </si>
  <si>
    <t xml:space="preserve">Aluminium Flat Bar 25x3mm — 3.0m length — Natural Anodised</t>
  </si>
  <si>
    <t xml:space="preserve">ALS-EXT-0074</t>
  </si>
  <si>
    <t xml:space="preserve">Aluminium Flat Bar 25x3mm — 3.0m length — Satin White (RAL 9016)</t>
  </si>
  <si>
    <t xml:space="preserve">ALS-EXT-0075</t>
  </si>
  <si>
    <t xml:space="preserve">Aluminium Flat Bar 25x3mm — 3.0m length — Charcoal Grey (RAL 7016)</t>
  </si>
  <si>
    <t xml:space="preserve">ALS-EXT-0076</t>
  </si>
  <si>
    <t xml:space="preserve">Aluminium Flat Bar 25x3mm — 4.0m length — Natural Anodised</t>
  </si>
  <si>
    <t xml:space="preserve">ALS-EXT-0077</t>
  </si>
  <si>
    <t xml:space="preserve">Aluminium Flat Bar 25x3mm — 4.0m length — Satin White (RAL 9016)</t>
  </si>
  <si>
    <t xml:space="preserve">ALS-EXT-0078</t>
  </si>
  <si>
    <t xml:space="preserve">Aluminium Flat Bar 25x3mm — 4.0m length — Charcoal Grey (RAL 7016)</t>
  </si>
  <si>
    <t xml:space="preserve">ALS-EXT-0079</t>
  </si>
  <si>
    <t xml:space="preserve">Aluminium Flat Bar 25x3mm — 5.8m length — Natural Anodised</t>
  </si>
  <si>
    <t xml:space="preserve">ALS-EXT-0080</t>
  </si>
  <si>
    <t xml:space="preserve">Aluminium Flat Bar 25x3mm — 5.8m length — Satin White (RAL 9016)</t>
  </si>
  <si>
    <t xml:space="preserve">ALS-EXT-0081</t>
  </si>
  <si>
    <t xml:space="preserve">Aluminium Flat Bar 25x3mm — 5.8m length — Charcoal Grey (RAL 7016)</t>
  </si>
  <si>
    <t xml:space="preserve">ALS-EXT-0082</t>
  </si>
  <si>
    <t xml:space="preserve">Aluminium Flat Bar 25x3mm — 6.5m length — Natural Anodised</t>
  </si>
  <si>
    <t xml:space="preserve">ALS-EXT-0083</t>
  </si>
  <si>
    <t xml:space="preserve">Aluminium Flat Bar 25x3mm — 6.5m length — Satin White (RAL 9016)</t>
  </si>
  <si>
    <t xml:space="preserve">ALS-EXT-0084</t>
  </si>
  <si>
    <t xml:space="preserve">Aluminium Flat Bar 25x3mm — 6.5m length — Charcoal Grey (RAL 7016)</t>
  </si>
  <si>
    <t xml:space="preserve">ALS-EXT-0085</t>
  </si>
  <si>
    <t xml:space="preserve">Aluminium Flat Bar 40x5mm — 3.0m length — Natural Anodised</t>
  </si>
  <si>
    <t xml:space="preserve">ALS-EXT-0086</t>
  </si>
  <si>
    <t xml:space="preserve">Aluminium Flat Bar 40x5mm — 3.0m length — Satin White (RAL 9016)</t>
  </si>
  <si>
    <t xml:space="preserve">ALS-EXT-0087</t>
  </si>
  <si>
    <t xml:space="preserve">Aluminium Flat Bar 40x5mm — 3.0m length — Charcoal Grey (RAL 7016)</t>
  </si>
  <si>
    <t xml:space="preserve">ALS-EXT-0088</t>
  </si>
  <si>
    <t xml:space="preserve">Aluminium Flat Bar 40x5mm — 4.0m length — Natural Anodised</t>
  </si>
  <si>
    <t xml:space="preserve">ALS-EXT-0089</t>
  </si>
  <si>
    <t xml:space="preserve">Aluminium Flat Bar 40x5mm — 4.0m length — Satin White (RAL 9016)</t>
  </si>
  <si>
    <t xml:space="preserve">ALS-EXT-0090</t>
  </si>
  <si>
    <t xml:space="preserve">Aluminium Flat Bar 40x5mm — 4.0m length — Charcoal Grey (RAL 7016)</t>
  </si>
  <si>
    <t xml:space="preserve">ALS-EXT-0091</t>
  </si>
  <si>
    <t xml:space="preserve">Aluminium Flat Bar 40x5mm — 5.8m length — Natural Anodised</t>
  </si>
  <si>
    <t xml:space="preserve">ALS-EXT-0092</t>
  </si>
  <si>
    <t xml:space="preserve">Aluminium Flat Bar 40x5mm — 5.8m length — Satin White (RAL 9016)</t>
  </si>
  <si>
    <t xml:space="preserve">ALS-EXT-0093</t>
  </si>
  <si>
    <t xml:space="preserve">Aluminium Flat Bar 40x5mm — 5.8m length — Charcoal Grey (RAL 7016)</t>
  </si>
  <si>
    <t xml:space="preserve">ALS-EXT-0094</t>
  </si>
  <si>
    <t xml:space="preserve">Aluminium Flat Bar 40x5mm — 6.5m length — Natural Anodised</t>
  </si>
  <si>
    <t xml:space="preserve">ALS-EXT-0095</t>
  </si>
  <si>
    <t xml:space="preserve">Aluminium Flat Bar 40x5mm — 6.5m length — Satin White (RAL 9016)</t>
  </si>
  <si>
    <t xml:space="preserve">ALS-EXT-0096</t>
  </si>
  <si>
    <t xml:space="preserve">Aluminium Flat Bar 40x5mm — 6.5m length — Charcoal Grey (RAL 7016)</t>
  </si>
  <si>
    <t xml:space="preserve">ALS-EXT-0097</t>
  </si>
  <si>
    <t xml:space="preserve">Aluminium Round Tube 25mm OD — 3.0m length — Natural Anodised</t>
  </si>
  <si>
    <t xml:space="preserve">ALS-EXT-0098</t>
  </si>
  <si>
    <t xml:space="preserve">Aluminium Round Tube 25mm OD — 3.0m length — Satin White (RAL 9016)</t>
  </si>
  <si>
    <t xml:space="preserve">ALS-EXT-0099</t>
  </si>
  <si>
    <t xml:space="preserve">Aluminium Round Tube 25mm OD — 3.0m length — Charcoal Grey (RAL 7016)</t>
  </si>
  <si>
    <t xml:space="preserve">ALS-EXT-0100</t>
  </si>
  <si>
    <t xml:space="preserve">Aluminium Round Tube 25mm OD — 4.0m length — Natural Anodised</t>
  </si>
  <si>
    <t xml:space="preserve">ALS-EXT-0101</t>
  </si>
  <si>
    <t xml:space="preserve">Aluminium Round Tube 25mm OD — 4.0m length — Satin White (RAL 9016)</t>
  </si>
  <si>
    <t xml:space="preserve">ALS-EXT-0102</t>
  </si>
  <si>
    <t xml:space="preserve">Aluminium Round Tube 25mm OD — 4.0m length — Charcoal Grey (RAL 7016)</t>
  </si>
  <si>
    <t xml:space="preserve">ALS-EXT-0103</t>
  </si>
  <si>
    <t xml:space="preserve">Aluminium Round Tube 25mm OD — 5.8m length — Natural Anodised</t>
  </si>
  <si>
    <t xml:space="preserve">ALS-EXT-0104</t>
  </si>
  <si>
    <t xml:space="preserve">Aluminium Round Tube 25mm OD — 5.8m length — Satin White (RAL 9016)</t>
  </si>
  <si>
    <t xml:space="preserve">ALS-EXT-0105</t>
  </si>
  <si>
    <t xml:space="preserve">Aluminium Round Tube 25mm OD — 5.8m length — Charcoal Grey (RAL 7016)</t>
  </si>
  <si>
    <t xml:space="preserve">ALS-EXT-0106</t>
  </si>
  <si>
    <t xml:space="preserve">Aluminium Round Tube 25mm OD — 6.5m length — Natural Anodised</t>
  </si>
  <si>
    <t xml:space="preserve">ALS-EXT-0107</t>
  </si>
  <si>
    <t xml:space="preserve">Aluminium Round Tube 25mm OD — 6.5m length — Satin White (RAL 9016)</t>
  </si>
  <si>
    <t xml:space="preserve">ALS-EXT-0108</t>
  </si>
  <si>
    <t xml:space="preserve">Aluminium Round Tube 25mm OD — 6.5m length — Charcoal Grey (RAL 7016)</t>
  </si>
  <si>
    <t xml:space="preserve">ALS-EXT-0109</t>
  </si>
  <si>
    <t xml:space="preserve">Aluminium Round Tube 32mm OD — 3.0m length — Natural Anodised</t>
  </si>
  <si>
    <t xml:space="preserve">ALS-EXT-0110</t>
  </si>
  <si>
    <t xml:space="preserve">Aluminium Round Tube 32mm OD — 3.0m length — Satin White (RAL 9016)</t>
  </si>
  <si>
    <t xml:space="preserve">ALS-EXT-0111</t>
  </si>
  <si>
    <t xml:space="preserve">Aluminium Round Tube 32mm OD — 3.0m length — Charcoal Grey (RAL 7016)</t>
  </si>
  <si>
    <t xml:space="preserve">ALS-EXT-0112</t>
  </si>
  <si>
    <t xml:space="preserve">Aluminium Round Tube 32mm OD — 4.0m length — Natural Anodised</t>
  </si>
  <si>
    <t xml:space="preserve">ALS-EXT-0113</t>
  </si>
  <si>
    <t xml:space="preserve">Aluminium Round Tube 32mm OD — 4.0m length — Satin White (RAL 9016)</t>
  </si>
  <si>
    <t xml:space="preserve">ALS-EXT-0114</t>
  </si>
  <si>
    <t xml:space="preserve">Aluminium Round Tube 32mm OD — 4.0m length — Charcoal Grey (RAL 7016)</t>
  </si>
  <si>
    <t xml:space="preserve">ALS-EXT-0115</t>
  </si>
  <si>
    <t xml:space="preserve">Aluminium Round Tube 32mm OD — 5.8m length — Natural Anodised</t>
  </si>
  <si>
    <t xml:space="preserve">ALS-EXT-0116</t>
  </si>
  <si>
    <t xml:space="preserve">Aluminium Round Tube 32mm OD — 5.8m length — Satin White (RAL 9016)</t>
  </si>
  <si>
    <t xml:space="preserve">ALS-EXT-0117</t>
  </si>
  <si>
    <t xml:space="preserve">Aluminium Round Tube 32mm OD — 5.8m length — Charcoal Grey (RAL 7016)</t>
  </si>
  <si>
    <t xml:space="preserve">ALS-EXT-0118</t>
  </si>
  <si>
    <t xml:space="preserve">Aluminium Round Tube 32mm OD — 6.5m length — Natural Anodised</t>
  </si>
  <si>
    <t xml:space="preserve">ALS-EXT-0119</t>
  </si>
  <si>
    <t xml:space="preserve">Aluminium Round Tube 32mm OD — 6.5m length — Satin White (RAL 9016)</t>
  </si>
  <si>
    <t xml:space="preserve">ALS-EXT-0120</t>
  </si>
  <si>
    <t xml:space="preserve">Aluminium Round Tube 32mm OD — 6.5m length — Charcoal Grey (RAL 7016)</t>
  </si>
  <si>
    <t xml:space="preserve">ALS-EXT-0121</t>
  </si>
  <si>
    <t xml:space="preserve">Aluminium U-Channel 20x20x2mm — 3.0m length — Natural Anodised</t>
  </si>
  <si>
    <t xml:space="preserve">ALS-EXT-0122</t>
  </si>
  <si>
    <t xml:space="preserve">Aluminium U-Channel 20x20x2mm — 3.0m length — Satin White (RAL 9016)</t>
  </si>
  <si>
    <t xml:space="preserve">ALS-EXT-0123</t>
  </si>
  <si>
    <t xml:space="preserve">Aluminium U-Channel 20x20x2mm — 3.0m length — Charcoal Grey (RAL 7016)</t>
  </si>
  <si>
    <t xml:space="preserve">ALS-EXT-0124</t>
  </si>
  <si>
    <t xml:space="preserve">Aluminium U-Channel 20x20x2mm — 4.0m length — Natural Anodised</t>
  </si>
  <si>
    <t xml:space="preserve">ALS-EXT-0125</t>
  </si>
  <si>
    <t xml:space="preserve">Aluminium U-Channel 20x20x2mm — 4.0m length — Satin White (RAL 9016)</t>
  </si>
  <si>
    <t xml:space="preserve">ALS-EXT-0126</t>
  </si>
  <si>
    <t xml:space="preserve">Aluminium U-Channel 20x20x2mm — 4.0m length — Charcoal Grey (RAL 7016)</t>
  </si>
  <si>
    <t xml:space="preserve">ALS-EXT-0127</t>
  </si>
  <si>
    <t xml:space="preserve">Aluminium U-Channel 20x20x2mm — 5.8m length — Natural Anodised</t>
  </si>
  <si>
    <t xml:space="preserve">ALS-EXT-0128</t>
  </si>
  <si>
    <t xml:space="preserve">Aluminium U-Channel 20x20x2mm — 5.8m length — Satin White (RAL 9016)</t>
  </si>
  <si>
    <t xml:space="preserve">ALS-EXT-0129</t>
  </si>
  <si>
    <t xml:space="preserve">Aluminium U-Channel 20x20x2mm — 5.8m length — Charcoal Grey (RAL 7016)</t>
  </si>
  <si>
    <t xml:space="preserve">ALS-EXT-0130</t>
  </si>
  <si>
    <t xml:space="preserve">Aluminium U-Channel 20x20x2mm — 6.5m length — Natural Anodised</t>
  </si>
  <si>
    <t xml:space="preserve">ALS-EXT-0131</t>
  </si>
  <si>
    <t xml:space="preserve">Aluminium U-Channel 20x20x2mm — 6.5m length — Satin White (RAL 9016)</t>
  </si>
  <si>
    <t xml:space="preserve">ALS-EXT-0132</t>
  </si>
  <si>
    <t xml:space="preserve">Aluminium U-Channel 20x20x2mm — 6.5m length — Charcoal Grey (RAL 7016)</t>
  </si>
  <si>
    <t xml:space="preserve">ALS-EXT-0133</t>
  </si>
  <si>
    <t xml:space="preserve">Aluminium T-Section 25x25x3mm — 3.0m length — Natural Anodised</t>
  </si>
  <si>
    <t xml:space="preserve">ALS-EXT-0134</t>
  </si>
  <si>
    <t xml:space="preserve">Aluminium T-Section 25x25x3mm — 3.0m length — Satin White (RAL 9016)</t>
  </si>
  <si>
    <t xml:space="preserve">ALS-EXT-0135</t>
  </si>
  <si>
    <t xml:space="preserve">Aluminium T-Section 25x25x3mm — 3.0m length — Charcoal Grey (RAL 7016)</t>
  </si>
  <si>
    <t xml:space="preserve">ALS-EXT-0136</t>
  </si>
  <si>
    <t xml:space="preserve">Aluminium T-Section 25x25x3mm — 4.0m length — Natural Anodised</t>
  </si>
  <si>
    <t xml:space="preserve">ALS-EXT-0137</t>
  </si>
  <si>
    <t xml:space="preserve">Aluminium T-Section 25x25x3mm — 4.0m length — Satin White (RAL 9016)</t>
  </si>
  <si>
    <t xml:space="preserve">ALS-EXT-0138</t>
  </si>
  <si>
    <t xml:space="preserve">Aluminium T-Section 25x25x3mm — 4.0m length — Charcoal Grey (RAL 7016)</t>
  </si>
  <si>
    <t xml:space="preserve">ALS-EXT-0139</t>
  </si>
  <si>
    <t xml:space="preserve">Aluminium T-Section 25x25x3mm — 5.8m length — Natural Anodised</t>
  </si>
  <si>
    <t xml:space="preserve">ALS-EXT-0140</t>
  </si>
  <si>
    <t xml:space="preserve">Aluminium T-Section 25x25x3mm — 5.8m length — Satin White (RAL 9016)</t>
  </si>
  <si>
    <t xml:space="preserve">ALS-EXT-0141</t>
  </si>
  <si>
    <t xml:space="preserve">Aluminium T-Section 25x25x3mm — 5.8m length — Charcoal Grey (RAL 7016)</t>
  </si>
  <si>
    <t xml:space="preserve">ALS-EXT-0142</t>
  </si>
  <si>
    <t xml:space="preserve">Aluminium T-Section 25x25x3mm — 6.5m length — Natural Anodised</t>
  </si>
  <si>
    <t xml:space="preserve">ALS-EXT-0143</t>
  </si>
  <si>
    <t xml:space="preserve">Aluminium T-Section 25x25x3mm — 6.5m length — Satin White (RAL 9016)</t>
  </si>
  <si>
    <t xml:space="preserve">ALS-EXT-0144</t>
  </si>
  <si>
    <t xml:space="preserve">Aluminium T-Section 25x25x3mm — 6.5m length — Charcoal Grey (RAL 7016)</t>
  </si>
  <si>
    <t xml:space="preserve">ALS-HDW-0001</t>
  </si>
  <si>
    <t xml:space="preserve">Window/Door Handle — Lever Set — Satin Silver</t>
  </si>
  <si>
    <t xml:space="preserve">Window/Door Handle — Lever Set</t>
  </si>
  <si>
    <t xml:space="preserve">Satin Silver</t>
  </si>
  <si>
    <t xml:space="preserve">As Specified</t>
  </si>
  <si>
    <t xml:space="preserve">Each/Set</t>
  </si>
  <si>
    <t xml:space="preserve">All Sectors</t>
  </si>
  <si>
    <t xml:space="preserve">ALS-HDW-0002</t>
  </si>
  <si>
    <t xml:space="preserve">Window/Door Handle — Lever Set — White</t>
  </si>
  <si>
    <t xml:space="preserve">White</t>
  </si>
  <si>
    <t xml:space="preserve">ALS-HDW-0003</t>
  </si>
  <si>
    <t xml:space="preserve">Window/Door Handle — Lever Set — Black</t>
  </si>
  <si>
    <t xml:space="preserve">Black</t>
  </si>
  <si>
    <t xml:space="preserve">ALS-HDW-0004</t>
  </si>
  <si>
    <t xml:space="preserve">Window/Door Handle — Lever Set — Bronze</t>
  </si>
  <si>
    <t xml:space="preserve">Bronze</t>
  </si>
  <si>
    <t xml:space="preserve">ALS-HDW-0005</t>
  </si>
  <si>
    <t xml:space="preserve">Multi-Point Locking Mechanism — Standard</t>
  </si>
  <si>
    <t xml:space="preserve">Multi-Point Locking Mechanism</t>
  </si>
  <si>
    <t xml:space="preserve">Standard</t>
  </si>
  <si>
    <t xml:space="preserve">ALS-HDW-0006</t>
  </si>
  <si>
    <t xml:space="preserve">Multi-Point Locking Mechanism — High-Security</t>
  </si>
  <si>
    <t xml:space="preserve">High-Security</t>
  </si>
  <si>
    <t xml:space="preserve">ALS-HDW-0007</t>
  </si>
  <si>
    <t xml:space="preserve">Sliding Door Roller Set — Standard-Duty</t>
  </si>
  <si>
    <t xml:space="preserve">Sliding Door Roller Set</t>
  </si>
  <si>
    <t xml:space="preserve">Standard-Duty</t>
  </si>
  <si>
    <t xml:space="preserve">ALS-HDW-0008</t>
  </si>
  <si>
    <t xml:space="preserve">Sliding Door Roller Set — Heavy-Duty</t>
  </si>
  <si>
    <t xml:space="preserve">Heavy-Duty</t>
  </si>
  <si>
    <t xml:space="preserve">ALS-HDW-0009</t>
  </si>
  <si>
    <t xml:space="preserve">Sliding Track — Bottom Rail — Standard</t>
  </si>
  <si>
    <t xml:space="preserve">Sliding Track — Bottom Rail</t>
  </si>
  <si>
    <t xml:space="preserve">ALS-HDW-0010</t>
  </si>
  <si>
    <t xml:space="preserve">Sliding Track — Bottom Rail — Heavy-Duty</t>
  </si>
  <si>
    <t xml:space="preserve">ALS-HDW-0011</t>
  </si>
  <si>
    <t xml:space="preserve">Friction Hinge — Casement — Standard</t>
  </si>
  <si>
    <t xml:space="preserve">Friction Hinge — Casement</t>
  </si>
  <si>
    <t xml:space="preserve">ALS-HDW-0012</t>
  </si>
  <si>
    <t xml:space="preserve">Friction Hinge — Casement — Restrictor Type</t>
  </si>
  <si>
    <t xml:space="preserve">Restrictor Type</t>
  </si>
  <si>
    <t xml:space="preserve">ALS-HDW-0013</t>
  </si>
  <si>
    <t xml:space="preserve">Pivot Hinge — Door — Standard</t>
  </si>
  <si>
    <t xml:space="preserve">Pivot Hinge — Door</t>
  </si>
  <si>
    <t xml:space="preserve">ALS-HDW-0014</t>
  </si>
  <si>
    <t xml:space="preserve">Pivot Hinge — Door — Heavy-Duty Offset</t>
  </si>
  <si>
    <t xml:space="preserve">Heavy-Duty Offset</t>
  </si>
  <si>
    <t xml:space="preserve">ALS-HDW-0015</t>
  </si>
  <si>
    <t xml:space="preserve">Window Stay Arm — 150mm</t>
  </si>
  <si>
    <t xml:space="preserve">Window Stay Arm</t>
  </si>
  <si>
    <t xml:space="preserve">150mm</t>
  </si>
  <si>
    <t xml:space="preserve">ALS-HDW-0016</t>
  </si>
  <si>
    <t xml:space="preserve">Window Stay Arm — 250mm</t>
  </si>
  <si>
    <t xml:space="preserve">250mm</t>
  </si>
  <si>
    <t xml:space="preserve">ALS-HDW-0017</t>
  </si>
  <si>
    <t xml:space="preserve">Window Stay Arm — 300mm</t>
  </si>
  <si>
    <t xml:space="preserve">300mm</t>
  </si>
  <si>
    <t xml:space="preserve">ALS-HDW-0018</t>
  </si>
  <si>
    <t xml:space="preserve">Weatherstrip Brush Seal — Per 5m Coil</t>
  </si>
  <si>
    <t xml:space="preserve">Weatherstrip Brush Seal</t>
  </si>
  <si>
    <t xml:space="preserve">Per 5m Coil</t>
  </si>
  <si>
    <t xml:space="preserve">ALS-HDW-0019</t>
  </si>
  <si>
    <t xml:space="preserve">Corner Cleat / Bracket Set — Standard</t>
  </si>
  <si>
    <t xml:space="preserve">Corner Cleat / Bracket Set</t>
  </si>
  <si>
    <t xml:space="preserve">ALS-HDW-0020</t>
  </si>
  <si>
    <t xml:space="preserve">Security Bolt / Keeper Set — Standard</t>
  </si>
  <si>
    <t xml:space="preserve">Security Bolt / Keeper Set</t>
  </si>
  <si>
    <t xml:space="preserve">ALS-HDW-0021</t>
  </si>
  <si>
    <t xml:space="preserve">Security Bolt / Keeper Set — High-Security</t>
  </si>
  <si>
    <t xml:space="preserve">ALS-GLZ-0001</t>
  </si>
  <si>
    <t xml:space="preserve">Float Glass — Clear — 4mm</t>
  </si>
  <si>
    <t xml:space="preserve">Float Glass — Clear</t>
  </si>
  <si>
    <t xml:space="preserve">4mm</t>
  </si>
  <si>
    <t xml:space="preserve">ALS-GLZ-0002</t>
  </si>
  <si>
    <t xml:space="preserve">Float Glass — Clear — 5mm</t>
  </si>
  <si>
    <t xml:space="preserve">5mm</t>
  </si>
  <si>
    <t xml:space="preserve">ALS-GLZ-0003</t>
  </si>
  <si>
    <t xml:space="preserve">Float Glass — Clear — 6mm</t>
  </si>
  <si>
    <t xml:space="preserve">6mm</t>
  </si>
  <si>
    <t xml:space="preserve">ALS-GLZ-0004</t>
  </si>
  <si>
    <t xml:space="preserve">Toughened Safety Glass — Clear — 4mm</t>
  </si>
  <si>
    <t xml:space="preserve">Toughened Safety Glass — Clear</t>
  </si>
  <si>
    <t xml:space="preserve">ALS-GLZ-0005</t>
  </si>
  <si>
    <t xml:space="preserve">Toughened Safety Glass — Clear — 5mm</t>
  </si>
  <si>
    <t xml:space="preserve">ALS-GLZ-0006</t>
  </si>
  <si>
    <t xml:space="preserve">Toughened Safety Glass — Clear — 6mm</t>
  </si>
  <si>
    <t xml:space="preserve">ALS-GLZ-0007</t>
  </si>
  <si>
    <t xml:space="preserve">Toughened Safety Glass — Clear — 8mm</t>
  </si>
  <si>
    <t xml:space="preserve">8mm</t>
  </si>
  <si>
    <t xml:space="preserve">ALS-GLZ-0008</t>
  </si>
  <si>
    <t xml:space="preserve">Toughened Safety Glass — Clear — 10mm</t>
  </si>
  <si>
    <t xml:space="preserve">10mm</t>
  </si>
  <si>
    <t xml:space="preserve">ALS-GLZ-0009</t>
  </si>
  <si>
    <t xml:space="preserve">Laminated Safety Glass — Clear — 6.38mm</t>
  </si>
  <si>
    <t xml:space="preserve">Laminated Safety Glass — Clear</t>
  </si>
  <si>
    <t xml:space="preserve">6.38mm</t>
  </si>
  <si>
    <t xml:space="preserve">ALS-GLZ-0010</t>
  </si>
  <si>
    <t xml:space="preserve">Laminated Safety Glass — Clear — 8.38mm</t>
  </si>
  <si>
    <t xml:space="preserve">8.38mm</t>
  </si>
  <si>
    <t xml:space="preserve">ALS-GLZ-0011</t>
  </si>
  <si>
    <t xml:space="preserve">Obscure Glass — 4mm</t>
  </si>
  <si>
    <t xml:space="preserve">Obscure Glass</t>
  </si>
  <si>
    <t xml:space="preserve">ALS-GLZ-0012</t>
  </si>
  <si>
    <t xml:space="preserve">Obscure Glass — 5mm</t>
  </si>
  <si>
    <t xml:space="preserve">ALS-GLZ-0013</t>
  </si>
  <si>
    <t xml:space="preserve">Tinted Solar-Control Glass — 6mm Grey</t>
  </si>
  <si>
    <t xml:space="preserve">Tinted Solar-Control Glass</t>
  </si>
  <si>
    <t xml:space="preserve">6mm Grey</t>
  </si>
  <si>
    <t xml:space="preserve">ALS-GLZ-0014</t>
  </si>
  <si>
    <t xml:space="preserve">Tinted Solar-Control Glass — 6mm Bronze</t>
  </si>
  <si>
    <t xml:space="preserve">6mm Bronze</t>
  </si>
  <si>
    <t xml:space="preserve">ALS-GLZ-0015</t>
  </si>
  <si>
    <t xml:space="preserve">Tinted Solar-Control Glass — 6mm Green</t>
  </si>
  <si>
    <t xml:space="preserve">6mm Green</t>
  </si>
  <si>
    <t xml:space="preserve">ALS-GLZ-0016</t>
  </si>
  <si>
    <t xml:space="preserve">Low-E Coated Glass (Single Pane) — 4mm</t>
  </si>
  <si>
    <t xml:space="preserve">Low-E Coated Glass (Single Pane)</t>
  </si>
  <si>
    <t xml:space="preserve">ALS-GLZ-0017</t>
  </si>
  <si>
    <t xml:space="preserve">Low-E Coated Glass (Single Pane) — 6mm</t>
  </si>
  <si>
    <t xml:space="preserve">ALS-GLZ-0018</t>
  </si>
  <si>
    <t xml:space="preserve">Insulated Glass Unit (IGU) — Double-Glazed — 4-12Ar-4 Low-E</t>
  </si>
  <si>
    <t xml:space="preserve">Insulated Glass Unit (IGU) — Double-Glazed</t>
  </si>
  <si>
    <t xml:space="preserve">4-12Ar-4 Low-E</t>
  </si>
  <si>
    <t xml:space="preserve">ALS-GLZ-0019</t>
  </si>
  <si>
    <t xml:space="preserve">Insulated Glass Unit (IGU) — Double-Glazed — 6-16Ar-6 Low-E</t>
  </si>
  <si>
    <t xml:space="preserve">6-16Ar-6 Low-E</t>
  </si>
  <si>
    <t xml:space="preserve">ALS-GLZ-0020</t>
  </si>
  <si>
    <t xml:space="preserve">Mirror Glass — 4mm</t>
  </si>
  <si>
    <t xml:space="preserve">Mirror Glass</t>
  </si>
  <si>
    <t xml:space="preserve">ALS-GLZ-0021</t>
  </si>
  <si>
    <t xml:space="preserve">Mirror Glass — 6mm</t>
  </si>
  <si>
    <t xml:space="preserve">ALS-SLT-0001</t>
  </si>
  <si>
    <t xml:space="preserve">Neutral-Cure Silicone Sealant — Clear (310ml)</t>
  </si>
  <si>
    <t xml:space="preserve">Standard Pack</t>
  </si>
  <si>
    <t xml:space="preserve">ALS-SLT-0002</t>
  </si>
  <si>
    <t xml:space="preserve">Neutral-Cure Silicone Sealant — Grey (310ml)</t>
  </si>
  <si>
    <t xml:space="preserve">ALS-SLT-0003</t>
  </si>
  <si>
    <t xml:space="preserve">Structural Silicone Sealant (600ml Sausage)</t>
  </si>
  <si>
    <t xml:space="preserve">ALS-SLT-0004</t>
  </si>
  <si>
    <t xml:space="preserve">Weatherseal Gasket — EPDM (Per 50m Coil)</t>
  </si>
  <si>
    <t xml:space="preserve">ALS-SLT-0005</t>
  </si>
  <si>
    <t xml:space="preserve">Glazing Gasket — Wedge Profile (Per 50m Coil)</t>
  </si>
  <si>
    <t xml:space="preserve">ALS-SLT-0006</t>
  </si>
  <si>
    <t xml:space="preserve">Foam Backer Rod (Per 100m Coil)</t>
  </si>
  <si>
    <t xml:space="preserve">ALS-SLT-0007</t>
  </si>
  <si>
    <t xml:space="preserve">Butyl Glazing Tape (Per Roll)</t>
  </si>
  <si>
    <t xml:space="preserve">ALS-SLT-0008</t>
  </si>
  <si>
    <t xml:space="preserve">Expanding Foam Sealant (750ml)</t>
  </si>
  <si>
    <t xml:space="preserve">ALS-FXN-0001</t>
  </si>
  <si>
    <t xml:space="preserve">Self-Drilling Screw — 4.8x38mm (Box of 500)</t>
  </si>
  <si>
    <t xml:space="preserve">ALS-FXN-0002</t>
  </si>
  <si>
    <t xml:space="preserve">Masonry Anchor — M8 (Box of 100)</t>
  </si>
  <si>
    <t xml:space="preserve">ALS-FXN-0003</t>
  </si>
  <si>
    <t xml:space="preserve">Rivet — 4.8mm Aluminium (Box of 500)</t>
  </si>
  <si>
    <t xml:space="preserve">ALS-FXN-0004</t>
  </si>
  <si>
    <t xml:space="preserve">Frame Fixing Bracket — L-Shape</t>
  </si>
  <si>
    <t xml:space="preserve">ALS-FXN-0005</t>
  </si>
  <si>
    <t xml:space="preserve">Frame Fixing Bracket — Flat</t>
  </si>
  <si>
    <t xml:space="preserve">ALS-FXN-0006</t>
  </si>
  <si>
    <t xml:space="preserve">Packers / Setting Blocks (Pack of 50)</t>
  </si>
  <si>
    <t xml:space="preserve">ALS-FXN-0007</t>
  </si>
  <si>
    <t xml:space="preserve">Silicone Cleaner/Primer (500ml)</t>
  </si>
  <si>
    <t xml:space="preserve">ALS-FXN-0008</t>
  </si>
  <si>
    <t xml:space="preserve">Corner Key / Cleat — Structural</t>
  </si>
</sst>
</file>

<file path=xl/styles.xml><?xml version="1.0" encoding="utf-8"?>
<styleSheet xmlns="http://schemas.openxmlformats.org/spreadsheetml/2006/main">
  <numFmts count="6">
    <numFmt numFmtId="164" formatCode="General"/>
    <numFmt numFmtId="165" formatCode="#,##0.00"/>
    <numFmt numFmtId="166" formatCode="0%"/>
    <numFmt numFmtId="167" formatCode="#,##0"/>
    <numFmt numFmtId="168" formatCode="&quot;R &quot;#,##0"/>
    <numFmt numFmtId="169" formatCode="&quot;R &quot;#,##0.00"/>
  </numFmts>
  <fonts count="20">
    <font>
      <sz val="11"/>
      <color theme="1"/>
      <name val="Calibri"/>
      <family val="2"/>
      <charset val="1"/>
    </font>
    <font>
      <sz val="10"/>
      <name val="Arial"/>
      <family val="0"/>
    </font>
    <font>
      <sz val="10"/>
      <name val="Arial"/>
      <family val="0"/>
    </font>
    <font>
      <sz val="10"/>
      <name val="Arial"/>
      <family val="0"/>
    </font>
    <font>
      <b val="true"/>
      <sz val="20"/>
      <color rgb="FF1B2733"/>
      <name val="Arial"/>
      <family val="0"/>
      <charset val="1"/>
    </font>
    <font>
      <b val="true"/>
      <sz val="13"/>
      <color rgb="FF3E6E91"/>
      <name val="Arial"/>
      <family val="0"/>
      <charset val="1"/>
    </font>
    <font>
      <i val="true"/>
      <sz val="10"/>
      <color rgb="FF6B7280"/>
      <name val="Arial"/>
      <family val="0"/>
      <charset val="1"/>
    </font>
    <font>
      <sz val="11"/>
      <color rgb="FF2A2A2A"/>
      <name val="Arial"/>
      <family val="0"/>
      <charset val="1"/>
    </font>
    <font>
      <b val="true"/>
      <sz val="16"/>
      <color rgb="FF1B2733"/>
      <name val="Arial"/>
      <family val="0"/>
      <charset val="1"/>
    </font>
    <font>
      <b val="true"/>
      <sz val="12"/>
      <color rgb="FFFFFFFF"/>
      <name val="Arial"/>
      <family val="0"/>
      <charset val="1"/>
    </font>
    <font>
      <sz val="10"/>
      <color rgb="FF2A2A2A"/>
      <name val="Arial"/>
      <family val="0"/>
      <charset val="1"/>
    </font>
    <font>
      <sz val="10"/>
      <color rgb="FF0000FF"/>
      <name val="Arial"/>
      <family val="0"/>
      <charset val="1"/>
    </font>
    <font>
      <b val="true"/>
      <sz val="10"/>
      <color rgb="FFFFFFFF"/>
      <name val="Arial"/>
      <family val="0"/>
      <charset val="1"/>
    </font>
    <font>
      <sz val="10"/>
      <name val="Arial"/>
      <family val="0"/>
      <charset val="1"/>
    </font>
    <font>
      <b val="true"/>
      <sz val="10"/>
      <name val="Arial"/>
      <family val="0"/>
      <charset val="1"/>
    </font>
    <font>
      <sz val="10"/>
      <color rgb="FF6B7280"/>
      <name val="Arial"/>
      <family val="0"/>
      <charset val="1"/>
    </font>
    <font>
      <i val="true"/>
      <sz val="9"/>
      <color rgb="FF6B7280"/>
      <name val="Arial"/>
      <family val="0"/>
      <charset val="1"/>
    </font>
    <font>
      <sz val="10"/>
      <color rgb="FF000000"/>
      <name val="Arial"/>
      <family val="0"/>
      <charset val="1"/>
    </font>
    <font>
      <i val="true"/>
      <sz val="9"/>
      <color rgb="FFC08A4E"/>
      <name val="Arial"/>
      <family val="0"/>
      <charset val="1"/>
    </font>
    <font>
      <sz val="9"/>
      <color rgb="FF2A2A2A"/>
      <name val="Arial"/>
      <family val="0"/>
      <charset val="1"/>
    </font>
  </fonts>
  <fills count="4">
    <fill>
      <patternFill patternType="none"/>
    </fill>
    <fill>
      <patternFill patternType="gray125"/>
    </fill>
    <fill>
      <patternFill patternType="solid">
        <fgColor rgb="FF1B2733"/>
        <bgColor rgb="FF2A2A2A"/>
      </patternFill>
    </fill>
    <fill>
      <patternFill patternType="solid">
        <fgColor rgb="FFFAFAF8"/>
        <bgColor rgb="FFFFFFFF"/>
      </patternFill>
    </fill>
  </fills>
  <borders count="2">
    <border diagonalUp="false" diagonalDown="false">
      <left/>
      <right/>
      <top/>
      <bottom/>
      <diagonal/>
    </border>
    <border diagonalUp="false" diagonalDown="false">
      <left style="thin">
        <color rgb="FFDDDDDD"/>
      </left>
      <right style="thin">
        <color rgb="FFDDDDDD"/>
      </right>
      <top style="thin">
        <color rgb="FFDDDDDD"/>
      </top>
      <bottom style="thin">
        <color rgb="FFDDDD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5" fontId="11" fillId="0" borderId="0" xfId="0" applyFont="true" applyBorder="false" applyAlignment="false" applyProtection="false">
      <alignment horizontal="general" vertical="bottom" textRotation="0" wrapText="false" indent="0" shrinkToFit="false"/>
      <protection locked="true" hidden="false"/>
    </xf>
    <xf numFmtId="166" fontId="11"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4" fontId="12" fillId="2"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4" fontId="15"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true" applyProtection="false">
      <alignment horizontal="general" vertical="bottom" textRotation="0" wrapText="true" indent="0" shrinkToFit="false"/>
      <protection locked="true" hidden="false"/>
    </xf>
    <xf numFmtId="168" fontId="11" fillId="0" borderId="0" xfId="0" applyFont="true" applyBorder="false" applyAlignment="false" applyProtection="false">
      <alignment horizontal="general" vertical="bottom" textRotation="0" wrapText="false" indent="0" shrinkToFit="false"/>
      <protection locked="true" hidden="false"/>
    </xf>
    <xf numFmtId="164" fontId="16" fillId="0" borderId="0" xfId="0" applyFont="true" applyBorder="false" applyAlignment="true" applyProtection="false">
      <alignment horizontal="general" vertical="bottom" textRotation="0" wrapText="true" indent="0" shrinkToFit="false"/>
      <protection locked="true" hidden="false"/>
    </xf>
    <xf numFmtId="164" fontId="12" fillId="2" borderId="0" xfId="0" applyFont="true" applyBorder="false" applyAlignment="true" applyProtection="false">
      <alignment horizontal="general" vertical="bottom" textRotation="0" wrapText="true" indent="0" shrinkToFit="false"/>
      <protection locked="true" hidden="false"/>
    </xf>
    <xf numFmtId="168" fontId="17"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true" applyAlignment="true" applyProtection="false">
      <alignment horizontal="general" vertical="bottom" textRotation="0" wrapText="true" indent="0" shrinkToFit="false"/>
      <protection locked="true" hidden="false"/>
    </xf>
    <xf numFmtId="164" fontId="12" fillId="2" borderId="0" xfId="0" applyFont="true" applyBorder="false" applyAlignment="true" applyProtection="false">
      <alignment horizontal="left" vertical="center" textRotation="0" wrapText="true" indent="0" shrinkToFit="false"/>
      <protection locked="true" hidden="false"/>
    </xf>
    <xf numFmtId="164" fontId="19" fillId="3" borderId="1" xfId="0" applyFont="true" applyBorder="true" applyAlignment="false" applyProtection="false">
      <alignment horizontal="general" vertical="bottom" textRotation="0" wrapText="false" indent="0" shrinkToFit="false"/>
      <protection locked="true" hidden="false"/>
    </xf>
    <xf numFmtId="165" fontId="17" fillId="3" borderId="1" xfId="0" applyFont="true" applyBorder="true" applyAlignment="false" applyProtection="false">
      <alignment horizontal="general" vertical="bottom" textRotation="0" wrapText="false" indent="0" shrinkToFit="false"/>
      <protection locked="true" hidden="false"/>
    </xf>
    <xf numFmtId="166" fontId="17" fillId="3" borderId="1" xfId="0" applyFont="true" applyBorder="true" applyAlignment="false" applyProtection="false">
      <alignment horizontal="general" vertical="bottom" textRotation="0" wrapText="false" indent="0" shrinkToFit="false"/>
      <protection locked="true" hidden="false"/>
    </xf>
    <xf numFmtId="169" fontId="17" fillId="3" borderId="1"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false" applyProtection="false">
      <alignment horizontal="general" vertical="bottom" textRotation="0" wrapText="false" indent="0" shrinkToFit="false"/>
      <protection locked="true" hidden="false"/>
    </xf>
    <xf numFmtId="165" fontId="17" fillId="0" borderId="1" xfId="0" applyFont="true" applyBorder="true" applyAlignment="false" applyProtection="false">
      <alignment horizontal="general" vertical="bottom" textRotation="0" wrapText="false" indent="0" shrinkToFit="false"/>
      <protection locked="true" hidden="false"/>
    </xf>
    <xf numFmtId="166" fontId="17" fillId="0" borderId="1" xfId="0" applyFont="true" applyBorder="true" applyAlignment="false" applyProtection="false">
      <alignment horizontal="general" vertical="bottom" textRotation="0" wrapText="false" indent="0" shrinkToFit="false"/>
      <protection locked="true" hidden="false"/>
    </xf>
    <xf numFmtId="169" fontId="17" fillId="0" borderId="1" xfId="0" applyFont="true" applyBorder="true" applyAlignment="false" applyProtection="false">
      <alignment horizontal="general" vertical="bottom" textRotation="0" wrapText="false" indent="0" shrinkToFit="false"/>
      <protection locked="true" hidden="false"/>
    </xf>
    <xf numFmtId="165" fontId="11" fillId="3" borderId="1" xfId="0" applyFont="true" applyBorder="true" applyAlignment="false" applyProtection="false">
      <alignment horizontal="general" vertical="bottom" textRotation="0" wrapText="false" indent="0" shrinkToFit="false"/>
      <protection locked="true" hidden="false"/>
    </xf>
    <xf numFmtId="165" fontId="11" fillId="0" borderId="1" xfId="0" applyFont="true" applyBorder="tru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7">
    <dxf>
      <fill>
        <patternFill patternType="solid">
          <fgColor rgb="FF1B2733"/>
          <bgColor rgb="FF000000"/>
        </patternFill>
      </fill>
    </dxf>
    <dxf>
      <fill>
        <patternFill patternType="solid">
          <fgColor rgb="FFFAFAF8"/>
          <bgColor rgb="FF000000"/>
        </patternFill>
      </fill>
    </dxf>
    <dxf>
      <fill>
        <patternFill patternType="solid">
          <bgColor rgb="FF000000"/>
        </patternFill>
      </fill>
    </dxf>
    <dxf>
      <fill>
        <patternFill patternType="solid">
          <fgColor rgb="FF2A2A2A"/>
          <bgColor rgb="FF000000"/>
        </patternFill>
      </fill>
    </dxf>
    <dxf>
      <fill>
        <patternFill patternType="solid">
          <fgColor rgb="FFFFFFFF"/>
          <bgColor rgb="FF000000"/>
        </patternFill>
      </fill>
    </dxf>
    <dxf>
      <fill>
        <patternFill patternType="solid">
          <fgColor rgb="FF000000"/>
          <bgColor rgb="FF000000"/>
        </patternFill>
      </fill>
    </dxf>
    <dxf>
      <fill>
        <patternFill patternType="solid">
          <fgColor rgb="FF0000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AFAF8"/>
      <rgbColor rgb="FFCCFFFF"/>
      <rgbColor rgb="FF660066"/>
      <rgbColor rgb="FFFF8080"/>
      <rgbColor rgb="FF0066CC"/>
      <rgbColor rgb="FFDDDDDD"/>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B7280"/>
      <rgbColor rgb="FFC08A4E"/>
      <rgbColor rgb="FF003366"/>
      <rgbColor rgb="FF3E6E91"/>
      <rgbColor rgb="FF003300"/>
      <rgbColor rgb="FF1B2733"/>
      <rgbColor rgb="FF993300"/>
      <rgbColor rgb="FF993366"/>
      <rgbColor rgb="FF333399"/>
      <rgbColor rgb="FF2A2A2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tables/table1.xml><?xml version="1.0" encoding="utf-8"?>
<table xmlns="http://schemas.openxmlformats.org/spreadsheetml/2006/main" id="1" name="PricedCatalogue" displayName="PricedCatalogue" ref="A1:T2148" headerRowCount="1" totalsRowCount="0" totalsRowShown="0">
  <autoFilter ref="A1:T2148"/>
  <tableColumns count="20">
    <tableColumn id="1" name="SKU"/>
    <tableColumn id="2" name="Category"/>
    <tableColumn id="3" name="Sub-Category"/>
    <tableColumn id="4" name="Product Name"/>
    <tableColumn id="5" name="Configuration"/>
    <tableColumn id="6" name="Standard Size"/>
    <tableColumn id="7" name="Finish"/>
    <tableColumn id="8" name="Glazing / Material Spec"/>
    <tableColumn id="9" name="Unit of Sale"/>
    <tableColumn id="10" name="Segment(s) Served"/>
    <tableColumn id="11" name="Fulfilment Type"/>
    <tableColumn id="12" name="Frame Class"/>
    <tableColumn id="13" name="Width (mm)"/>
    <tableColumn id="14" name="Height (mm)"/>
    <tableColumn id="15" name="Length (m)"/>
    <tableColumn id="16" name="Base Cost (R)"/>
    <tableColumn id="17" name="Markup %"/>
    <tableColumn id="18" name="Retail (R)"/>
    <tableColumn id="19" name="Trade (R)"/>
    <tableColumn id="20" name="Volume (R)"/>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7.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B2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100"/>
  </cols>
  <sheetData>
    <row r="2" customFormat="false" ht="24.45" hidden="false" customHeight="false" outlineLevel="0" collapsed="false">
      <c r="B2" s="1" t="s">
        <v>0</v>
      </c>
    </row>
    <row r="3" customFormat="false" ht="16.15" hidden="false" customHeight="false" outlineLevel="0" collapsed="false">
      <c r="B3" s="2" t="s">
        <v>1</v>
      </c>
    </row>
    <row r="4" customFormat="false" ht="15" hidden="false" customHeight="false" outlineLevel="0" collapsed="false">
      <c r="B4" s="3" t="s">
        <v>2</v>
      </c>
    </row>
    <row r="6" customFormat="false" ht="16.15" hidden="false" customHeight="false" outlineLevel="0" collapsed="false">
      <c r="B6" s="4" t="s">
        <v>3</v>
      </c>
    </row>
    <row r="7" customFormat="false" ht="64.9" hidden="false" customHeight="false" outlineLevel="0" collapsed="false">
      <c r="B7" s="5" t="s">
        <v>4</v>
      </c>
    </row>
    <row r="9" customFormat="false" ht="16.15" hidden="false" customHeight="false" outlineLevel="0" collapsed="false">
      <c r="B9" s="4" t="s">
        <v>5</v>
      </c>
    </row>
    <row r="10" customFormat="false" ht="115.65" hidden="false" customHeight="false" outlineLevel="0" collapsed="false">
      <c r="B10" s="5" t="s">
        <v>6</v>
      </c>
    </row>
    <row r="11" customFormat="false" ht="26.85" hidden="false" customHeight="false" outlineLevel="0" collapsed="false">
      <c r="B11" s="5" t="s">
        <v>7</v>
      </c>
    </row>
    <row r="12" customFormat="false" ht="39.55" hidden="false" customHeight="false" outlineLevel="0" collapsed="false">
      <c r="B12" s="5" t="s">
        <v>8</v>
      </c>
    </row>
    <row r="13" customFormat="false" ht="52.2" hidden="false" customHeight="false" outlineLevel="0" collapsed="false">
      <c r="B13" s="5" t="s">
        <v>9</v>
      </c>
    </row>
    <row r="15" customFormat="false" ht="16.15" hidden="false" customHeight="false" outlineLevel="0" collapsed="false">
      <c r="B15" s="4" t="s">
        <v>10</v>
      </c>
    </row>
    <row r="16" customFormat="false" ht="39.55" hidden="false" customHeight="false" outlineLevel="0" collapsed="false">
      <c r="B16" s="5" t="s">
        <v>11</v>
      </c>
    </row>
    <row r="17" customFormat="false" ht="39.55" hidden="false" customHeight="false" outlineLevel="0" collapsed="false">
      <c r="B17" s="5" t="s">
        <v>12</v>
      </c>
    </row>
    <row r="18" customFormat="false" ht="15" hidden="false" customHeight="false" outlineLevel="0" collapsed="false">
      <c r="B18" s="5" t="s">
        <v>13</v>
      </c>
    </row>
    <row r="20" customFormat="false" ht="16.15" hidden="false" customHeight="false" outlineLevel="0" collapsed="false">
      <c r="B20" s="4" t="s">
        <v>14</v>
      </c>
    </row>
    <row r="21" customFormat="false" ht="26.85" hidden="false" customHeight="false" outlineLevel="0" collapsed="false">
      <c r="B21" s="5" t="s">
        <v>15</v>
      </c>
    </row>
    <row r="23" customFormat="false" ht="16.15" hidden="false" customHeight="false" outlineLevel="0" collapsed="false">
      <c r="B23" s="4" t="s">
        <v>16</v>
      </c>
    </row>
    <row r="24" customFormat="false" ht="26.85" hidden="false" customHeight="false" outlineLevel="0" collapsed="false">
      <c r="B24" s="5" t="s">
        <v>17</v>
      </c>
    </row>
    <row r="25" customFormat="false" ht="26.85" hidden="false" customHeight="false" outlineLevel="0" collapsed="false">
      <c r="B25" s="5" t="s">
        <v>18</v>
      </c>
    </row>
    <row r="26" customFormat="false" ht="15" hidden="false" customHeight="false" outlineLevel="0" collapsed="false">
      <c r="B26" s="5" t="s">
        <v>19</v>
      </c>
    </row>
    <row r="27" customFormat="false" ht="15" hidden="false" customHeight="false" outlineLevel="0" collapsed="false">
      <c r="B27" s="5" t="s">
        <v>20</v>
      </c>
    </row>
    <row r="28" customFormat="false" ht="26.85" hidden="false" customHeight="false" outlineLevel="0" collapsed="false">
      <c r="B28" s="5" t="s">
        <v>21</v>
      </c>
    </row>
    <row r="29" customFormat="false" ht="26.85" hidden="false" customHeight="false" outlineLevel="0" collapsed="false">
      <c r="B29" s="5" t="s">
        <v>22</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1:C12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2"/>
    <col collapsed="false" customWidth="true" hidden="false" outlineLevel="0" max="2" min="2" style="0" width="46"/>
    <col collapsed="false" customWidth="true" hidden="false" outlineLevel="0" max="3" min="3" style="0" width="14"/>
  </cols>
  <sheetData>
    <row r="1" customFormat="false" ht="19.7" hidden="false" customHeight="false" outlineLevel="0" collapsed="false">
      <c r="B1" s="6" t="s">
        <v>23</v>
      </c>
    </row>
    <row r="2" customFormat="false" ht="15" hidden="false" customHeight="false" outlineLevel="0" collapsed="false">
      <c r="B2" s="7" t="s">
        <v>24</v>
      </c>
      <c r="C2" s="8"/>
    </row>
    <row r="3" customFormat="false" ht="15" hidden="false" customHeight="false" outlineLevel="0" collapsed="false">
      <c r="B3" s="9" t="s">
        <v>25</v>
      </c>
      <c r="C3" s="10" t="n">
        <v>18.5</v>
      </c>
    </row>
    <row r="4" customFormat="false" ht="15" hidden="false" customHeight="false" outlineLevel="0" collapsed="false">
      <c r="B4" s="9" t="s">
        <v>26</v>
      </c>
      <c r="C4" s="11" t="n">
        <v>0.32</v>
      </c>
    </row>
    <row r="5" customFormat="false" ht="15" hidden="false" customHeight="false" outlineLevel="0" collapsed="false">
      <c r="B5" s="9" t="s">
        <v>27</v>
      </c>
      <c r="C5" s="12" t="n">
        <v>450</v>
      </c>
    </row>
    <row r="7" customFormat="false" ht="15" hidden="false" customHeight="false" outlineLevel="0" collapsed="false">
      <c r="B7" s="7" t="s">
        <v>28</v>
      </c>
      <c r="C7" s="8"/>
    </row>
    <row r="8" customFormat="false" ht="15" hidden="false" customHeight="false" outlineLevel="0" collapsed="false">
      <c r="B8" s="9" t="s">
        <v>29</v>
      </c>
      <c r="C8" s="10" t="n">
        <v>1.7</v>
      </c>
    </row>
    <row r="9" customFormat="false" ht="15" hidden="false" customHeight="false" outlineLevel="0" collapsed="false">
      <c r="B9" s="9" t="s">
        <v>30</v>
      </c>
      <c r="C9" s="10" t="n">
        <v>2.3</v>
      </c>
    </row>
    <row r="10" customFormat="false" ht="15" hidden="false" customHeight="false" outlineLevel="0" collapsed="false">
      <c r="B10" s="9" t="s">
        <v>31</v>
      </c>
      <c r="C10" s="10" t="n">
        <v>1.1</v>
      </c>
    </row>
    <row r="11" customFormat="false" ht="15" hidden="false" customHeight="false" outlineLevel="0" collapsed="false">
      <c r="B11" s="9" t="s">
        <v>32</v>
      </c>
      <c r="C11" s="10" t="n">
        <v>2.6</v>
      </c>
    </row>
    <row r="12" customFormat="false" ht="15" hidden="false" customHeight="false" outlineLevel="0" collapsed="false">
      <c r="B12" s="9" t="s">
        <v>33</v>
      </c>
      <c r="C12" s="10" t="n">
        <v>1.4</v>
      </c>
    </row>
    <row r="15" customFormat="false" ht="15" hidden="false" customHeight="false" outlineLevel="0" collapsed="false">
      <c r="B15" s="7" t="s">
        <v>34</v>
      </c>
      <c r="C15" s="8"/>
    </row>
    <row r="16" customFormat="false" ht="15" hidden="false" customHeight="false" outlineLevel="0" collapsed="false">
      <c r="B16" s="9" t="s">
        <v>35</v>
      </c>
      <c r="C16" s="12" t="n">
        <v>25</v>
      </c>
    </row>
    <row r="17" customFormat="false" ht="15" hidden="false" customHeight="false" outlineLevel="0" collapsed="false">
      <c r="B17" s="9" t="s">
        <v>36</v>
      </c>
      <c r="C17" s="12" t="n">
        <v>38</v>
      </c>
    </row>
    <row r="18" customFormat="false" ht="15" hidden="false" customHeight="false" outlineLevel="0" collapsed="false">
      <c r="B18" s="9" t="s">
        <v>37</v>
      </c>
      <c r="C18" s="12" t="n">
        <v>38</v>
      </c>
    </row>
    <row r="19" customFormat="false" ht="15" hidden="false" customHeight="false" outlineLevel="0" collapsed="false">
      <c r="B19" s="9" t="s">
        <v>38</v>
      </c>
      <c r="C19" s="12" t="n">
        <v>40</v>
      </c>
    </row>
    <row r="20" customFormat="false" ht="15" hidden="false" customHeight="false" outlineLevel="0" collapsed="false">
      <c r="B20" s="9" t="s">
        <v>39</v>
      </c>
      <c r="C20" s="12" t="n">
        <v>55</v>
      </c>
    </row>
    <row r="23" customFormat="false" ht="15" hidden="false" customHeight="false" outlineLevel="0" collapsed="false">
      <c r="B23" s="7" t="s">
        <v>40</v>
      </c>
      <c r="C23" s="8"/>
    </row>
    <row r="24" customFormat="false" ht="15" hidden="false" customHeight="false" outlineLevel="0" collapsed="false">
      <c r="B24" s="9" t="s">
        <v>41</v>
      </c>
      <c r="C24" s="12" t="n">
        <v>2300</v>
      </c>
    </row>
    <row r="25" customFormat="false" ht="15" hidden="false" customHeight="false" outlineLevel="0" collapsed="false">
      <c r="B25" s="9" t="s">
        <v>42</v>
      </c>
      <c r="C25" s="12" t="n">
        <v>2100</v>
      </c>
    </row>
    <row r="26" customFormat="false" ht="15" hidden="false" customHeight="false" outlineLevel="0" collapsed="false">
      <c r="B26" s="9" t="s">
        <v>43</v>
      </c>
      <c r="C26" s="12" t="n">
        <v>2150</v>
      </c>
    </row>
    <row r="27" customFormat="false" ht="15" hidden="false" customHeight="false" outlineLevel="0" collapsed="false">
      <c r="B27" s="9" t="s">
        <v>44</v>
      </c>
      <c r="C27" s="12" t="n">
        <v>2000</v>
      </c>
    </row>
    <row r="28" customFormat="false" ht="15" hidden="false" customHeight="false" outlineLevel="0" collapsed="false">
      <c r="B28" s="9" t="s">
        <v>45</v>
      </c>
      <c r="C28" s="12" t="n">
        <v>2400</v>
      </c>
    </row>
    <row r="29" customFormat="false" ht="15" hidden="false" customHeight="false" outlineLevel="0" collapsed="false">
      <c r="B29" s="9" t="s">
        <v>46</v>
      </c>
      <c r="C29" s="12" t="n">
        <v>1750</v>
      </c>
    </row>
    <row r="30" customFormat="false" ht="15" hidden="false" customHeight="false" outlineLevel="0" collapsed="false">
      <c r="B30" s="9" t="s">
        <v>47</v>
      </c>
      <c r="C30" s="12" t="n">
        <v>2800</v>
      </c>
    </row>
    <row r="31" customFormat="false" ht="15" hidden="false" customHeight="false" outlineLevel="0" collapsed="false">
      <c r="B31" s="9" t="s">
        <v>48</v>
      </c>
      <c r="C31" s="12" t="n">
        <v>2600</v>
      </c>
    </row>
    <row r="32" customFormat="false" ht="15" hidden="false" customHeight="false" outlineLevel="0" collapsed="false">
      <c r="B32" s="9" t="s">
        <v>49</v>
      </c>
      <c r="C32" s="12" t="n">
        <v>2050</v>
      </c>
    </row>
    <row r="33" customFormat="false" ht="15" hidden="false" customHeight="false" outlineLevel="0" collapsed="false">
      <c r="B33" s="9" t="s">
        <v>50</v>
      </c>
      <c r="C33" s="12" t="n">
        <v>3200</v>
      </c>
    </row>
    <row r="34" customFormat="false" ht="15" hidden="false" customHeight="false" outlineLevel="0" collapsed="false">
      <c r="B34" s="9" t="s">
        <v>51</v>
      </c>
      <c r="C34" s="12" t="n">
        <v>2300</v>
      </c>
    </row>
    <row r="35" customFormat="false" ht="15" hidden="false" customHeight="false" outlineLevel="0" collapsed="false">
      <c r="B35" s="9" t="s">
        <v>52</v>
      </c>
      <c r="C35" s="12" t="n">
        <v>2400</v>
      </c>
    </row>
    <row r="36" customFormat="false" ht="15" hidden="false" customHeight="false" outlineLevel="0" collapsed="false">
      <c r="B36" s="9" t="s">
        <v>53</v>
      </c>
      <c r="C36" s="12" t="n">
        <v>3500</v>
      </c>
    </row>
    <row r="37" customFormat="false" ht="15" hidden="false" customHeight="false" outlineLevel="0" collapsed="false">
      <c r="B37" s="9" t="s">
        <v>54</v>
      </c>
      <c r="C37" s="12" t="n">
        <v>1400</v>
      </c>
    </row>
    <row r="38" customFormat="false" ht="15" hidden="false" customHeight="false" outlineLevel="0" collapsed="false">
      <c r="B38" s="9" t="s">
        <v>55</v>
      </c>
      <c r="C38" s="12" t="n">
        <v>1800</v>
      </c>
    </row>
    <row r="39" customFormat="false" ht="15" hidden="false" customHeight="false" outlineLevel="0" collapsed="false">
      <c r="B39" s="9" t="s">
        <v>56</v>
      </c>
      <c r="C39" s="12" t="n">
        <v>1600</v>
      </c>
    </row>
    <row r="40" customFormat="false" ht="15" hidden="false" customHeight="false" outlineLevel="0" collapsed="false">
      <c r="B40" s="9" t="s">
        <v>57</v>
      </c>
      <c r="C40" s="12" t="n">
        <v>1200</v>
      </c>
    </row>
    <row r="41" customFormat="false" ht="15" hidden="false" customHeight="false" outlineLevel="0" collapsed="false">
      <c r="B41" s="9" t="s">
        <v>58</v>
      </c>
      <c r="C41" s="12" t="n">
        <v>1500</v>
      </c>
    </row>
    <row r="42" customFormat="false" ht="15" hidden="false" customHeight="false" outlineLevel="0" collapsed="false">
      <c r="B42" s="9" t="s">
        <v>59</v>
      </c>
      <c r="C42" s="12" t="n">
        <v>2600</v>
      </c>
    </row>
    <row r="43" customFormat="false" ht="15" hidden="false" customHeight="false" outlineLevel="0" collapsed="false">
      <c r="B43" s="9" t="s">
        <v>60</v>
      </c>
      <c r="C43" s="12" t="n">
        <v>1650</v>
      </c>
    </row>
    <row r="44" customFormat="false" ht="15" hidden="false" customHeight="false" outlineLevel="0" collapsed="false">
      <c r="B44" s="9" t="s">
        <v>61</v>
      </c>
      <c r="C44" s="12" t="n">
        <v>1900</v>
      </c>
    </row>
    <row r="47" customFormat="false" ht="15" hidden="false" customHeight="false" outlineLevel="0" collapsed="false">
      <c r="B47" s="7" t="s">
        <v>62</v>
      </c>
      <c r="C47" s="8"/>
    </row>
    <row r="48" customFormat="false" ht="15" hidden="false" customHeight="false" outlineLevel="0" collapsed="false">
      <c r="B48" s="9" t="s">
        <v>63</v>
      </c>
      <c r="C48" s="12" t="n">
        <v>0</v>
      </c>
    </row>
    <row r="49" customFormat="false" ht="15" hidden="false" customHeight="false" outlineLevel="0" collapsed="false">
      <c r="B49" s="9" t="s">
        <v>64</v>
      </c>
      <c r="C49" s="12" t="n">
        <v>550</v>
      </c>
    </row>
    <row r="50" customFormat="false" ht="15" hidden="false" customHeight="false" outlineLevel="0" collapsed="false">
      <c r="B50" s="9" t="s">
        <v>65</v>
      </c>
      <c r="C50" s="12" t="n">
        <v>0</v>
      </c>
    </row>
    <row r="51" customFormat="false" ht="15" hidden="false" customHeight="false" outlineLevel="0" collapsed="false">
      <c r="B51" s="9" t="s">
        <v>66</v>
      </c>
      <c r="C51" s="12" t="n">
        <v>700</v>
      </c>
    </row>
    <row r="52" customFormat="false" ht="15" hidden="false" customHeight="false" outlineLevel="0" collapsed="false">
      <c r="B52" s="9" t="s">
        <v>67</v>
      </c>
      <c r="C52" s="12" t="n">
        <v>0</v>
      </c>
    </row>
    <row r="53" customFormat="false" ht="15" hidden="false" customHeight="false" outlineLevel="0" collapsed="false">
      <c r="B53" s="9" t="s">
        <v>68</v>
      </c>
      <c r="C53" s="12" t="n">
        <v>0</v>
      </c>
    </row>
    <row r="54" customFormat="false" ht="15" hidden="false" customHeight="false" outlineLevel="0" collapsed="false">
      <c r="B54" s="9" t="s">
        <v>69</v>
      </c>
      <c r="C54" s="12" t="n">
        <v>0</v>
      </c>
    </row>
    <row r="55" customFormat="false" ht="15" hidden="false" customHeight="false" outlineLevel="0" collapsed="false">
      <c r="B55" s="9" t="s">
        <v>70</v>
      </c>
      <c r="C55" s="12" t="n">
        <v>0</v>
      </c>
    </row>
    <row r="56" customFormat="false" ht="15" hidden="false" customHeight="false" outlineLevel="0" collapsed="false">
      <c r="B56" s="9" t="s">
        <v>71</v>
      </c>
      <c r="C56" s="12" t="n">
        <v>350</v>
      </c>
    </row>
    <row r="59" customFormat="false" ht="15" hidden="false" customHeight="false" outlineLevel="0" collapsed="false">
      <c r="B59" s="7" t="s">
        <v>72</v>
      </c>
      <c r="C59" s="8"/>
    </row>
    <row r="60" customFormat="false" ht="15" hidden="false" customHeight="false" outlineLevel="0" collapsed="false">
      <c r="B60" s="9" t="s">
        <v>67</v>
      </c>
      <c r="C60" s="12" t="n">
        <v>190</v>
      </c>
    </row>
    <row r="61" customFormat="false" ht="15" hidden="false" customHeight="false" outlineLevel="0" collapsed="false">
      <c r="B61" s="9" t="s">
        <v>68</v>
      </c>
      <c r="C61" s="12" t="n">
        <v>320</v>
      </c>
    </row>
    <row r="62" customFormat="false" ht="15" hidden="false" customHeight="false" outlineLevel="0" collapsed="false">
      <c r="B62" s="9" t="s">
        <v>63</v>
      </c>
      <c r="C62" s="12" t="n">
        <v>190</v>
      </c>
    </row>
    <row r="63" customFormat="false" ht="15" hidden="false" customHeight="false" outlineLevel="0" collapsed="false">
      <c r="B63" s="9" t="s">
        <v>64</v>
      </c>
      <c r="C63" s="12" t="n">
        <v>950</v>
      </c>
    </row>
    <row r="64" customFormat="false" ht="15" hidden="false" customHeight="false" outlineLevel="0" collapsed="false">
      <c r="B64" s="9" t="s">
        <v>65</v>
      </c>
      <c r="C64" s="12" t="n">
        <v>420</v>
      </c>
    </row>
    <row r="65" customFormat="false" ht="15" hidden="false" customHeight="false" outlineLevel="0" collapsed="false">
      <c r="B65" s="9" t="s">
        <v>66</v>
      </c>
      <c r="C65" s="12" t="n">
        <v>1250</v>
      </c>
    </row>
    <row r="66" customFormat="false" ht="15" hidden="false" customHeight="false" outlineLevel="0" collapsed="false">
      <c r="B66" s="9" t="s">
        <v>73</v>
      </c>
      <c r="C66" s="12" t="n">
        <v>1100</v>
      </c>
    </row>
    <row r="67" customFormat="false" ht="15" hidden="false" customHeight="false" outlineLevel="0" collapsed="false">
      <c r="B67" s="9" t="s">
        <v>69</v>
      </c>
      <c r="C67" s="12" t="n">
        <v>0</v>
      </c>
    </row>
    <row r="68" customFormat="false" ht="15" hidden="false" customHeight="false" outlineLevel="0" collapsed="false">
      <c r="B68" s="9" t="s">
        <v>70</v>
      </c>
      <c r="C68" s="12" t="n">
        <v>0</v>
      </c>
    </row>
    <row r="69" customFormat="false" ht="15" hidden="false" customHeight="false" outlineLevel="0" collapsed="false">
      <c r="B69" s="9" t="s">
        <v>71</v>
      </c>
      <c r="C69" s="12" t="n">
        <v>560</v>
      </c>
    </row>
    <row r="70" customFormat="false" ht="15" hidden="false" customHeight="false" outlineLevel="0" collapsed="false">
      <c r="B70" s="9" t="s">
        <v>74</v>
      </c>
      <c r="C70" s="12" t="n">
        <v>190</v>
      </c>
    </row>
    <row r="71" customFormat="false" ht="15" hidden="false" customHeight="false" outlineLevel="0" collapsed="false">
      <c r="B71" s="9" t="s">
        <v>75</v>
      </c>
      <c r="C71" s="12" t="n">
        <v>230</v>
      </c>
    </row>
    <row r="72" customFormat="false" ht="15" hidden="false" customHeight="false" outlineLevel="0" collapsed="false">
      <c r="B72" s="9" t="s">
        <v>76</v>
      </c>
      <c r="C72" s="12" t="n">
        <v>270</v>
      </c>
    </row>
    <row r="73" customFormat="false" ht="15" hidden="false" customHeight="false" outlineLevel="0" collapsed="false">
      <c r="B73" s="9" t="s">
        <v>77</v>
      </c>
      <c r="C73" s="12" t="n">
        <v>300</v>
      </c>
    </row>
    <row r="74" customFormat="false" ht="15" hidden="false" customHeight="false" outlineLevel="0" collapsed="false">
      <c r="B74" s="9" t="s">
        <v>78</v>
      </c>
      <c r="C74" s="12" t="n">
        <v>340</v>
      </c>
    </row>
    <row r="75" customFormat="false" ht="15" hidden="false" customHeight="false" outlineLevel="0" collapsed="false">
      <c r="B75" s="9" t="s">
        <v>79</v>
      </c>
      <c r="C75" s="12" t="n">
        <v>380</v>
      </c>
    </row>
    <row r="76" customFormat="false" ht="15" hidden="false" customHeight="false" outlineLevel="0" collapsed="false">
      <c r="B76" s="9" t="s">
        <v>80</v>
      </c>
      <c r="C76" s="12" t="n">
        <v>480</v>
      </c>
    </row>
    <row r="77" customFormat="false" ht="15" hidden="false" customHeight="false" outlineLevel="0" collapsed="false">
      <c r="B77" s="9" t="s">
        <v>81</v>
      </c>
      <c r="C77" s="12" t="n">
        <v>580</v>
      </c>
    </row>
    <row r="78" customFormat="false" ht="15" hidden="false" customHeight="false" outlineLevel="0" collapsed="false">
      <c r="B78" s="9" t="s">
        <v>82</v>
      </c>
      <c r="C78" s="12" t="n">
        <v>420</v>
      </c>
    </row>
    <row r="79" customFormat="false" ht="15" hidden="false" customHeight="false" outlineLevel="0" collapsed="false">
      <c r="B79" s="9" t="s">
        <v>83</v>
      </c>
      <c r="C79" s="12" t="n">
        <v>520</v>
      </c>
    </row>
    <row r="80" customFormat="false" ht="15" hidden="false" customHeight="false" outlineLevel="0" collapsed="false">
      <c r="B80" s="9" t="s">
        <v>84</v>
      </c>
      <c r="C80" s="12" t="n">
        <v>210</v>
      </c>
    </row>
    <row r="81" customFormat="false" ht="15" hidden="false" customHeight="false" outlineLevel="0" collapsed="false">
      <c r="B81" s="9" t="s">
        <v>85</v>
      </c>
      <c r="C81" s="12" t="n">
        <v>245</v>
      </c>
    </row>
    <row r="82" customFormat="false" ht="15" hidden="false" customHeight="false" outlineLevel="0" collapsed="false">
      <c r="B82" s="9" t="s">
        <v>86</v>
      </c>
      <c r="C82" s="12" t="n">
        <v>400</v>
      </c>
    </row>
    <row r="83" customFormat="false" ht="15" hidden="false" customHeight="false" outlineLevel="0" collapsed="false">
      <c r="B83" s="9" t="s">
        <v>87</v>
      </c>
      <c r="C83" s="12" t="n">
        <v>400</v>
      </c>
    </row>
    <row r="84" customFormat="false" ht="15" hidden="false" customHeight="false" outlineLevel="0" collapsed="false">
      <c r="B84" s="9" t="s">
        <v>88</v>
      </c>
      <c r="C84" s="12" t="n">
        <v>410</v>
      </c>
    </row>
    <row r="85" customFormat="false" ht="15" hidden="false" customHeight="false" outlineLevel="0" collapsed="false">
      <c r="B85" s="9" t="s">
        <v>89</v>
      </c>
      <c r="C85" s="12" t="n">
        <v>380</v>
      </c>
    </row>
    <row r="86" customFormat="false" ht="15" hidden="false" customHeight="false" outlineLevel="0" collapsed="false">
      <c r="B86" s="9" t="s">
        <v>90</v>
      </c>
      <c r="C86" s="12" t="n">
        <v>430</v>
      </c>
    </row>
    <row r="87" customFormat="false" ht="15" hidden="false" customHeight="false" outlineLevel="0" collapsed="false">
      <c r="B87" s="9" t="s">
        <v>91</v>
      </c>
      <c r="C87" s="12" t="n">
        <v>950</v>
      </c>
    </row>
    <row r="88" customFormat="false" ht="15" hidden="false" customHeight="false" outlineLevel="0" collapsed="false">
      <c r="B88" s="9" t="s">
        <v>92</v>
      </c>
      <c r="C88" s="12" t="n">
        <v>1150</v>
      </c>
    </row>
    <row r="89" customFormat="false" ht="15" hidden="false" customHeight="false" outlineLevel="0" collapsed="false">
      <c r="B89" s="9" t="s">
        <v>93</v>
      </c>
      <c r="C89" s="12" t="n">
        <v>350</v>
      </c>
    </row>
    <row r="90" customFormat="false" ht="15" hidden="false" customHeight="false" outlineLevel="0" collapsed="false">
      <c r="B90" s="9" t="s">
        <v>94</v>
      </c>
      <c r="C90" s="12" t="n">
        <v>400</v>
      </c>
    </row>
    <row r="93" customFormat="false" ht="15" hidden="false" customHeight="false" outlineLevel="0" collapsed="false">
      <c r="B93" s="7" t="s">
        <v>95</v>
      </c>
      <c r="C93" s="8"/>
    </row>
    <row r="94" customFormat="false" ht="15" hidden="false" customHeight="false" outlineLevel="0" collapsed="false">
      <c r="B94" s="9" t="s">
        <v>96</v>
      </c>
      <c r="C94" s="12" t="n">
        <v>250</v>
      </c>
    </row>
    <row r="95" customFormat="false" ht="15" hidden="false" customHeight="false" outlineLevel="0" collapsed="false">
      <c r="B95" s="9" t="s">
        <v>97</v>
      </c>
      <c r="C95" s="12" t="n">
        <v>550</v>
      </c>
    </row>
    <row r="96" customFormat="false" ht="15" hidden="false" customHeight="false" outlineLevel="0" collapsed="false">
      <c r="B96" s="9" t="s">
        <v>54</v>
      </c>
      <c r="C96" s="12" t="n">
        <v>300</v>
      </c>
    </row>
    <row r="97" customFormat="false" ht="15" hidden="false" customHeight="false" outlineLevel="0" collapsed="false">
      <c r="B97" s="9" t="s">
        <v>59</v>
      </c>
      <c r="C97" s="12" t="n">
        <v>180</v>
      </c>
    </row>
    <row r="98" customFormat="false" ht="15" hidden="false" customHeight="false" outlineLevel="0" collapsed="false">
      <c r="B98" s="9" t="s">
        <v>60</v>
      </c>
      <c r="C98" s="12" t="n">
        <v>950</v>
      </c>
    </row>
    <row r="99" customFormat="false" ht="15" hidden="false" customHeight="false" outlineLevel="0" collapsed="false">
      <c r="B99" s="9" t="s">
        <v>57</v>
      </c>
      <c r="C99" s="12" t="n">
        <v>350</v>
      </c>
    </row>
    <row r="100" customFormat="false" ht="15" hidden="false" customHeight="false" outlineLevel="0" collapsed="false">
      <c r="B100" s="9" t="s">
        <v>58</v>
      </c>
      <c r="C100" s="12" t="n">
        <v>150</v>
      </c>
    </row>
    <row r="101" customFormat="false" ht="15" hidden="false" customHeight="false" outlineLevel="0" collapsed="false">
      <c r="B101" s="9" t="s">
        <v>61</v>
      </c>
      <c r="C101" s="12" t="n">
        <v>200</v>
      </c>
    </row>
    <row r="102" customFormat="false" ht="15" hidden="false" customHeight="false" outlineLevel="0" collapsed="false">
      <c r="B102" s="9" t="s">
        <v>55</v>
      </c>
      <c r="C102" s="12" t="n">
        <v>420</v>
      </c>
    </row>
    <row r="103" customFormat="false" ht="15" hidden="false" customHeight="false" outlineLevel="0" collapsed="false">
      <c r="B103" s="9" t="s">
        <v>56</v>
      </c>
      <c r="C103" s="12" t="n">
        <v>500</v>
      </c>
    </row>
    <row r="106" customFormat="false" ht="15" hidden="false" customHeight="false" outlineLevel="0" collapsed="false">
      <c r="B106" s="7" t="s">
        <v>98</v>
      </c>
      <c r="C106" s="8"/>
    </row>
    <row r="107" customFormat="false" ht="15" hidden="false" customHeight="false" outlineLevel="0" collapsed="false">
      <c r="B107" s="9" t="s">
        <v>99</v>
      </c>
      <c r="C107" s="12" t="n">
        <v>2200</v>
      </c>
    </row>
    <row r="108" customFormat="false" ht="15" hidden="false" customHeight="false" outlineLevel="0" collapsed="false">
      <c r="B108" s="9" t="s">
        <v>100</v>
      </c>
      <c r="C108" s="12" t="n">
        <v>1400</v>
      </c>
    </row>
    <row r="109" customFormat="false" ht="15" hidden="false" customHeight="false" outlineLevel="0" collapsed="false">
      <c r="B109" s="9" t="s">
        <v>101</v>
      </c>
      <c r="C109" s="12" t="n">
        <v>1800</v>
      </c>
    </row>
    <row r="110" customFormat="false" ht="15" hidden="false" customHeight="false" outlineLevel="0" collapsed="false">
      <c r="B110" s="9" t="s">
        <v>102</v>
      </c>
      <c r="C110" s="12" t="n">
        <v>1200</v>
      </c>
    </row>
    <row r="113" customFormat="false" ht="15" hidden="false" customHeight="false" outlineLevel="0" collapsed="false">
      <c r="B113" s="7" t="s">
        <v>103</v>
      </c>
      <c r="C113" s="8"/>
    </row>
    <row r="114" customFormat="false" ht="15" hidden="false" customHeight="false" outlineLevel="0" collapsed="false">
      <c r="B114" s="9" t="s">
        <v>104</v>
      </c>
      <c r="C114" s="10" t="n">
        <v>0.22</v>
      </c>
    </row>
    <row r="115" customFormat="false" ht="15" hidden="false" customHeight="false" outlineLevel="0" collapsed="false">
      <c r="B115" s="9" t="s">
        <v>105</v>
      </c>
      <c r="C115" s="10" t="n">
        <v>0.28</v>
      </c>
    </row>
    <row r="116" customFormat="false" ht="15" hidden="false" customHeight="false" outlineLevel="0" collapsed="false">
      <c r="B116" s="9" t="s">
        <v>106</v>
      </c>
      <c r="C116" s="10" t="n">
        <v>0.52</v>
      </c>
    </row>
    <row r="117" customFormat="false" ht="15" hidden="false" customHeight="false" outlineLevel="0" collapsed="false">
      <c r="B117" s="9" t="s">
        <v>107</v>
      </c>
      <c r="C117" s="10" t="n">
        <v>0.68</v>
      </c>
    </row>
    <row r="118" customFormat="false" ht="15" hidden="false" customHeight="false" outlineLevel="0" collapsed="false">
      <c r="B118" s="9" t="s">
        <v>108</v>
      </c>
      <c r="C118" s="10" t="n">
        <v>0.19</v>
      </c>
    </row>
    <row r="119" customFormat="false" ht="15" hidden="false" customHeight="false" outlineLevel="0" collapsed="false">
      <c r="B119" s="9" t="s">
        <v>109</v>
      </c>
      <c r="C119" s="10" t="n">
        <v>0.31</v>
      </c>
    </row>
    <row r="120" customFormat="false" ht="15" hidden="false" customHeight="false" outlineLevel="0" collapsed="false">
      <c r="B120" s="9" t="s">
        <v>110</v>
      </c>
      <c r="C120" s="10" t="n">
        <v>0.2</v>
      </c>
    </row>
    <row r="121" customFormat="false" ht="15" hidden="false" customHeight="false" outlineLevel="0" collapsed="false">
      <c r="B121" s="9" t="s">
        <v>111</v>
      </c>
      <c r="C121" s="10" t="n">
        <v>0.54</v>
      </c>
    </row>
    <row r="122" customFormat="false" ht="15" hidden="false" customHeight="false" outlineLevel="0" collapsed="false">
      <c r="B122" s="9" t="s">
        <v>112</v>
      </c>
      <c r="C122" s="10" t="n">
        <v>0.24</v>
      </c>
    </row>
    <row r="123" customFormat="false" ht="15" hidden="false" customHeight="false" outlineLevel="0" collapsed="false">
      <c r="B123" s="9" t="s">
        <v>113</v>
      </c>
      <c r="C123" s="10" t="n">
        <v>0.32</v>
      </c>
    </row>
    <row r="124" customFormat="false" ht="15" hidden="false" customHeight="false" outlineLevel="0" collapsed="false">
      <c r="B124" s="9" t="s">
        <v>114</v>
      </c>
      <c r="C124" s="10" t="n">
        <v>0.21</v>
      </c>
    </row>
    <row r="125" customFormat="false" ht="15" hidden="false" customHeight="false" outlineLevel="0" collapsed="false">
      <c r="B125" s="9" t="s">
        <v>115</v>
      </c>
      <c r="C125" s="10" t="n">
        <v>0.23</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34"/>
    <col collapsed="false" customWidth="true" hidden="false" outlineLevel="0" max="3" min="3" style="0" width="14"/>
  </cols>
  <sheetData>
    <row r="1" customFormat="false" ht="15" hidden="false" customHeight="false" outlineLevel="0" collapsed="false">
      <c r="A1" s="13" t="s">
        <v>116</v>
      </c>
      <c r="B1" s="13" t="s">
        <v>117</v>
      </c>
      <c r="C1" s="13" t="s">
        <v>118</v>
      </c>
    </row>
    <row r="2" customFormat="false" ht="15" hidden="false" customHeight="false" outlineLevel="0" collapsed="false">
      <c r="A2" s="14" t="s">
        <v>96</v>
      </c>
      <c r="B2" s="3" t="s">
        <v>119</v>
      </c>
      <c r="C2" s="11" t="n">
        <v>0.42</v>
      </c>
    </row>
    <row r="3" customFormat="false" ht="15" hidden="false" customHeight="false" outlineLevel="0" collapsed="false">
      <c r="A3" s="14" t="s">
        <v>97</v>
      </c>
      <c r="B3" s="3" t="s">
        <v>119</v>
      </c>
      <c r="C3" s="11" t="n">
        <v>0.4</v>
      </c>
    </row>
    <row r="4" customFormat="false" ht="15" hidden="false" customHeight="false" outlineLevel="0" collapsed="false">
      <c r="A4" s="14" t="s">
        <v>120</v>
      </c>
      <c r="B4" s="3" t="s">
        <v>119</v>
      </c>
      <c r="C4" s="11" t="n">
        <v>0.3</v>
      </c>
    </row>
    <row r="5" customFormat="false" ht="15" hidden="false" customHeight="false" outlineLevel="0" collapsed="false">
      <c r="A5" s="14" t="s">
        <v>121</v>
      </c>
      <c r="B5" s="3" t="s">
        <v>119</v>
      </c>
      <c r="C5" s="11" t="n">
        <v>0.45</v>
      </c>
    </row>
    <row r="6" customFormat="false" ht="15" hidden="false" customHeight="false" outlineLevel="0" collapsed="false">
      <c r="A6" s="14" t="s">
        <v>122</v>
      </c>
      <c r="B6" s="3" t="s">
        <v>119</v>
      </c>
      <c r="C6" s="11" t="n">
        <v>0.42</v>
      </c>
    </row>
    <row r="7" customFormat="false" ht="15" hidden="false" customHeight="false" outlineLevel="0" collapsed="false">
      <c r="A7" s="14" t="s">
        <v>123</v>
      </c>
      <c r="B7" s="3" t="s">
        <v>119</v>
      </c>
      <c r="C7" s="11" t="n">
        <v>0.38</v>
      </c>
    </row>
    <row r="8" customFormat="false" ht="15" hidden="false" customHeight="false" outlineLevel="0" collapsed="false">
      <c r="A8" s="15" t="s">
        <v>124</v>
      </c>
    </row>
    <row r="9" customFormat="false" ht="15" hidden="false" customHeight="false" outlineLevel="0" collapsed="false">
      <c r="A9" s="16" t="s">
        <v>124</v>
      </c>
      <c r="B9" s="14" t="s">
        <v>125</v>
      </c>
      <c r="C9" s="11" t="n">
        <v>0.18</v>
      </c>
    </row>
    <row r="10" customFormat="false" ht="15" hidden="false" customHeight="false" outlineLevel="0" collapsed="false">
      <c r="A10" s="16" t="s">
        <v>124</v>
      </c>
      <c r="B10" s="14" t="s">
        <v>126</v>
      </c>
      <c r="C10" s="11" t="n">
        <v>0.48</v>
      </c>
    </row>
    <row r="11" customFormat="false" ht="15" hidden="false" customHeight="false" outlineLevel="0" collapsed="false">
      <c r="A11" s="16" t="s">
        <v>124</v>
      </c>
      <c r="B11" s="14" t="s">
        <v>127</v>
      </c>
      <c r="C11" s="11" t="n">
        <v>0.25</v>
      </c>
    </row>
    <row r="12" customFormat="false" ht="15" hidden="false" customHeight="false" outlineLevel="0" collapsed="false">
      <c r="A12" s="16" t="s">
        <v>124</v>
      </c>
      <c r="B12" s="14" t="s">
        <v>128</v>
      </c>
      <c r="C12" s="11" t="n">
        <v>0.55</v>
      </c>
    </row>
    <row r="13" customFormat="false" ht="15" hidden="false" customHeight="false" outlineLevel="0" collapsed="false">
      <c r="A13" s="16" t="s">
        <v>124</v>
      </c>
      <c r="B13" s="14" t="s">
        <v>129</v>
      </c>
      <c r="C13" s="11" t="n">
        <v>0.55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18"/>
  </cols>
  <sheetData>
    <row r="1" customFormat="false" ht="15" hidden="false" customHeight="false" outlineLevel="0" collapsed="false">
      <c r="A1" s="13" t="s">
        <v>130</v>
      </c>
      <c r="B1" s="13" t="s">
        <v>131</v>
      </c>
    </row>
    <row r="2" customFormat="false" ht="15" hidden="false" customHeight="false" outlineLevel="0" collapsed="false">
      <c r="A2" s="14" t="s">
        <v>132</v>
      </c>
      <c r="B2" s="11" t="n">
        <v>0</v>
      </c>
    </row>
    <row r="3" customFormat="false" ht="15" hidden="false" customHeight="false" outlineLevel="0" collapsed="false">
      <c r="A3" s="14" t="s">
        <v>133</v>
      </c>
      <c r="B3" s="11" t="n">
        <v>0.12</v>
      </c>
    </row>
    <row r="4" customFormat="false" ht="15" hidden="false" customHeight="false" outlineLevel="0" collapsed="false">
      <c r="A4" s="14" t="s">
        <v>134</v>
      </c>
      <c r="B4" s="11" t="n">
        <v>0.2</v>
      </c>
    </row>
    <row r="6" customFormat="false" ht="15" hidden="false" customHeight="false" outlineLevel="0" collapsed="false">
      <c r="A6" s="17" t="s">
        <v>135</v>
      </c>
    </row>
    <row r="7" customFormat="false" ht="15" hidden="false" customHeight="false" outlineLevel="0" collapsed="false">
      <c r="A7" s="17" t="s">
        <v>136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s>
  <sheetData>
    <row r="1" customFormat="false" ht="15" hidden="false" customHeight="false" outlineLevel="0" collapsed="false">
      <c r="A1" s="13" t="s">
        <v>137</v>
      </c>
      <c r="B1" s="13" t="s">
        <v>138</v>
      </c>
    </row>
    <row r="2" customFormat="false" ht="23.85" hidden="false" customHeight="false" outlineLevel="0" collapsed="false">
      <c r="A2" s="18" t="s">
        <v>139</v>
      </c>
      <c r="B2" s="19" t="n">
        <v>850</v>
      </c>
    </row>
    <row r="3" customFormat="false" ht="15" hidden="false" customHeight="false" outlineLevel="0" collapsed="false">
      <c r="A3" s="18" t="s">
        <v>140</v>
      </c>
      <c r="B3" s="19" t="n">
        <v>1150</v>
      </c>
    </row>
    <row r="4" customFormat="false" ht="15" hidden="false" customHeight="false" outlineLevel="0" collapsed="false">
      <c r="A4" s="18" t="s">
        <v>141</v>
      </c>
      <c r="B4" s="3" t="s">
        <v>142</v>
      </c>
    </row>
    <row r="5" customFormat="false" ht="23.85" hidden="false" customHeight="false" outlineLevel="0" collapsed="false">
      <c r="A5" s="18" t="s">
        <v>143</v>
      </c>
      <c r="B5" s="11" t="n">
        <v>0.08</v>
      </c>
    </row>
    <row r="6" customFormat="false" ht="23.85" hidden="false" customHeight="false" outlineLevel="0" collapsed="false">
      <c r="A6" s="18" t="s">
        <v>144</v>
      </c>
      <c r="B6" s="3" t="s">
        <v>142</v>
      </c>
    </row>
    <row r="7" customFormat="false" ht="23.85" hidden="false" customHeight="false" outlineLevel="0" collapsed="false">
      <c r="A7" s="18" t="s">
        <v>145</v>
      </c>
      <c r="B7" s="3" t="s">
        <v>142</v>
      </c>
    </row>
    <row r="8" customFormat="false" ht="23.85" hidden="false" customHeight="false" outlineLevel="0" collapsed="false">
      <c r="A8" s="18" t="s">
        <v>146</v>
      </c>
      <c r="B8" s="3" t="s">
        <v>142</v>
      </c>
    </row>
    <row r="10" customFormat="false" ht="32.8" hidden="false" customHeight="false" outlineLevel="0" collapsed="false">
      <c r="A10" s="20" t="s">
        <v>147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2" min="2" style="0" width="30"/>
    <col collapsed="false" customWidth="true" hidden="false" outlineLevel="0" max="3" min="3" style="0" width="22"/>
    <col collapsed="false" customWidth="true" hidden="false" outlineLevel="0" max="4" min="4" style="0" width="50"/>
  </cols>
  <sheetData>
    <row r="1" customFormat="false" ht="23.85" hidden="false" customHeight="false" outlineLevel="0" collapsed="false">
      <c r="A1" s="21" t="s">
        <v>148</v>
      </c>
      <c r="B1" s="21" t="s">
        <v>149</v>
      </c>
      <c r="C1" s="21" t="s">
        <v>150</v>
      </c>
      <c r="D1" s="21" t="s">
        <v>151</v>
      </c>
    </row>
    <row r="2" customFormat="false" ht="22.35" hidden="false" customHeight="false" outlineLevel="0" collapsed="false">
      <c r="A2" s="14" t="s">
        <v>152</v>
      </c>
      <c r="B2" s="14" t="s">
        <v>153</v>
      </c>
      <c r="C2" s="22" t="n">
        <f aca="false">'Priced Catalogue'!R22</f>
        <v>3944.271946</v>
      </c>
      <c r="D2" s="20" t="s">
        <v>154</v>
      </c>
    </row>
    <row r="3" customFormat="false" ht="15" hidden="false" customHeight="false" outlineLevel="0" collapsed="false">
      <c r="A3" s="14" t="s">
        <v>155</v>
      </c>
      <c r="B3" s="14" t="s">
        <v>156</v>
      </c>
      <c r="C3" s="22" t="n">
        <f aca="false">'Priced Catalogue'!R272</f>
        <v>4713.732742</v>
      </c>
      <c r="D3" s="20" t="s">
        <v>157</v>
      </c>
    </row>
    <row r="4" customFormat="false" ht="15" hidden="false" customHeight="false" outlineLevel="0" collapsed="false">
      <c r="A4" s="14" t="s">
        <v>158</v>
      </c>
      <c r="B4" s="14" t="s">
        <v>159</v>
      </c>
      <c r="C4" s="22" t="n">
        <f aca="false">'Priced Catalogue'!R646</f>
        <v>9388.424785</v>
      </c>
      <c r="D4" s="20" t="s">
        <v>157</v>
      </c>
    </row>
    <row r="5" customFormat="false" ht="15" hidden="false" customHeight="false" outlineLevel="0" collapsed="false">
      <c r="A5" s="14" t="s">
        <v>160</v>
      </c>
      <c r="B5" s="14" t="s">
        <v>161</v>
      </c>
      <c r="C5" s="22" t="n">
        <f aca="false">'Priced Catalogue'!R784</f>
        <v>11620.9247</v>
      </c>
      <c r="D5" s="20" t="s">
        <v>157</v>
      </c>
    </row>
    <row r="6" customFormat="false" ht="15" hidden="false" customHeight="false" outlineLevel="0" collapsed="false">
      <c r="A6" s="14" t="s">
        <v>162</v>
      </c>
      <c r="B6" s="14" t="s">
        <v>163</v>
      </c>
      <c r="C6" s="22" t="n">
        <f aca="false">'Priced Catalogue'!R1024</f>
        <v>34561.7888</v>
      </c>
      <c r="D6" s="20" t="s">
        <v>157</v>
      </c>
    </row>
    <row r="7" customFormat="false" ht="53.7" hidden="false" customHeight="false" outlineLevel="0" collapsed="false">
      <c r="A7" s="14" t="s">
        <v>164</v>
      </c>
      <c r="B7" s="14" t="s">
        <v>165</v>
      </c>
      <c r="C7" s="22" t="n">
        <f aca="false">'Priced Catalogue'!R1310</f>
        <v>20734.07</v>
      </c>
      <c r="D7" s="20" t="s">
        <v>166</v>
      </c>
    </row>
    <row r="9" customFormat="false" ht="15" hidden="false" customHeight="true" outlineLevel="0" collapsed="false">
      <c r="A9" s="23" t="s">
        <v>167</v>
      </c>
      <c r="B9" s="23"/>
      <c r="C9" s="23"/>
      <c r="D9" s="23"/>
    </row>
  </sheetData>
  <mergeCells count="1">
    <mergeCell ref="A9:D9"/>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A1:T214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22"/>
    <col collapsed="false" customWidth="true" hidden="false" outlineLevel="0" max="3" min="3" style="0" width="26"/>
    <col collapsed="false" customWidth="true" hidden="false" outlineLevel="0" max="4" min="4" style="0" width="58"/>
    <col collapsed="false" customWidth="true" hidden="false" outlineLevel="0" max="5" min="5" style="0" width="28"/>
    <col collapsed="false" customWidth="true" hidden="false" outlineLevel="0" max="6" min="6" style="0" width="14"/>
    <col collapsed="false" customWidth="true" hidden="false" outlineLevel="0" max="7" min="7" style="0" width="20"/>
    <col collapsed="false" customWidth="true" hidden="false" outlineLevel="0" max="8" min="8" style="0" width="32"/>
    <col collapsed="false" customWidth="true" hidden="false" outlineLevel="0" max="9" min="9" style="0" width="10"/>
    <col collapsed="false" customWidth="true" hidden="false" outlineLevel="0" max="10" min="10" style="0" width="26"/>
    <col collapsed="false" customWidth="true" hidden="false" outlineLevel="0" max="11" min="11" style="0" width="16"/>
    <col collapsed="false" customWidth="true" hidden="false" outlineLevel="0" max="12" min="12" style="0" width="12"/>
    <col collapsed="false" customWidth="true" hidden="false" outlineLevel="0" max="15" min="13" style="0" width="10"/>
    <col collapsed="false" customWidth="true" hidden="false" outlineLevel="0" max="16" min="16" style="0" width="13"/>
    <col collapsed="false" customWidth="true" hidden="false" outlineLevel="0" max="17" min="17" style="0" width="9"/>
    <col collapsed="false" customWidth="true" hidden="false" outlineLevel="0" max="20" min="18" style="0" width="13"/>
  </cols>
  <sheetData>
    <row r="1" customFormat="false" ht="23.85" hidden="false" customHeight="false" outlineLevel="0" collapsed="false">
      <c r="A1" s="24" t="s">
        <v>168</v>
      </c>
      <c r="B1" s="24" t="s">
        <v>116</v>
      </c>
      <c r="C1" s="24" t="s">
        <v>169</v>
      </c>
      <c r="D1" s="24" t="s">
        <v>170</v>
      </c>
      <c r="E1" s="24" t="s">
        <v>171</v>
      </c>
      <c r="F1" s="24" t="s">
        <v>172</v>
      </c>
      <c r="G1" s="24" t="s">
        <v>173</v>
      </c>
      <c r="H1" s="24" t="s">
        <v>174</v>
      </c>
      <c r="I1" s="24" t="s">
        <v>175</v>
      </c>
      <c r="J1" s="24" t="s">
        <v>176</v>
      </c>
      <c r="K1" s="24" t="s">
        <v>177</v>
      </c>
      <c r="L1" s="24" t="s">
        <v>178</v>
      </c>
      <c r="M1" s="24" t="s">
        <v>179</v>
      </c>
      <c r="N1" s="24" t="s">
        <v>180</v>
      </c>
      <c r="O1" s="24" t="s">
        <v>181</v>
      </c>
      <c r="P1" s="24" t="s">
        <v>182</v>
      </c>
      <c r="Q1" s="24" t="s">
        <v>118</v>
      </c>
      <c r="R1" s="24" t="s">
        <v>183</v>
      </c>
      <c r="S1" s="24" t="s">
        <v>184</v>
      </c>
      <c r="T1" s="24" t="s">
        <v>185</v>
      </c>
    </row>
    <row r="2" customFormat="false" ht="15" hidden="false" customHeight="false" outlineLevel="0" collapsed="false">
      <c r="A2" s="25" t="s">
        <v>186</v>
      </c>
      <c r="B2" s="25" t="s">
        <v>96</v>
      </c>
      <c r="C2" s="25" t="s">
        <v>41</v>
      </c>
      <c r="D2" s="25" t="s">
        <v>187</v>
      </c>
      <c r="E2" s="25" t="s">
        <v>188</v>
      </c>
      <c r="F2" s="25" t="s">
        <v>189</v>
      </c>
      <c r="G2" s="25" t="s">
        <v>35</v>
      </c>
      <c r="H2" s="25" t="s">
        <v>63</v>
      </c>
      <c r="I2" s="25" t="s">
        <v>190</v>
      </c>
      <c r="J2" s="25" t="s">
        <v>191</v>
      </c>
      <c r="K2" s="25" t="s">
        <v>192</v>
      </c>
      <c r="L2" s="25" t="s">
        <v>29</v>
      </c>
      <c r="M2" s="25" t="n">
        <v>609</v>
      </c>
      <c r="N2" s="25" t="n">
        <v>609</v>
      </c>
      <c r="O2" s="25"/>
      <c r="P2" s="26" t="n">
        <f aca="false">(M2*N2/1000000)*(INDEX(AreaRate_Vals,MATCH(C2,AreaRate_Keys,0))+IFERROR(INDEX(GlazingUpg_Vals,MATCH(H2,GlazingUpg_Keys,0)),0))+INDEX(Hardware_Vals,MATCH("Windows",Hardware_Keys,0))</f>
        <v>1103.0263</v>
      </c>
      <c r="Q2" s="27" t="n">
        <f aca="false">INDEX(Markup_Vals,MATCH("Windows",MarkupCat_Keys,0))</f>
        <v>0.42</v>
      </c>
      <c r="R2" s="28" t="n">
        <f aca="false">P2*(1+Q2)</f>
        <v>1566.297346</v>
      </c>
      <c r="S2" s="28" t="n">
        <f aca="false">R2*(1-TradeDiscount)</f>
        <v>1378.34166448</v>
      </c>
      <c r="T2" s="28" t="n">
        <f aca="false">R2*(1-VolumeDiscount)</f>
        <v>1253.0378768</v>
      </c>
    </row>
    <row r="3" customFormat="false" ht="15" hidden="false" customHeight="false" outlineLevel="0" collapsed="false">
      <c r="A3" s="29" t="s">
        <v>193</v>
      </c>
      <c r="B3" s="29" t="s">
        <v>96</v>
      </c>
      <c r="C3" s="29" t="s">
        <v>41</v>
      </c>
      <c r="D3" s="29" t="s">
        <v>194</v>
      </c>
      <c r="E3" s="29" t="s">
        <v>188</v>
      </c>
      <c r="F3" s="29" t="s">
        <v>189</v>
      </c>
      <c r="G3" s="29" t="s">
        <v>36</v>
      </c>
      <c r="H3" s="29" t="s">
        <v>63</v>
      </c>
      <c r="I3" s="29" t="s">
        <v>190</v>
      </c>
      <c r="J3" s="29" t="s">
        <v>191</v>
      </c>
      <c r="K3" s="29" t="s">
        <v>192</v>
      </c>
      <c r="L3" s="29" t="s">
        <v>29</v>
      </c>
      <c r="M3" s="29" t="n">
        <v>609</v>
      </c>
      <c r="N3" s="29" t="n">
        <v>609</v>
      </c>
      <c r="O3" s="29"/>
      <c r="P3" s="30" t="n">
        <f aca="false">(M3*N3/1000000)*(INDEX(AreaRate_Vals,MATCH(C3,AreaRate_Keys,0))+IFERROR(INDEX(GlazingUpg_Vals,MATCH(H3,GlazingUpg_Keys,0)),0))+INDEX(Hardware_Vals,MATCH("Windows",Hardware_Keys,0))</f>
        <v>1103.0263</v>
      </c>
      <c r="Q3" s="31" t="n">
        <f aca="false">INDEX(Markup_Vals,MATCH("Windows",MarkupCat_Keys,0))</f>
        <v>0.42</v>
      </c>
      <c r="R3" s="32" t="n">
        <f aca="false">P3*(1+Q3)</f>
        <v>1566.297346</v>
      </c>
      <c r="S3" s="32" t="n">
        <f aca="false">R3*(1-TradeDiscount)</f>
        <v>1378.34166448</v>
      </c>
      <c r="T3" s="32" t="n">
        <f aca="false">R3*(1-VolumeDiscount)</f>
        <v>1253.0378768</v>
      </c>
    </row>
    <row r="4" customFormat="false" ht="15" hidden="false" customHeight="false" outlineLevel="0" collapsed="false">
      <c r="A4" s="25" t="s">
        <v>195</v>
      </c>
      <c r="B4" s="25" t="s">
        <v>96</v>
      </c>
      <c r="C4" s="25" t="s">
        <v>41</v>
      </c>
      <c r="D4" s="25" t="s">
        <v>196</v>
      </c>
      <c r="E4" s="25" t="s">
        <v>188</v>
      </c>
      <c r="F4" s="25" t="s">
        <v>189</v>
      </c>
      <c r="G4" s="25" t="s">
        <v>37</v>
      </c>
      <c r="H4" s="25" t="s">
        <v>63</v>
      </c>
      <c r="I4" s="25" t="s">
        <v>190</v>
      </c>
      <c r="J4" s="25" t="s">
        <v>191</v>
      </c>
      <c r="K4" s="25" t="s">
        <v>192</v>
      </c>
      <c r="L4" s="25" t="s">
        <v>29</v>
      </c>
      <c r="M4" s="25" t="n">
        <v>609</v>
      </c>
      <c r="N4" s="25" t="n">
        <v>609</v>
      </c>
      <c r="O4" s="25"/>
      <c r="P4" s="26" t="n">
        <f aca="false">(M4*N4/1000000)*(INDEX(AreaRate_Vals,MATCH(C4,AreaRate_Keys,0))+IFERROR(INDEX(GlazingUpg_Vals,MATCH(H4,GlazingUpg_Keys,0)),0))+INDEX(Hardware_Vals,MATCH("Windows",Hardware_Keys,0))</f>
        <v>1103.0263</v>
      </c>
      <c r="Q4" s="27" t="n">
        <f aca="false">INDEX(Markup_Vals,MATCH("Windows",MarkupCat_Keys,0))</f>
        <v>0.42</v>
      </c>
      <c r="R4" s="28" t="n">
        <f aca="false">P4*(1+Q4)</f>
        <v>1566.297346</v>
      </c>
      <c r="S4" s="28" t="n">
        <f aca="false">R4*(1-TradeDiscount)</f>
        <v>1378.34166448</v>
      </c>
      <c r="T4" s="28" t="n">
        <f aca="false">R4*(1-VolumeDiscount)</f>
        <v>1253.0378768</v>
      </c>
    </row>
    <row r="5" customFormat="false" ht="15" hidden="false" customHeight="false" outlineLevel="0" collapsed="false">
      <c r="A5" s="29" t="s">
        <v>197</v>
      </c>
      <c r="B5" s="29" t="s">
        <v>96</v>
      </c>
      <c r="C5" s="29" t="s">
        <v>41</v>
      </c>
      <c r="D5" s="29" t="s">
        <v>198</v>
      </c>
      <c r="E5" s="29" t="s">
        <v>188</v>
      </c>
      <c r="F5" s="29" t="s">
        <v>189</v>
      </c>
      <c r="G5" s="29" t="s">
        <v>39</v>
      </c>
      <c r="H5" s="29" t="s">
        <v>63</v>
      </c>
      <c r="I5" s="29" t="s">
        <v>190</v>
      </c>
      <c r="J5" s="29" t="s">
        <v>191</v>
      </c>
      <c r="K5" s="29" t="s">
        <v>192</v>
      </c>
      <c r="L5" s="29" t="s">
        <v>29</v>
      </c>
      <c r="M5" s="29" t="n">
        <v>609</v>
      </c>
      <c r="N5" s="29" t="n">
        <v>609</v>
      </c>
      <c r="O5" s="29"/>
      <c r="P5" s="30" t="n">
        <f aca="false">(M5*N5/1000000)*(INDEX(AreaRate_Vals,MATCH(C5,AreaRate_Keys,0))+IFERROR(INDEX(GlazingUpg_Vals,MATCH(H5,GlazingUpg_Keys,0)),0))+INDEX(Hardware_Vals,MATCH("Windows",Hardware_Keys,0))</f>
        <v>1103.0263</v>
      </c>
      <c r="Q5" s="31" t="n">
        <f aca="false">INDEX(Markup_Vals,MATCH("Windows",MarkupCat_Keys,0))</f>
        <v>0.42</v>
      </c>
      <c r="R5" s="32" t="n">
        <f aca="false">P5*(1+Q5)</f>
        <v>1566.297346</v>
      </c>
      <c r="S5" s="32" t="n">
        <f aca="false">R5*(1-TradeDiscount)</f>
        <v>1378.34166448</v>
      </c>
      <c r="T5" s="32" t="n">
        <f aca="false">R5*(1-VolumeDiscount)</f>
        <v>1253.0378768</v>
      </c>
    </row>
    <row r="6" customFormat="false" ht="15" hidden="false" customHeight="false" outlineLevel="0" collapsed="false">
      <c r="A6" s="25" t="s">
        <v>199</v>
      </c>
      <c r="B6" s="25" t="s">
        <v>96</v>
      </c>
      <c r="C6" s="25" t="s">
        <v>41</v>
      </c>
      <c r="D6" s="25" t="s">
        <v>200</v>
      </c>
      <c r="E6" s="25" t="s">
        <v>188</v>
      </c>
      <c r="F6" s="25" t="s">
        <v>189</v>
      </c>
      <c r="G6" s="25" t="s">
        <v>38</v>
      </c>
      <c r="H6" s="25" t="s">
        <v>63</v>
      </c>
      <c r="I6" s="25" t="s">
        <v>190</v>
      </c>
      <c r="J6" s="25" t="s">
        <v>191</v>
      </c>
      <c r="K6" s="25" t="s">
        <v>192</v>
      </c>
      <c r="L6" s="25" t="s">
        <v>29</v>
      </c>
      <c r="M6" s="25" t="n">
        <v>609</v>
      </c>
      <c r="N6" s="25" t="n">
        <v>609</v>
      </c>
      <c r="O6" s="25"/>
      <c r="P6" s="26" t="n">
        <f aca="false">(M6*N6/1000000)*(INDEX(AreaRate_Vals,MATCH(C6,AreaRate_Keys,0))+IFERROR(INDEX(GlazingUpg_Vals,MATCH(H6,GlazingUpg_Keys,0)),0))+INDEX(Hardware_Vals,MATCH("Windows",Hardware_Keys,0))</f>
        <v>1103.0263</v>
      </c>
      <c r="Q6" s="27" t="n">
        <f aca="false">INDEX(Markup_Vals,MATCH("Windows",MarkupCat_Keys,0))</f>
        <v>0.42</v>
      </c>
      <c r="R6" s="28" t="n">
        <f aca="false">P6*(1+Q6)</f>
        <v>1566.297346</v>
      </c>
      <c r="S6" s="28" t="n">
        <f aca="false">R6*(1-TradeDiscount)</f>
        <v>1378.34166448</v>
      </c>
      <c r="T6" s="28" t="n">
        <f aca="false">R6*(1-VolumeDiscount)</f>
        <v>1253.0378768</v>
      </c>
    </row>
    <row r="7" customFormat="false" ht="15" hidden="false" customHeight="false" outlineLevel="0" collapsed="false">
      <c r="A7" s="29" t="s">
        <v>201</v>
      </c>
      <c r="B7" s="29" t="s">
        <v>96</v>
      </c>
      <c r="C7" s="29" t="s">
        <v>41</v>
      </c>
      <c r="D7" s="29" t="s">
        <v>202</v>
      </c>
      <c r="E7" s="29" t="s">
        <v>188</v>
      </c>
      <c r="F7" s="29" t="s">
        <v>189</v>
      </c>
      <c r="G7" s="29" t="s">
        <v>35</v>
      </c>
      <c r="H7" s="29" t="s">
        <v>64</v>
      </c>
      <c r="I7" s="29" t="s">
        <v>190</v>
      </c>
      <c r="J7" s="29" t="s">
        <v>191</v>
      </c>
      <c r="K7" s="29" t="s">
        <v>192</v>
      </c>
      <c r="L7" s="29" t="s">
        <v>29</v>
      </c>
      <c r="M7" s="29" t="n">
        <v>609</v>
      </c>
      <c r="N7" s="29" t="n">
        <v>609</v>
      </c>
      <c r="O7" s="29"/>
      <c r="P7" s="30" t="n">
        <f aca="false">(M7*N7/1000000)*(INDEX(AreaRate_Vals,MATCH(C7,AreaRate_Keys,0))+IFERROR(INDEX(GlazingUpg_Vals,MATCH(H7,GlazingUpg_Keys,0)),0))+INDEX(Hardware_Vals,MATCH("Windows",Hardware_Keys,0))</f>
        <v>1307.01085</v>
      </c>
      <c r="Q7" s="31" t="n">
        <f aca="false">INDEX(Markup_Vals,MATCH("Windows",MarkupCat_Keys,0))</f>
        <v>0.42</v>
      </c>
      <c r="R7" s="32" t="n">
        <f aca="false">P7*(1+Q7)</f>
        <v>1855.955407</v>
      </c>
      <c r="S7" s="32" t="n">
        <f aca="false">R7*(1-TradeDiscount)</f>
        <v>1633.24075816</v>
      </c>
      <c r="T7" s="32" t="n">
        <f aca="false">R7*(1-VolumeDiscount)</f>
        <v>1484.7643256</v>
      </c>
    </row>
    <row r="8" customFormat="false" ht="15" hidden="false" customHeight="false" outlineLevel="0" collapsed="false">
      <c r="A8" s="25" t="s">
        <v>203</v>
      </c>
      <c r="B8" s="25" t="s">
        <v>96</v>
      </c>
      <c r="C8" s="25" t="s">
        <v>41</v>
      </c>
      <c r="D8" s="25" t="s">
        <v>204</v>
      </c>
      <c r="E8" s="25" t="s">
        <v>188</v>
      </c>
      <c r="F8" s="25" t="s">
        <v>189</v>
      </c>
      <c r="G8" s="25" t="s">
        <v>36</v>
      </c>
      <c r="H8" s="25" t="s">
        <v>64</v>
      </c>
      <c r="I8" s="25" t="s">
        <v>190</v>
      </c>
      <c r="J8" s="25" t="s">
        <v>191</v>
      </c>
      <c r="K8" s="25" t="s">
        <v>192</v>
      </c>
      <c r="L8" s="25" t="s">
        <v>29</v>
      </c>
      <c r="M8" s="25" t="n">
        <v>609</v>
      </c>
      <c r="N8" s="25" t="n">
        <v>609</v>
      </c>
      <c r="O8" s="25"/>
      <c r="P8" s="26" t="n">
        <f aca="false">(M8*N8/1000000)*(INDEX(AreaRate_Vals,MATCH(C8,AreaRate_Keys,0))+IFERROR(INDEX(GlazingUpg_Vals,MATCH(H8,GlazingUpg_Keys,0)),0))+INDEX(Hardware_Vals,MATCH("Windows",Hardware_Keys,0))</f>
        <v>1307.01085</v>
      </c>
      <c r="Q8" s="27" t="n">
        <f aca="false">INDEX(Markup_Vals,MATCH("Windows",MarkupCat_Keys,0))</f>
        <v>0.42</v>
      </c>
      <c r="R8" s="28" t="n">
        <f aca="false">P8*(1+Q8)</f>
        <v>1855.955407</v>
      </c>
      <c r="S8" s="28" t="n">
        <f aca="false">R8*(1-TradeDiscount)</f>
        <v>1633.24075816</v>
      </c>
      <c r="T8" s="28" t="n">
        <f aca="false">R8*(1-VolumeDiscount)</f>
        <v>1484.7643256</v>
      </c>
    </row>
    <row r="9" customFormat="false" ht="15" hidden="false" customHeight="false" outlineLevel="0" collapsed="false">
      <c r="A9" s="29" t="s">
        <v>205</v>
      </c>
      <c r="B9" s="29" t="s">
        <v>96</v>
      </c>
      <c r="C9" s="29" t="s">
        <v>41</v>
      </c>
      <c r="D9" s="29" t="s">
        <v>206</v>
      </c>
      <c r="E9" s="29" t="s">
        <v>188</v>
      </c>
      <c r="F9" s="29" t="s">
        <v>189</v>
      </c>
      <c r="G9" s="29" t="s">
        <v>37</v>
      </c>
      <c r="H9" s="29" t="s">
        <v>64</v>
      </c>
      <c r="I9" s="29" t="s">
        <v>190</v>
      </c>
      <c r="J9" s="29" t="s">
        <v>191</v>
      </c>
      <c r="K9" s="29" t="s">
        <v>192</v>
      </c>
      <c r="L9" s="29" t="s">
        <v>29</v>
      </c>
      <c r="M9" s="29" t="n">
        <v>609</v>
      </c>
      <c r="N9" s="29" t="n">
        <v>609</v>
      </c>
      <c r="O9" s="29"/>
      <c r="P9" s="30" t="n">
        <f aca="false">(M9*N9/1000000)*(INDEX(AreaRate_Vals,MATCH(C9,AreaRate_Keys,0))+IFERROR(INDEX(GlazingUpg_Vals,MATCH(H9,GlazingUpg_Keys,0)),0))+INDEX(Hardware_Vals,MATCH("Windows",Hardware_Keys,0))</f>
        <v>1307.01085</v>
      </c>
      <c r="Q9" s="31" t="n">
        <f aca="false">INDEX(Markup_Vals,MATCH("Windows",MarkupCat_Keys,0))</f>
        <v>0.42</v>
      </c>
      <c r="R9" s="32" t="n">
        <f aca="false">P9*(1+Q9)</f>
        <v>1855.955407</v>
      </c>
      <c r="S9" s="32" t="n">
        <f aca="false">R9*(1-TradeDiscount)</f>
        <v>1633.24075816</v>
      </c>
      <c r="T9" s="32" t="n">
        <f aca="false">R9*(1-VolumeDiscount)</f>
        <v>1484.7643256</v>
      </c>
    </row>
    <row r="10" customFormat="false" ht="15" hidden="false" customHeight="false" outlineLevel="0" collapsed="false">
      <c r="A10" s="25" t="s">
        <v>207</v>
      </c>
      <c r="B10" s="25" t="s">
        <v>96</v>
      </c>
      <c r="C10" s="25" t="s">
        <v>41</v>
      </c>
      <c r="D10" s="25" t="s">
        <v>208</v>
      </c>
      <c r="E10" s="25" t="s">
        <v>188</v>
      </c>
      <c r="F10" s="25" t="s">
        <v>189</v>
      </c>
      <c r="G10" s="25" t="s">
        <v>39</v>
      </c>
      <c r="H10" s="25" t="s">
        <v>64</v>
      </c>
      <c r="I10" s="25" t="s">
        <v>190</v>
      </c>
      <c r="J10" s="25" t="s">
        <v>191</v>
      </c>
      <c r="K10" s="25" t="s">
        <v>192</v>
      </c>
      <c r="L10" s="25" t="s">
        <v>29</v>
      </c>
      <c r="M10" s="25" t="n">
        <v>609</v>
      </c>
      <c r="N10" s="25" t="n">
        <v>609</v>
      </c>
      <c r="O10" s="25"/>
      <c r="P10" s="26" t="n">
        <f aca="false">(M10*N10/1000000)*(INDEX(AreaRate_Vals,MATCH(C10,AreaRate_Keys,0))+IFERROR(INDEX(GlazingUpg_Vals,MATCH(H10,GlazingUpg_Keys,0)),0))+INDEX(Hardware_Vals,MATCH("Windows",Hardware_Keys,0))</f>
        <v>1307.01085</v>
      </c>
      <c r="Q10" s="27" t="n">
        <f aca="false">INDEX(Markup_Vals,MATCH("Windows",MarkupCat_Keys,0))</f>
        <v>0.42</v>
      </c>
      <c r="R10" s="28" t="n">
        <f aca="false">P10*(1+Q10)</f>
        <v>1855.955407</v>
      </c>
      <c r="S10" s="28" t="n">
        <f aca="false">R10*(1-TradeDiscount)</f>
        <v>1633.24075816</v>
      </c>
      <c r="T10" s="28" t="n">
        <f aca="false">R10*(1-VolumeDiscount)</f>
        <v>1484.7643256</v>
      </c>
    </row>
    <row r="11" customFormat="false" ht="15" hidden="false" customHeight="false" outlineLevel="0" collapsed="false">
      <c r="A11" s="29" t="s">
        <v>209</v>
      </c>
      <c r="B11" s="29" t="s">
        <v>96</v>
      </c>
      <c r="C11" s="29" t="s">
        <v>41</v>
      </c>
      <c r="D11" s="29" t="s">
        <v>210</v>
      </c>
      <c r="E11" s="29" t="s">
        <v>188</v>
      </c>
      <c r="F11" s="29" t="s">
        <v>189</v>
      </c>
      <c r="G11" s="29" t="s">
        <v>38</v>
      </c>
      <c r="H11" s="29" t="s">
        <v>64</v>
      </c>
      <c r="I11" s="29" t="s">
        <v>190</v>
      </c>
      <c r="J11" s="29" t="s">
        <v>191</v>
      </c>
      <c r="K11" s="29" t="s">
        <v>192</v>
      </c>
      <c r="L11" s="29" t="s">
        <v>29</v>
      </c>
      <c r="M11" s="29" t="n">
        <v>609</v>
      </c>
      <c r="N11" s="29" t="n">
        <v>609</v>
      </c>
      <c r="O11" s="29"/>
      <c r="P11" s="30" t="n">
        <f aca="false">(M11*N11/1000000)*(INDEX(AreaRate_Vals,MATCH(C11,AreaRate_Keys,0))+IFERROR(INDEX(GlazingUpg_Vals,MATCH(H11,GlazingUpg_Keys,0)),0))+INDEX(Hardware_Vals,MATCH("Windows",Hardware_Keys,0))</f>
        <v>1307.01085</v>
      </c>
      <c r="Q11" s="31" t="n">
        <f aca="false">INDEX(Markup_Vals,MATCH("Windows",MarkupCat_Keys,0))</f>
        <v>0.42</v>
      </c>
      <c r="R11" s="32" t="n">
        <f aca="false">P11*(1+Q11)</f>
        <v>1855.955407</v>
      </c>
      <c r="S11" s="32" t="n">
        <f aca="false">R11*(1-TradeDiscount)</f>
        <v>1633.24075816</v>
      </c>
      <c r="T11" s="32" t="n">
        <f aca="false">R11*(1-VolumeDiscount)</f>
        <v>1484.7643256</v>
      </c>
    </row>
    <row r="12" customFormat="false" ht="15" hidden="false" customHeight="false" outlineLevel="0" collapsed="false">
      <c r="A12" s="25" t="s">
        <v>211</v>
      </c>
      <c r="B12" s="25" t="s">
        <v>96</v>
      </c>
      <c r="C12" s="25" t="s">
        <v>41</v>
      </c>
      <c r="D12" s="25" t="s">
        <v>212</v>
      </c>
      <c r="E12" s="25" t="s">
        <v>188</v>
      </c>
      <c r="F12" s="25" t="s">
        <v>213</v>
      </c>
      <c r="G12" s="25" t="s">
        <v>35</v>
      </c>
      <c r="H12" s="25" t="s">
        <v>63</v>
      </c>
      <c r="I12" s="25" t="s">
        <v>190</v>
      </c>
      <c r="J12" s="25" t="s">
        <v>191</v>
      </c>
      <c r="K12" s="25" t="s">
        <v>192</v>
      </c>
      <c r="L12" s="25" t="s">
        <v>29</v>
      </c>
      <c r="M12" s="25" t="n">
        <v>1209</v>
      </c>
      <c r="N12" s="25" t="n">
        <v>609</v>
      </c>
      <c r="O12" s="25"/>
      <c r="P12" s="26" t="n">
        <f aca="false">(M12*N12/1000000)*(INDEX(AreaRate_Vals,MATCH(C12,AreaRate_Keys,0))+IFERROR(INDEX(GlazingUpg_Vals,MATCH(H12,GlazingUpg_Keys,0)),0))+INDEX(Hardware_Vals,MATCH("Windows",Hardware_Keys,0))</f>
        <v>1943.4463</v>
      </c>
      <c r="Q12" s="27" t="n">
        <f aca="false">INDEX(Markup_Vals,MATCH("Windows",MarkupCat_Keys,0))</f>
        <v>0.42</v>
      </c>
      <c r="R12" s="28" t="n">
        <f aca="false">P12*(1+Q12)</f>
        <v>2759.693746</v>
      </c>
      <c r="S12" s="28" t="n">
        <f aca="false">R12*(1-TradeDiscount)</f>
        <v>2428.53049648</v>
      </c>
      <c r="T12" s="28" t="n">
        <f aca="false">R12*(1-VolumeDiscount)</f>
        <v>2207.7549968</v>
      </c>
    </row>
    <row r="13" customFormat="false" ht="15" hidden="false" customHeight="false" outlineLevel="0" collapsed="false">
      <c r="A13" s="29" t="s">
        <v>214</v>
      </c>
      <c r="B13" s="29" t="s">
        <v>96</v>
      </c>
      <c r="C13" s="29" t="s">
        <v>41</v>
      </c>
      <c r="D13" s="29" t="s">
        <v>215</v>
      </c>
      <c r="E13" s="29" t="s">
        <v>188</v>
      </c>
      <c r="F13" s="29" t="s">
        <v>213</v>
      </c>
      <c r="G13" s="29" t="s">
        <v>36</v>
      </c>
      <c r="H13" s="29" t="s">
        <v>63</v>
      </c>
      <c r="I13" s="29" t="s">
        <v>190</v>
      </c>
      <c r="J13" s="29" t="s">
        <v>191</v>
      </c>
      <c r="K13" s="29" t="s">
        <v>192</v>
      </c>
      <c r="L13" s="29" t="s">
        <v>29</v>
      </c>
      <c r="M13" s="29" t="n">
        <v>1209</v>
      </c>
      <c r="N13" s="29" t="n">
        <v>609</v>
      </c>
      <c r="O13" s="29"/>
      <c r="P13" s="30" t="n">
        <f aca="false">(M13*N13/1000000)*(INDEX(AreaRate_Vals,MATCH(C13,AreaRate_Keys,0))+IFERROR(INDEX(GlazingUpg_Vals,MATCH(H13,GlazingUpg_Keys,0)),0))+INDEX(Hardware_Vals,MATCH("Windows",Hardware_Keys,0))</f>
        <v>1943.4463</v>
      </c>
      <c r="Q13" s="31" t="n">
        <f aca="false">INDEX(Markup_Vals,MATCH("Windows",MarkupCat_Keys,0))</f>
        <v>0.42</v>
      </c>
      <c r="R13" s="32" t="n">
        <f aca="false">P13*(1+Q13)</f>
        <v>2759.693746</v>
      </c>
      <c r="S13" s="32" t="n">
        <f aca="false">R13*(1-TradeDiscount)</f>
        <v>2428.53049648</v>
      </c>
      <c r="T13" s="32" t="n">
        <f aca="false">R13*(1-VolumeDiscount)</f>
        <v>2207.7549968</v>
      </c>
    </row>
    <row r="14" customFormat="false" ht="15" hidden="false" customHeight="false" outlineLevel="0" collapsed="false">
      <c r="A14" s="25" t="s">
        <v>216</v>
      </c>
      <c r="B14" s="25" t="s">
        <v>96</v>
      </c>
      <c r="C14" s="25" t="s">
        <v>41</v>
      </c>
      <c r="D14" s="25" t="s">
        <v>217</v>
      </c>
      <c r="E14" s="25" t="s">
        <v>188</v>
      </c>
      <c r="F14" s="25" t="s">
        <v>213</v>
      </c>
      <c r="G14" s="25" t="s">
        <v>37</v>
      </c>
      <c r="H14" s="25" t="s">
        <v>63</v>
      </c>
      <c r="I14" s="25" t="s">
        <v>190</v>
      </c>
      <c r="J14" s="25" t="s">
        <v>191</v>
      </c>
      <c r="K14" s="25" t="s">
        <v>192</v>
      </c>
      <c r="L14" s="25" t="s">
        <v>29</v>
      </c>
      <c r="M14" s="25" t="n">
        <v>1209</v>
      </c>
      <c r="N14" s="25" t="n">
        <v>609</v>
      </c>
      <c r="O14" s="25"/>
      <c r="P14" s="26" t="n">
        <f aca="false">(M14*N14/1000000)*(INDEX(AreaRate_Vals,MATCH(C14,AreaRate_Keys,0))+IFERROR(INDEX(GlazingUpg_Vals,MATCH(H14,GlazingUpg_Keys,0)),0))+INDEX(Hardware_Vals,MATCH("Windows",Hardware_Keys,0))</f>
        <v>1943.4463</v>
      </c>
      <c r="Q14" s="27" t="n">
        <f aca="false">INDEX(Markup_Vals,MATCH("Windows",MarkupCat_Keys,0))</f>
        <v>0.42</v>
      </c>
      <c r="R14" s="28" t="n">
        <f aca="false">P14*(1+Q14)</f>
        <v>2759.693746</v>
      </c>
      <c r="S14" s="28" t="n">
        <f aca="false">R14*(1-TradeDiscount)</f>
        <v>2428.53049648</v>
      </c>
      <c r="T14" s="28" t="n">
        <f aca="false">R14*(1-VolumeDiscount)</f>
        <v>2207.7549968</v>
      </c>
    </row>
    <row r="15" customFormat="false" ht="15" hidden="false" customHeight="false" outlineLevel="0" collapsed="false">
      <c r="A15" s="29" t="s">
        <v>218</v>
      </c>
      <c r="B15" s="29" t="s">
        <v>96</v>
      </c>
      <c r="C15" s="29" t="s">
        <v>41</v>
      </c>
      <c r="D15" s="29" t="s">
        <v>219</v>
      </c>
      <c r="E15" s="29" t="s">
        <v>188</v>
      </c>
      <c r="F15" s="29" t="s">
        <v>213</v>
      </c>
      <c r="G15" s="29" t="s">
        <v>39</v>
      </c>
      <c r="H15" s="29" t="s">
        <v>63</v>
      </c>
      <c r="I15" s="29" t="s">
        <v>190</v>
      </c>
      <c r="J15" s="29" t="s">
        <v>191</v>
      </c>
      <c r="K15" s="29" t="s">
        <v>192</v>
      </c>
      <c r="L15" s="29" t="s">
        <v>29</v>
      </c>
      <c r="M15" s="29" t="n">
        <v>1209</v>
      </c>
      <c r="N15" s="29" t="n">
        <v>609</v>
      </c>
      <c r="O15" s="29"/>
      <c r="P15" s="30" t="n">
        <f aca="false">(M15*N15/1000000)*(INDEX(AreaRate_Vals,MATCH(C15,AreaRate_Keys,0))+IFERROR(INDEX(GlazingUpg_Vals,MATCH(H15,GlazingUpg_Keys,0)),0))+INDEX(Hardware_Vals,MATCH("Windows",Hardware_Keys,0))</f>
        <v>1943.4463</v>
      </c>
      <c r="Q15" s="31" t="n">
        <f aca="false">INDEX(Markup_Vals,MATCH("Windows",MarkupCat_Keys,0))</f>
        <v>0.42</v>
      </c>
      <c r="R15" s="32" t="n">
        <f aca="false">P15*(1+Q15)</f>
        <v>2759.693746</v>
      </c>
      <c r="S15" s="32" t="n">
        <f aca="false">R15*(1-TradeDiscount)</f>
        <v>2428.53049648</v>
      </c>
      <c r="T15" s="32" t="n">
        <f aca="false">R15*(1-VolumeDiscount)</f>
        <v>2207.7549968</v>
      </c>
    </row>
    <row r="16" customFormat="false" ht="15" hidden="false" customHeight="false" outlineLevel="0" collapsed="false">
      <c r="A16" s="25" t="s">
        <v>220</v>
      </c>
      <c r="B16" s="25" t="s">
        <v>96</v>
      </c>
      <c r="C16" s="25" t="s">
        <v>41</v>
      </c>
      <c r="D16" s="25" t="s">
        <v>221</v>
      </c>
      <c r="E16" s="25" t="s">
        <v>188</v>
      </c>
      <c r="F16" s="25" t="s">
        <v>213</v>
      </c>
      <c r="G16" s="25" t="s">
        <v>38</v>
      </c>
      <c r="H16" s="25" t="s">
        <v>63</v>
      </c>
      <c r="I16" s="25" t="s">
        <v>190</v>
      </c>
      <c r="J16" s="25" t="s">
        <v>191</v>
      </c>
      <c r="K16" s="25" t="s">
        <v>192</v>
      </c>
      <c r="L16" s="25" t="s">
        <v>29</v>
      </c>
      <c r="M16" s="25" t="n">
        <v>1209</v>
      </c>
      <c r="N16" s="25" t="n">
        <v>609</v>
      </c>
      <c r="O16" s="25"/>
      <c r="P16" s="26" t="n">
        <f aca="false">(M16*N16/1000000)*(INDEX(AreaRate_Vals,MATCH(C16,AreaRate_Keys,0))+IFERROR(INDEX(GlazingUpg_Vals,MATCH(H16,GlazingUpg_Keys,0)),0))+INDEX(Hardware_Vals,MATCH("Windows",Hardware_Keys,0))</f>
        <v>1943.4463</v>
      </c>
      <c r="Q16" s="27" t="n">
        <f aca="false">INDEX(Markup_Vals,MATCH("Windows",MarkupCat_Keys,0))</f>
        <v>0.42</v>
      </c>
      <c r="R16" s="28" t="n">
        <f aca="false">P16*(1+Q16)</f>
        <v>2759.693746</v>
      </c>
      <c r="S16" s="28" t="n">
        <f aca="false">R16*(1-TradeDiscount)</f>
        <v>2428.53049648</v>
      </c>
      <c r="T16" s="28" t="n">
        <f aca="false">R16*(1-VolumeDiscount)</f>
        <v>2207.7549968</v>
      </c>
    </row>
    <row r="17" customFormat="false" ht="15" hidden="false" customHeight="false" outlineLevel="0" collapsed="false">
      <c r="A17" s="29" t="s">
        <v>222</v>
      </c>
      <c r="B17" s="29" t="s">
        <v>96</v>
      </c>
      <c r="C17" s="29" t="s">
        <v>41</v>
      </c>
      <c r="D17" s="29" t="s">
        <v>223</v>
      </c>
      <c r="E17" s="29" t="s">
        <v>188</v>
      </c>
      <c r="F17" s="29" t="s">
        <v>213</v>
      </c>
      <c r="G17" s="29" t="s">
        <v>35</v>
      </c>
      <c r="H17" s="29" t="s">
        <v>64</v>
      </c>
      <c r="I17" s="29" t="s">
        <v>190</v>
      </c>
      <c r="J17" s="29" t="s">
        <v>191</v>
      </c>
      <c r="K17" s="29" t="s">
        <v>192</v>
      </c>
      <c r="L17" s="29" t="s">
        <v>29</v>
      </c>
      <c r="M17" s="29" t="n">
        <v>1209</v>
      </c>
      <c r="N17" s="29" t="n">
        <v>609</v>
      </c>
      <c r="O17" s="29"/>
      <c r="P17" s="30" t="n">
        <f aca="false">(M17*N17/1000000)*(INDEX(AreaRate_Vals,MATCH(C17,AreaRate_Keys,0))+IFERROR(INDEX(GlazingUpg_Vals,MATCH(H17,GlazingUpg_Keys,0)),0))+INDEX(Hardware_Vals,MATCH("Windows",Hardware_Keys,0))</f>
        <v>2348.40085</v>
      </c>
      <c r="Q17" s="31" t="n">
        <f aca="false">INDEX(Markup_Vals,MATCH("Windows",MarkupCat_Keys,0))</f>
        <v>0.42</v>
      </c>
      <c r="R17" s="32" t="n">
        <f aca="false">P17*(1+Q17)</f>
        <v>3334.729207</v>
      </c>
      <c r="S17" s="32" t="n">
        <f aca="false">R17*(1-TradeDiscount)</f>
        <v>2934.56170216</v>
      </c>
      <c r="T17" s="32" t="n">
        <f aca="false">R17*(1-VolumeDiscount)</f>
        <v>2667.7833656</v>
      </c>
    </row>
    <row r="18" customFormat="false" ht="15" hidden="false" customHeight="false" outlineLevel="0" collapsed="false">
      <c r="A18" s="25" t="s">
        <v>224</v>
      </c>
      <c r="B18" s="25" t="s">
        <v>96</v>
      </c>
      <c r="C18" s="25" t="s">
        <v>41</v>
      </c>
      <c r="D18" s="25" t="s">
        <v>225</v>
      </c>
      <c r="E18" s="25" t="s">
        <v>188</v>
      </c>
      <c r="F18" s="25" t="s">
        <v>213</v>
      </c>
      <c r="G18" s="25" t="s">
        <v>36</v>
      </c>
      <c r="H18" s="25" t="s">
        <v>64</v>
      </c>
      <c r="I18" s="25" t="s">
        <v>190</v>
      </c>
      <c r="J18" s="25" t="s">
        <v>191</v>
      </c>
      <c r="K18" s="25" t="s">
        <v>192</v>
      </c>
      <c r="L18" s="25" t="s">
        <v>29</v>
      </c>
      <c r="M18" s="25" t="n">
        <v>1209</v>
      </c>
      <c r="N18" s="25" t="n">
        <v>609</v>
      </c>
      <c r="O18" s="25"/>
      <c r="P18" s="26" t="n">
        <f aca="false">(M18*N18/1000000)*(INDEX(AreaRate_Vals,MATCH(C18,AreaRate_Keys,0))+IFERROR(INDEX(GlazingUpg_Vals,MATCH(H18,GlazingUpg_Keys,0)),0))+INDEX(Hardware_Vals,MATCH("Windows",Hardware_Keys,0))</f>
        <v>2348.40085</v>
      </c>
      <c r="Q18" s="27" t="n">
        <f aca="false">INDEX(Markup_Vals,MATCH("Windows",MarkupCat_Keys,0))</f>
        <v>0.42</v>
      </c>
      <c r="R18" s="28" t="n">
        <f aca="false">P18*(1+Q18)</f>
        <v>3334.729207</v>
      </c>
      <c r="S18" s="28" t="n">
        <f aca="false">R18*(1-TradeDiscount)</f>
        <v>2934.56170216</v>
      </c>
      <c r="T18" s="28" t="n">
        <f aca="false">R18*(1-VolumeDiscount)</f>
        <v>2667.7833656</v>
      </c>
    </row>
    <row r="19" customFormat="false" ht="15" hidden="false" customHeight="false" outlineLevel="0" collapsed="false">
      <c r="A19" s="29" t="s">
        <v>226</v>
      </c>
      <c r="B19" s="29" t="s">
        <v>96</v>
      </c>
      <c r="C19" s="29" t="s">
        <v>41</v>
      </c>
      <c r="D19" s="29" t="s">
        <v>227</v>
      </c>
      <c r="E19" s="29" t="s">
        <v>188</v>
      </c>
      <c r="F19" s="29" t="s">
        <v>213</v>
      </c>
      <c r="G19" s="29" t="s">
        <v>37</v>
      </c>
      <c r="H19" s="29" t="s">
        <v>64</v>
      </c>
      <c r="I19" s="29" t="s">
        <v>190</v>
      </c>
      <c r="J19" s="29" t="s">
        <v>191</v>
      </c>
      <c r="K19" s="29" t="s">
        <v>192</v>
      </c>
      <c r="L19" s="29" t="s">
        <v>29</v>
      </c>
      <c r="M19" s="29" t="n">
        <v>1209</v>
      </c>
      <c r="N19" s="29" t="n">
        <v>609</v>
      </c>
      <c r="O19" s="29"/>
      <c r="P19" s="30" t="n">
        <f aca="false">(M19*N19/1000000)*(INDEX(AreaRate_Vals,MATCH(C19,AreaRate_Keys,0))+IFERROR(INDEX(GlazingUpg_Vals,MATCH(H19,GlazingUpg_Keys,0)),0))+INDEX(Hardware_Vals,MATCH("Windows",Hardware_Keys,0))</f>
        <v>2348.40085</v>
      </c>
      <c r="Q19" s="31" t="n">
        <f aca="false">INDEX(Markup_Vals,MATCH("Windows",MarkupCat_Keys,0))</f>
        <v>0.42</v>
      </c>
      <c r="R19" s="32" t="n">
        <f aca="false">P19*(1+Q19)</f>
        <v>3334.729207</v>
      </c>
      <c r="S19" s="32" t="n">
        <f aca="false">R19*(1-TradeDiscount)</f>
        <v>2934.56170216</v>
      </c>
      <c r="T19" s="32" t="n">
        <f aca="false">R19*(1-VolumeDiscount)</f>
        <v>2667.7833656</v>
      </c>
    </row>
    <row r="20" customFormat="false" ht="15" hidden="false" customHeight="false" outlineLevel="0" collapsed="false">
      <c r="A20" s="25" t="s">
        <v>228</v>
      </c>
      <c r="B20" s="25" t="s">
        <v>96</v>
      </c>
      <c r="C20" s="25" t="s">
        <v>41</v>
      </c>
      <c r="D20" s="25" t="s">
        <v>229</v>
      </c>
      <c r="E20" s="25" t="s">
        <v>188</v>
      </c>
      <c r="F20" s="25" t="s">
        <v>213</v>
      </c>
      <c r="G20" s="25" t="s">
        <v>39</v>
      </c>
      <c r="H20" s="25" t="s">
        <v>64</v>
      </c>
      <c r="I20" s="25" t="s">
        <v>190</v>
      </c>
      <c r="J20" s="25" t="s">
        <v>191</v>
      </c>
      <c r="K20" s="25" t="s">
        <v>192</v>
      </c>
      <c r="L20" s="25" t="s">
        <v>29</v>
      </c>
      <c r="M20" s="25" t="n">
        <v>1209</v>
      </c>
      <c r="N20" s="25" t="n">
        <v>609</v>
      </c>
      <c r="O20" s="25"/>
      <c r="P20" s="26" t="n">
        <f aca="false">(M20*N20/1000000)*(INDEX(AreaRate_Vals,MATCH(C20,AreaRate_Keys,0))+IFERROR(INDEX(GlazingUpg_Vals,MATCH(H20,GlazingUpg_Keys,0)),0))+INDEX(Hardware_Vals,MATCH("Windows",Hardware_Keys,0))</f>
        <v>2348.40085</v>
      </c>
      <c r="Q20" s="27" t="n">
        <f aca="false">INDEX(Markup_Vals,MATCH("Windows",MarkupCat_Keys,0))</f>
        <v>0.42</v>
      </c>
      <c r="R20" s="28" t="n">
        <f aca="false">P20*(1+Q20)</f>
        <v>3334.729207</v>
      </c>
      <c r="S20" s="28" t="n">
        <f aca="false">R20*(1-TradeDiscount)</f>
        <v>2934.56170216</v>
      </c>
      <c r="T20" s="28" t="n">
        <f aca="false">R20*(1-VolumeDiscount)</f>
        <v>2667.7833656</v>
      </c>
    </row>
    <row r="21" customFormat="false" ht="15" hidden="false" customHeight="false" outlineLevel="0" collapsed="false">
      <c r="A21" s="29" t="s">
        <v>230</v>
      </c>
      <c r="B21" s="29" t="s">
        <v>96</v>
      </c>
      <c r="C21" s="29" t="s">
        <v>41</v>
      </c>
      <c r="D21" s="29" t="s">
        <v>231</v>
      </c>
      <c r="E21" s="29" t="s">
        <v>188</v>
      </c>
      <c r="F21" s="29" t="s">
        <v>213</v>
      </c>
      <c r="G21" s="29" t="s">
        <v>38</v>
      </c>
      <c r="H21" s="29" t="s">
        <v>64</v>
      </c>
      <c r="I21" s="29" t="s">
        <v>190</v>
      </c>
      <c r="J21" s="29" t="s">
        <v>191</v>
      </c>
      <c r="K21" s="29" t="s">
        <v>192</v>
      </c>
      <c r="L21" s="29" t="s">
        <v>29</v>
      </c>
      <c r="M21" s="29" t="n">
        <v>1209</v>
      </c>
      <c r="N21" s="29" t="n">
        <v>609</v>
      </c>
      <c r="O21" s="29"/>
      <c r="P21" s="30" t="n">
        <f aca="false">(M21*N21/1000000)*(INDEX(AreaRate_Vals,MATCH(C21,AreaRate_Keys,0))+IFERROR(INDEX(GlazingUpg_Vals,MATCH(H21,GlazingUpg_Keys,0)),0))+INDEX(Hardware_Vals,MATCH("Windows",Hardware_Keys,0))</f>
        <v>2348.40085</v>
      </c>
      <c r="Q21" s="31" t="n">
        <f aca="false">INDEX(Markup_Vals,MATCH("Windows",MarkupCat_Keys,0))</f>
        <v>0.42</v>
      </c>
      <c r="R21" s="32" t="n">
        <f aca="false">P21*(1+Q21)</f>
        <v>3334.729207</v>
      </c>
      <c r="S21" s="32" t="n">
        <f aca="false">R21*(1-TradeDiscount)</f>
        <v>2934.56170216</v>
      </c>
      <c r="T21" s="32" t="n">
        <f aca="false">R21*(1-VolumeDiscount)</f>
        <v>2667.7833656</v>
      </c>
    </row>
    <row r="22" customFormat="false" ht="15" hidden="false" customHeight="false" outlineLevel="0" collapsed="false">
      <c r="A22" s="25" t="s">
        <v>232</v>
      </c>
      <c r="B22" s="25" t="s">
        <v>96</v>
      </c>
      <c r="C22" s="25" t="s">
        <v>41</v>
      </c>
      <c r="D22" s="25" t="s">
        <v>233</v>
      </c>
      <c r="E22" s="25" t="s">
        <v>188</v>
      </c>
      <c r="F22" s="25" t="s">
        <v>234</v>
      </c>
      <c r="G22" s="25" t="s">
        <v>35</v>
      </c>
      <c r="H22" s="25" t="s">
        <v>63</v>
      </c>
      <c r="I22" s="25" t="s">
        <v>190</v>
      </c>
      <c r="J22" s="25" t="s">
        <v>191</v>
      </c>
      <c r="K22" s="25" t="s">
        <v>192</v>
      </c>
      <c r="L22" s="25" t="s">
        <v>29</v>
      </c>
      <c r="M22" s="25" t="n">
        <v>1209</v>
      </c>
      <c r="N22" s="25" t="n">
        <v>909</v>
      </c>
      <c r="O22" s="25"/>
      <c r="P22" s="26" t="n">
        <f aca="false">(M22*N22/1000000)*(INDEX(AreaRate_Vals,MATCH(C22,AreaRate_Keys,0))+IFERROR(INDEX(GlazingUpg_Vals,MATCH(H22,GlazingUpg_Keys,0)),0))+INDEX(Hardware_Vals,MATCH("Windows",Hardware_Keys,0))</f>
        <v>2777.6563</v>
      </c>
      <c r="Q22" s="27" t="n">
        <f aca="false">INDEX(Markup_Vals,MATCH("Windows",MarkupCat_Keys,0))</f>
        <v>0.42</v>
      </c>
      <c r="R22" s="28" t="n">
        <f aca="false">P22*(1+Q22)</f>
        <v>3944.271946</v>
      </c>
      <c r="S22" s="28" t="n">
        <f aca="false">R22*(1-TradeDiscount)</f>
        <v>3470.95931248</v>
      </c>
      <c r="T22" s="28" t="n">
        <f aca="false">R22*(1-VolumeDiscount)</f>
        <v>3155.4175568</v>
      </c>
    </row>
    <row r="23" customFormat="false" ht="15" hidden="false" customHeight="false" outlineLevel="0" collapsed="false">
      <c r="A23" s="29" t="s">
        <v>235</v>
      </c>
      <c r="B23" s="29" t="s">
        <v>96</v>
      </c>
      <c r="C23" s="29" t="s">
        <v>41</v>
      </c>
      <c r="D23" s="29" t="s">
        <v>236</v>
      </c>
      <c r="E23" s="29" t="s">
        <v>188</v>
      </c>
      <c r="F23" s="29" t="s">
        <v>234</v>
      </c>
      <c r="G23" s="29" t="s">
        <v>36</v>
      </c>
      <c r="H23" s="29" t="s">
        <v>63</v>
      </c>
      <c r="I23" s="29" t="s">
        <v>190</v>
      </c>
      <c r="J23" s="29" t="s">
        <v>191</v>
      </c>
      <c r="K23" s="29" t="s">
        <v>192</v>
      </c>
      <c r="L23" s="29" t="s">
        <v>29</v>
      </c>
      <c r="M23" s="29" t="n">
        <v>1209</v>
      </c>
      <c r="N23" s="29" t="n">
        <v>909</v>
      </c>
      <c r="O23" s="29"/>
      <c r="P23" s="30" t="n">
        <f aca="false">(M23*N23/1000000)*(INDEX(AreaRate_Vals,MATCH(C23,AreaRate_Keys,0))+IFERROR(INDEX(GlazingUpg_Vals,MATCH(H23,GlazingUpg_Keys,0)),0))+INDEX(Hardware_Vals,MATCH("Windows",Hardware_Keys,0))</f>
        <v>2777.6563</v>
      </c>
      <c r="Q23" s="31" t="n">
        <f aca="false">INDEX(Markup_Vals,MATCH("Windows",MarkupCat_Keys,0))</f>
        <v>0.42</v>
      </c>
      <c r="R23" s="32" t="n">
        <f aca="false">P23*(1+Q23)</f>
        <v>3944.271946</v>
      </c>
      <c r="S23" s="32" t="n">
        <f aca="false">R23*(1-TradeDiscount)</f>
        <v>3470.95931248</v>
      </c>
      <c r="T23" s="32" t="n">
        <f aca="false">R23*(1-VolumeDiscount)</f>
        <v>3155.4175568</v>
      </c>
    </row>
    <row r="24" customFormat="false" ht="15" hidden="false" customHeight="false" outlineLevel="0" collapsed="false">
      <c r="A24" s="25" t="s">
        <v>237</v>
      </c>
      <c r="B24" s="25" t="s">
        <v>96</v>
      </c>
      <c r="C24" s="25" t="s">
        <v>41</v>
      </c>
      <c r="D24" s="25" t="s">
        <v>238</v>
      </c>
      <c r="E24" s="25" t="s">
        <v>188</v>
      </c>
      <c r="F24" s="25" t="s">
        <v>234</v>
      </c>
      <c r="G24" s="25" t="s">
        <v>37</v>
      </c>
      <c r="H24" s="25" t="s">
        <v>63</v>
      </c>
      <c r="I24" s="25" t="s">
        <v>190</v>
      </c>
      <c r="J24" s="25" t="s">
        <v>191</v>
      </c>
      <c r="K24" s="25" t="s">
        <v>192</v>
      </c>
      <c r="L24" s="25" t="s">
        <v>29</v>
      </c>
      <c r="M24" s="25" t="n">
        <v>1209</v>
      </c>
      <c r="N24" s="25" t="n">
        <v>909</v>
      </c>
      <c r="O24" s="25"/>
      <c r="P24" s="26" t="n">
        <f aca="false">(M24*N24/1000000)*(INDEX(AreaRate_Vals,MATCH(C24,AreaRate_Keys,0))+IFERROR(INDEX(GlazingUpg_Vals,MATCH(H24,GlazingUpg_Keys,0)),0))+INDEX(Hardware_Vals,MATCH("Windows",Hardware_Keys,0))</f>
        <v>2777.6563</v>
      </c>
      <c r="Q24" s="27" t="n">
        <f aca="false">INDEX(Markup_Vals,MATCH("Windows",MarkupCat_Keys,0))</f>
        <v>0.42</v>
      </c>
      <c r="R24" s="28" t="n">
        <f aca="false">P24*(1+Q24)</f>
        <v>3944.271946</v>
      </c>
      <c r="S24" s="28" t="n">
        <f aca="false">R24*(1-TradeDiscount)</f>
        <v>3470.95931248</v>
      </c>
      <c r="T24" s="28" t="n">
        <f aca="false">R24*(1-VolumeDiscount)</f>
        <v>3155.4175568</v>
      </c>
    </row>
    <row r="25" customFormat="false" ht="15" hidden="false" customHeight="false" outlineLevel="0" collapsed="false">
      <c r="A25" s="29" t="s">
        <v>239</v>
      </c>
      <c r="B25" s="29" t="s">
        <v>96</v>
      </c>
      <c r="C25" s="29" t="s">
        <v>41</v>
      </c>
      <c r="D25" s="29" t="s">
        <v>240</v>
      </c>
      <c r="E25" s="29" t="s">
        <v>188</v>
      </c>
      <c r="F25" s="29" t="s">
        <v>234</v>
      </c>
      <c r="G25" s="29" t="s">
        <v>39</v>
      </c>
      <c r="H25" s="29" t="s">
        <v>63</v>
      </c>
      <c r="I25" s="29" t="s">
        <v>190</v>
      </c>
      <c r="J25" s="29" t="s">
        <v>191</v>
      </c>
      <c r="K25" s="29" t="s">
        <v>192</v>
      </c>
      <c r="L25" s="29" t="s">
        <v>29</v>
      </c>
      <c r="M25" s="29" t="n">
        <v>1209</v>
      </c>
      <c r="N25" s="29" t="n">
        <v>909</v>
      </c>
      <c r="O25" s="29"/>
      <c r="P25" s="30" t="n">
        <f aca="false">(M25*N25/1000000)*(INDEX(AreaRate_Vals,MATCH(C25,AreaRate_Keys,0))+IFERROR(INDEX(GlazingUpg_Vals,MATCH(H25,GlazingUpg_Keys,0)),0))+INDEX(Hardware_Vals,MATCH("Windows",Hardware_Keys,0))</f>
        <v>2777.6563</v>
      </c>
      <c r="Q25" s="31" t="n">
        <f aca="false">INDEX(Markup_Vals,MATCH("Windows",MarkupCat_Keys,0))</f>
        <v>0.42</v>
      </c>
      <c r="R25" s="32" t="n">
        <f aca="false">P25*(1+Q25)</f>
        <v>3944.271946</v>
      </c>
      <c r="S25" s="32" t="n">
        <f aca="false">R25*(1-TradeDiscount)</f>
        <v>3470.95931248</v>
      </c>
      <c r="T25" s="32" t="n">
        <f aca="false">R25*(1-VolumeDiscount)</f>
        <v>3155.4175568</v>
      </c>
    </row>
    <row r="26" customFormat="false" ht="15" hidden="false" customHeight="false" outlineLevel="0" collapsed="false">
      <c r="A26" s="25" t="s">
        <v>241</v>
      </c>
      <c r="B26" s="25" t="s">
        <v>96</v>
      </c>
      <c r="C26" s="25" t="s">
        <v>41</v>
      </c>
      <c r="D26" s="25" t="s">
        <v>242</v>
      </c>
      <c r="E26" s="25" t="s">
        <v>188</v>
      </c>
      <c r="F26" s="25" t="s">
        <v>234</v>
      </c>
      <c r="G26" s="25" t="s">
        <v>38</v>
      </c>
      <c r="H26" s="25" t="s">
        <v>63</v>
      </c>
      <c r="I26" s="25" t="s">
        <v>190</v>
      </c>
      <c r="J26" s="25" t="s">
        <v>191</v>
      </c>
      <c r="K26" s="25" t="s">
        <v>192</v>
      </c>
      <c r="L26" s="25" t="s">
        <v>29</v>
      </c>
      <c r="M26" s="25" t="n">
        <v>1209</v>
      </c>
      <c r="N26" s="25" t="n">
        <v>909</v>
      </c>
      <c r="O26" s="25"/>
      <c r="P26" s="26" t="n">
        <f aca="false">(M26*N26/1000000)*(INDEX(AreaRate_Vals,MATCH(C26,AreaRate_Keys,0))+IFERROR(INDEX(GlazingUpg_Vals,MATCH(H26,GlazingUpg_Keys,0)),0))+INDEX(Hardware_Vals,MATCH("Windows",Hardware_Keys,0))</f>
        <v>2777.6563</v>
      </c>
      <c r="Q26" s="27" t="n">
        <f aca="false">INDEX(Markup_Vals,MATCH("Windows",MarkupCat_Keys,0))</f>
        <v>0.42</v>
      </c>
      <c r="R26" s="28" t="n">
        <f aca="false">P26*(1+Q26)</f>
        <v>3944.271946</v>
      </c>
      <c r="S26" s="28" t="n">
        <f aca="false">R26*(1-TradeDiscount)</f>
        <v>3470.95931248</v>
      </c>
      <c r="T26" s="28" t="n">
        <f aca="false">R26*(1-VolumeDiscount)</f>
        <v>3155.4175568</v>
      </c>
    </row>
    <row r="27" customFormat="false" ht="15" hidden="false" customHeight="false" outlineLevel="0" collapsed="false">
      <c r="A27" s="29" t="s">
        <v>243</v>
      </c>
      <c r="B27" s="29" t="s">
        <v>96</v>
      </c>
      <c r="C27" s="29" t="s">
        <v>41</v>
      </c>
      <c r="D27" s="29" t="s">
        <v>244</v>
      </c>
      <c r="E27" s="29" t="s">
        <v>188</v>
      </c>
      <c r="F27" s="29" t="s">
        <v>234</v>
      </c>
      <c r="G27" s="29" t="s">
        <v>35</v>
      </c>
      <c r="H27" s="29" t="s">
        <v>64</v>
      </c>
      <c r="I27" s="29" t="s">
        <v>190</v>
      </c>
      <c r="J27" s="29" t="s">
        <v>191</v>
      </c>
      <c r="K27" s="29" t="s">
        <v>192</v>
      </c>
      <c r="L27" s="29" t="s">
        <v>29</v>
      </c>
      <c r="M27" s="29" t="n">
        <v>1209</v>
      </c>
      <c r="N27" s="29" t="n">
        <v>909</v>
      </c>
      <c r="O27" s="29"/>
      <c r="P27" s="30" t="n">
        <f aca="false">(M27*N27/1000000)*(INDEX(AreaRate_Vals,MATCH(C27,AreaRate_Keys,0))+IFERROR(INDEX(GlazingUpg_Vals,MATCH(H27,GlazingUpg_Keys,0)),0))+INDEX(Hardware_Vals,MATCH("Windows",Hardware_Keys,0))</f>
        <v>3382.09585</v>
      </c>
      <c r="Q27" s="31" t="n">
        <f aca="false">INDEX(Markup_Vals,MATCH("Windows",MarkupCat_Keys,0))</f>
        <v>0.42</v>
      </c>
      <c r="R27" s="32" t="n">
        <f aca="false">P27*(1+Q27)</f>
        <v>4802.576107</v>
      </c>
      <c r="S27" s="32" t="n">
        <f aca="false">R27*(1-TradeDiscount)</f>
        <v>4226.26697416</v>
      </c>
      <c r="T27" s="32" t="n">
        <f aca="false">R27*(1-VolumeDiscount)</f>
        <v>3842.0608856</v>
      </c>
    </row>
    <row r="28" customFormat="false" ht="15" hidden="false" customHeight="false" outlineLevel="0" collapsed="false">
      <c r="A28" s="25" t="s">
        <v>245</v>
      </c>
      <c r="B28" s="25" t="s">
        <v>96</v>
      </c>
      <c r="C28" s="25" t="s">
        <v>41</v>
      </c>
      <c r="D28" s="25" t="s">
        <v>246</v>
      </c>
      <c r="E28" s="25" t="s">
        <v>188</v>
      </c>
      <c r="F28" s="25" t="s">
        <v>234</v>
      </c>
      <c r="G28" s="25" t="s">
        <v>36</v>
      </c>
      <c r="H28" s="25" t="s">
        <v>64</v>
      </c>
      <c r="I28" s="25" t="s">
        <v>190</v>
      </c>
      <c r="J28" s="25" t="s">
        <v>191</v>
      </c>
      <c r="K28" s="25" t="s">
        <v>192</v>
      </c>
      <c r="L28" s="25" t="s">
        <v>29</v>
      </c>
      <c r="M28" s="25" t="n">
        <v>1209</v>
      </c>
      <c r="N28" s="25" t="n">
        <v>909</v>
      </c>
      <c r="O28" s="25"/>
      <c r="P28" s="26" t="n">
        <f aca="false">(M28*N28/1000000)*(INDEX(AreaRate_Vals,MATCH(C28,AreaRate_Keys,0))+IFERROR(INDEX(GlazingUpg_Vals,MATCH(H28,GlazingUpg_Keys,0)),0))+INDEX(Hardware_Vals,MATCH("Windows",Hardware_Keys,0))</f>
        <v>3382.09585</v>
      </c>
      <c r="Q28" s="27" t="n">
        <f aca="false">INDEX(Markup_Vals,MATCH("Windows",MarkupCat_Keys,0))</f>
        <v>0.42</v>
      </c>
      <c r="R28" s="28" t="n">
        <f aca="false">P28*(1+Q28)</f>
        <v>4802.576107</v>
      </c>
      <c r="S28" s="28" t="n">
        <f aca="false">R28*(1-TradeDiscount)</f>
        <v>4226.26697416</v>
      </c>
      <c r="T28" s="28" t="n">
        <f aca="false">R28*(1-VolumeDiscount)</f>
        <v>3842.0608856</v>
      </c>
    </row>
    <row r="29" customFormat="false" ht="15" hidden="false" customHeight="false" outlineLevel="0" collapsed="false">
      <c r="A29" s="29" t="s">
        <v>247</v>
      </c>
      <c r="B29" s="29" t="s">
        <v>96</v>
      </c>
      <c r="C29" s="29" t="s">
        <v>41</v>
      </c>
      <c r="D29" s="29" t="s">
        <v>248</v>
      </c>
      <c r="E29" s="29" t="s">
        <v>188</v>
      </c>
      <c r="F29" s="29" t="s">
        <v>234</v>
      </c>
      <c r="G29" s="29" t="s">
        <v>37</v>
      </c>
      <c r="H29" s="29" t="s">
        <v>64</v>
      </c>
      <c r="I29" s="29" t="s">
        <v>190</v>
      </c>
      <c r="J29" s="29" t="s">
        <v>191</v>
      </c>
      <c r="K29" s="29" t="s">
        <v>192</v>
      </c>
      <c r="L29" s="29" t="s">
        <v>29</v>
      </c>
      <c r="M29" s="29" t="n">
        <v>1209</v>
      </c>
      <c r="N29" s="29" t="n">
        <v>909</v>
      </c>
      <c r="O29" s="29"/>
      <c r="P29" s="30" t="n">
        <f aca="false">(M29*N29/1000000)*(INDEX(AreaRate_Vals,MATCH(C29,AreaRate_Keys,0))+IFERROR(INDEX(GlazingUpg_Vals,MATCH(H29,GlazingUpg_Keys,0)),0))+INDEX(Hardware_Vals,MATCH("Windows",Hardware_Keys,0))</f>
        <v>3382.09585</v>
      </c>
      <c r="Q29" s="31" t="n">
        <f aca="false">INDEX(Markup_Vals,MATCH("Windows",MarkupCat_Keys,0))</f>
        <v>0.42</v>
      </c>
      <c r="R29" s="32" t="n">
        <f aca="false">P29*(1+Q29)</f>
        <v>4802.576107</v>
      </c>
      <c r="S29" s="32" t="n">
        <f aca="false">R29*(1-TradeDiscount)</f>
        <v>4226.26697416</v>
      </c>
      <c r="T29" s="32" t="n">
        <f aca="false">R29*(1-VolumeDiscount)</f>
        <v>3842.0608856</v>
      </c>
    </row>
    <row r="30" customFormat="false" ht="15" hidden="false" customHeight="false" outlineLevel="0" collapsed="false">
      <c r="A30" s="25" t="s">
        <v>249</v>
      </c>
      <c r="B30" s="25" t="s">
        <v>96</v>
      </c>
      <c r="C30" s="25" t="s">
        <v>41</v>
      </c>
      <c r="D30" s="25" t="s">
        <v>250</v>
      </c>
      <c r="E30" s="25" t="s">
        <v>188</v>
      </c>
      <c r="F30" s="25" t="s">
        <v>234</v>
      </c>
      <c r="G30" s="25" t="s">
        <v>39</v>
      </c>
      <c r="H30" s="25" t="s">
        <v>64</v>
      </c>
      <c r="I30" s="25" t="s">
        <v>190</v>
      </c>
      <c r="J30" s="25" t="s">
        <v>191</v>
      </c>
      <c r="K30" s="25" t="s">
        <v>192</v>
      </c>
      <c r="L30" s="25" t="s">
        <v>29</v>
      </c>
      <c r="M30" s="25" t="n">
        <v>1209</v>
      </c>
      <c r="N30" s="25" t="n">
        <v>909</v>
      </c>
      <c r="O30" s="25"/>
      <c r="P30" s="26" t="n">
        <f aca="false">(M30*N30/1000000)*(INDEX(AreaRate_Vals,MATCH(C30,AreaRate_Keys,0))+IFERROR(INDEX(GlazingUpg_Vals,MATCH(H30,GlazingUpg_Keys,0)),0))+INDEX(Hardware_Vals,MATCH("Windows",Hardware_Keys,0))</f>
        <v>3382.09585</v>
      </c>
      <c r="Q30" s="27" t="n">
        <f aca="false">INDEX(Markup_Vals,MATCH("Windows",MarkupCat_Keys,0))</f>
        <v>0.42</v>
      </c>
      <c r="R30" s="28" t="n">
        <f aca="false">P30*(1+Q30)</f>
        <v>4802.576107</v>
      </c>
      <c r="S30" s="28" t="n">
        <f aca="false">R30*(1-TradeDiscount)</f>
        <v>4226.26697416</v>
      </c>
      <c r="T30" s="28" t="n">
        <f aca="false">R30*(1-VolumeDiscount)</f>
        <v>3842.0608856</v>
      </c>
    </row>
    <row r="31" customFormat="false" ht="15" hidden="false" customHeight="false" outlineLevel="0" collapsed="false">
      <c r="A31" s="29" t="s">
        <v>251</v>
      </c>
      <c r="B31" s="29" t="s">
        <v>96</v>
      </c>
      <c r="C31" s="29" t="s">
        <v>41</v>
      </c>
      <c r="D31" s="29" t="s">
        <v>252</v>
      </c>
      <c r="E31" s="29" t="s">
        <v>188</v>
      </c>
      <c r="F31" s="29" t="s">
        <v>234</v>
      </c>
      <c r="G31" s="29" t="s">
        <v>38</v>
      </c>
      <c r="H31" s="29" t="s">
        <v>64</v>
      </c>
      <c r="I31" s="29" t="s">
        <v>190</v>
      </c>
      <c r="J31" s="29" t="s">
        <v>191</v>
      </c>
      <c r="K31" s="29" t="s">
        <v>192</v>
      </c>
      <c r="L31" s="29" t="s">
        <v>29</v>
      </c>
      <c r="M31" s="29" t="n">
        <v>1209</v>
      </c>
      <c r="N31" s="29" t="n">
        <v>909</v>
      </c>
      <c r="O31" s="29"/>
      <c r="P31" s="30" t="n">
        <f aca="false">(M31*N31/1000000)*(INDEX(AreaRate_Vals,MATCH(C31,AreaRate_Keys,0))+IFERROR(INDEX(GlazingUpg_Vals,MATCH(H31,GlazingUpg_Keys,0)),0))+INDEX(Hardware_Vals,MATCH("Windows",Hardware_Keys,0))</f>
        <v>3382.09585</v>
      </c>
      <c r="Q31" s="31" t="n">
        <f aca="false">INDEX(Markup_Vals,MATCH("Windows",MarkupCat_Keys,0))</f>
        <v>0.42</v>
      </c>
      <c r="R31" s="32" t="n">
        <f aca="false">P31*(1+Q31)</f>
        <v>4802.576107</v>
      </c>
      <c r="S31" s="32" t="n">
        <f aca="false">R31*(1-TradeDiscount)</f>
        <v>4226.26697416</v>
      </c>
      <c r="T31" s="32" t="n">
        <f aca="false">R31*(1-VolumeDiscount)</f>
        <v>3842.0608856</v>
      </c>
    </row>
    <row r="32" customFormat="false" ht="15" hidden="false" customHeight="false" outlineLevel="0" collapsed="false">
      <c r="A32" s="25" t="s">
        <v>253</v>
      </c>
      <c r="B32" s="25" t="s">
        <v>96</v>
      </c>
      <c r="C32" s="25" t="s">
        <v>41</v>
      </c>
      <c r="D32" s="25" t="s">
        <v>254</v>
      </c>
      <c r="E32" s="25" t="s">
        <v>188</v>
      </c>
      <c r="F32" s="25" t="s">
        <v>255</v>
      </c>
      <c r="G32" s="25" t="s">
        <v>35</v>
      </c>
      <c r="H32" s="25" t="s">
        <v>63</v>
      </c>
      <c r="I32" s="25" t="s">
        <v>190</v>
      </c>
      <c r="J32" s="25" t="s">
        <v>191</v>
      </c>
      <c r="K32" s="25" t="s">
        <v>192</v>
      </c>
      <c r="L32" s="25" t="s">
        <v>29</v>
      </c>
      <c r="M32" s="25" t="n">
        <v>1809</v>
      </c>
      <c r="N32" s="25" t="n">
        <v>909</v>
      </c>
      <c r="O32" s="25"/>
      <c r="P32" s="26" t="n">
        <f aca="false">(M32*N32/1000000)*(INDEX(AreaRate_Vals,MATCH(C32,AreaRate_Keys,0))+IFERROR(INDEX(GlazingUpg_Vals,MATCH(H32,GlazingUpg_Keys,0)),0))+INDEX(Hardware_Vals,MATCH("Windows",Hardware_Keys,0))</f>
        <v>4032.0763</v>
      </c>
      <c r="Q32" s="27" t="n">
        <f aca="false">INDEX(Markup_Vals,MATCH("Windows",MarkupCat_Keys,0))</f>
        <v>0.42</v>
      </c>
      <c r="R32" s="28" t="n">
        <f aca="false">P32*(1+Q32)</f>
        <v>5725.548346</v>
      </c>
      <c r="S32" s="28" t="n">
        <f aca="false">R32*(1-TradeDiscount)</f>
        <v>5038.48254448</v>
      </c>
      <c r="T32" s="28" t="n">
        <f aca="false">R32*(1-VolumeDiscount)</f>
        <v>4580.4386768</v>
      </c>
    </row>
    <row r="33" customFormat="false" ht="15" hidden="false" customHeight="false" outlineLevel="0" collapsed="false">
      <c r="A33" s="29" t="s">
        <v>256</v>
      </c>
      <c r="B33" s="29" t="s">
        <v>96</v>
      </c>
      <c r="C33" s="29" t="s">
        <v>41</v>
      </c>
      <c r="D33" s="29" t="s">
        <v>257</v>
      </c>
      <c r="E33" s="29" t="s">
        <v>188</v>
      </c>
      <c r="F33" s="29" t="s">
        <v>255</v>
      </c>
      <c r="G33" s="29" t="s">
        <v>36</v>
      </c>
      <c r="H33" s="29" t="s">
        <v>63</v>
      </c>
      <c r="I33" s="29" t="s">
        <v>190</v>
      </c>
      <c r="J33" s="29" t="s">
        <v>191</v>
      </c>
      <c r="K33" s="29" t="s">
        <v>192</v>
      </c>
      <c r="L33" s="29" t="s">
        <v>29</v>
      </c>
      <c r="M33" s="29" t="n">
        <v>1809</v>
      </c>
      <c r="N33" s="29" t="n">
        <v>909</v>
      </c>
      <c r="O33" s="29"/>
      <c r="P33" s="30" t="n">
        <f aca="false">(M33*N33/1000000)*(INDEX(AreaRate_Vals,MATCH(C33,AreaRate_Keys,0))+IFERROR(INDEX(GlazingUpg_Vals,MATCH(H33,GlazingUpg_Keys,0)),0))+INDEX(Hardware_Vals,MATCH("Windows",Hardware_Keys,0))</f>
        <v>4032.0763</v>
      </c>
      <c r="Q33" s="31" t="n">
        <f aca="false">INDEX(Markup_Vals,MATCH("Windows",MarkupCat_Keys,0))</f>
        <v>0.42</v>
      </c>
      <c r="R33" s="32" t="n">
        <f aca="false">P33*(1+Q33)</f>
        <v>5725.548346</v>
      </c>
      <c r="S33" s="32" t="n">
        <f aca="false">R33*(1-TradeDiscount)</f>
        <v>5038.48254448</v>
      </c>
      <c r="T33" s="32" t="n">
        <f aca="false">R33*(1-VolumeDiscount)</f>
        <v>4580.4386768</v>
      </c>
    </row>
    <row r="34" customFormat="false" ht="15" hidden="false" customHeight="false" outlineLevel="0" collapsed="false">
      <c r="A34" s="25" t="s">
        <v>258</v>
      </c>
      <c r="B34" s="25" t="s">
        <v>96</v>
      </c>
      <c r="C34" s="25" t="s">
        <v>41</v>
      </c>
      <c r="D34" s="25" t="s">
        <v>259</v>
      </c>
      <c r="E34" s="25" t="s">
        <v>188</v>
      </c>
      <c r="F34" s="25" t="s">
        <v>255</v>
      </c>
      <c r="G34" s="25" t="s">
        <v>37</v>
      </c>
      <c r="H34" s="25" t="s">
        <v>63</v>
      </c>
      <c r="I34" s="25" t="s">
        <v>190</v>
      </c>
      <c r="J34" s="25" t="s">
        <v>191</v>
      </c>
      <c r="K34" s="25" t="s">
        <v>192</v>
      </c>
      <c r="L34" s="25" t="s">
        <v>29</v>
      </c>
      <c r="M34" s="25" t="n">
        <v>1809</v>
      </c>
      <c r="N34" s="25" t="n">
        <v>909</v>
      </c>
      <c r="O34" s="25"/>
      <c r="P34" s="26" t="n">
        <f aca="false">(M34*N34/1000000)*(INDEX(AreaRate_Vals,MATCH(C34,AreaRate_Keys,0))+IFERROR(INDEX(GlazingUpg_Vals,MATCH(H34,GlazingUpg_Keys,0)),0))+INDEX(Hardware_Vals,MATCH("Windows",Hardware_Keys,0))</f>
        <v>4032.0763</v>
      </c>
      <c r="Q34" s="27" t="n">
        <f aca="false">INDEX(Markup_Vals,MATCH("Windows",MarkupCat_Keys,0))</f>
        <v>0.42</v>
      </c>
      <c r="R34" s="28" t="n">
        <f aca="false">P34*(1+Q34)</f>
        <v>5725.548346</v>
      </c>
      <c r="S34" s="28" t="n">
        <f aca="false">R34*(1-TradeDiscount)</f>
        <v>5038.48254448</v>
      </c>
      <c r="T34" s="28" t="n">
        <f aca="false">R34*(1-VolumeDiscount)</f>
        <v>4580.4386768</v>
      </c>
    </row>
    <row r="35" customFormat="false" ht="15" hidden="false" customHeight="false" outlineLevel="0" collapsed="false">
      <c r="A35" s="29" t="s">
        <v>260</v>
      </c>
      <c r="B35" s="29" t="s">
        <v>96</v>
      </c>
      <c r="C35" s="29" t="s">
        <v>41</v>
      </c>
      <c r="D35" s="29" t="s">
        <v>261</v>
      </c>
      <c r="E35" s="29" t="s">
        <v>188</v>
      </c>
      <c r="F35" s="29" t="s">
        <v>255</v>
      </c>
      <c r="G35" s="29" t="s">
        <v>39</v>
      </c>
      <c r="H35" s="29" t="s">
        <v>63</v>
      </c>
      <c r="I35" s="29" t="s">
        <v>190</v>
      </c>
      <c r="J35" s="29" t="s">
        <v>191</v>
      </c>
      <c r="K35" s="29" t="s">
        <v>192</v>
      </c>
      <c r="L35" s="29" t="s">
        <v>29</v>
      </c>
      <c r="M35" s="29" t="n">
        <v>1809</v>
      </c>
      <c r="N35" s="29" t="n">
        <v>909</v>
      </c>
      <c r="O35" s="29"/>
      <c r="P35" s="30" t="n">
        <f aca="false">(M35*N35/1000000)*(INDEX(AreaRate_Vals,MATCH(C35,AreaRate_Keys,0))+IFERROR(INDEX(GlazingUpg_Vals,MATCH(H35,GlazingUpg_Keys,0)),0))+INDEX(Hardware_Vals,MATCH("Windows",Hardware_Keys,0))</f>
        <v>4032.0763</v>
      </c>
      <c r="Q35" s="31" t="n">
        <f aca="false">INDEX(Markup_Vals,MATCH("Windows",MarkupCat_Keys,0))</f>
        <v>0.42</v>
      </c>
      <c r="R35" s="32" t="n">
        <f aca="false">P35*(1+Q35)</f>
        <v>5725.548346</v>
      </c>
      <c r="S35" s="32" t="n">
        <f aca="false">R35*(1-TradeDiscount)</f>
        <v>5038.48254448</v>
      </c>
      <c r="T35" s="32" t="n">
        <f aca="false">R35*(1-VolumeDiscount)</f>
        <v>4580.4386768</v>
      </c>
    </row>
    <row r="36" customFormat="false" ht="15" hidden="false" customHeight="false" outlineLevel="0" collapsed="false">
      <c r="A36" s="25" t="s">
        <v>262</v>
      </c>
      <c r="B36" s="25" t="s">
        <v>96</v>
      </c>
      <c r="C36" s="25" t="s">
        <v>41</v>
      </c>
      <c r="D36" s="25" t="s">
        <v>263</v>
      </c>
      <c r="E36" s="25" t="s">
        <v>188</v>
      </c>
      <c r="F36" s="25" t="s">
        <v>255</v>
      </c>
      <c r="G36" s="25" t="s">
        <v>38</v>
      </c>
      <c r="H36" s="25" t="s">
        <v>63</v>
      </c>
      <c r="I36" s="25" t="s">
        <v>190</v>
      </c>
      <c r="J36" s="25" t="s">
        <v>191</v>
      </c>
      <c r="K36" s="25" t="s">
        <v>192</v>
      </c>
      <c r="L36" s="25" t="s">
        <v>29</v>
      </c>
      <c r="M36" s="25" t="n">
        <v>1809</v>
      </c>
      <c r="N36" s="25" t="n">
        <v>909</v>
      </c>
      <c r="O36" s="25"/>
      <c r="P36" s="26" t="n">
        <f aca="false">(M36*N36/1000000)*(INDEX(AreaRate_Vals,MATCH(C36,AreaRate_Keys,0))+IFERROR(INDEX(GlazingUpg_Vals,MATCH(H36,GlazingUpg_Keys,0)),0))+INDEX(Hardware_Vals,MATCH("Windows",Hardware_Keys,0))</f>
        <v>4032.0763</v>
      </c>
      <c r="Q36" s="27" t="n">
        <f aca="false">INDEX(Markup_Vals,MATCH("Windows",MarkupCat_Keys,0))</f>
        <v>0.42</v>
      </c>
      <c r="R36" s="28" t="n">
        <f aca="false">P36*(1+Q36)</f>
        <v>5725.548346</v>
      </c>
      <c r="S36" s="28" t="n">
        <f aca="false">R36*(1-TradeDiscount)</f>
        <v>5038.48254448</v>
      </c>
      <c r="T36" s="28" t="n">
        <f aca="false">R36*(1-VolumeDiscount)</f>
        <v>4580.4386768</v>
      </c>
    </row>
    <row r="37" customFormat="false" ht="15" hidden="false" customHeight="false" outlineLevel="0" collapsed="false">
      <c r="A37" s="29" t="s">
        <v>264</v>
      </c>
      <c r="B37" s="29" t="s">
        <v>96</v>
      </c>
      <c r="C37" s="29" t="s">
        <v>41</v>
      </c>
      <c r="D37" s="29" t="s">
        <v>265</v>
      </c>
      <c r="E37" s="29" t="s">
        <v>188</v>
      </c>
      <c r="F37" s="29" t="s">
        <v>255</v>
      </c>
      <c r="G37" s="29" t="s">
        <v>35</v>
      </c>
      <c r="H37" s="29" t="s">
        <v>64</v>
      </c>
      <c r="I37" s="29" t="s">
        <v>190</v>
      </c>
      <c r="J37" s="29" t="s">
        <v>191</v>
      </c>
      <c r="K37" s="29" t="s">
        <v>192</v>
      </c>
      <c r="L37" s="29" t="s">
        <v>29</v>
      </c>
      <c r="M37" s="29" t="n">
        <v>1809</v>
      </c>
      <c r="N37" s="29" t="n">
        <v>909</v>
      </c>
      <c r="O37" s="29"/>
      <c r="P37" s="30" t="n">
        <f aca="false">(M37*N37/1000000)*(INDEX(AreaRate_Vals,MATCH(C37,AreaRate_Keys,0))+IFERROR(INDEX(GlazingUpg_Vals,MATCH(H37,GlazingUpg_Keys,0)),0))+INDEX(Hardware_Vals,MATCH("Windows",Hardware_Keys,0))</f>
        <v>4936.48585</v>
      </c>
      <c r="Q37" s="31" t="n">
        <f aca="false">INDEX(Markup_Vals,MATCH("Windows",MarkupCat_Keys,0))</f>
        <v>0.42</v>
      </c>
      <c r="R37" s="32" t="n">
        <f aca="false">P37*(1+Q37)</f>
        <v>7009.809907</v>
      </c>
      <c r="S37" s="32" t="n">
        <f aca="false">R37*(1-TradeDiscount)</f>
        <v>6168.63271816</v>
      </c>
      <c r="T37" s="32" t="n">
        <f aca="false">R37*(1-VolumeDiscount)</f>
        <v>5607.8479256</v>
      </c>
    </row>
    <row r="38" customFormat="false" ht="15" hidden="false" customHeight="false" outlineLevel="0" collapsed="false">
      <c r="A38" s="25" t="s">
        <v>266</v>
      </c>
      <c r="B38" s="25" t="s">
        <v>96</v>
      </c>
      <c r="C38" s="25" t="s">
        <v>41</v>
      </c>
      <c r="D38" s="25" t="s">
        <v>267</v>
      </c>
      <c r="E38" s="25" t="s">
        <v>188</v>
      </c>
      <c r="F38" s="25" t="s">
        <v>255</v>
      </c>
      <c r="G38" s="25" t="s">
        <v>36</v>
      </c>
      <c r="H38" s="25" t="s">
        <v>64</v>
      </c>
      <c r="I38" s="25" t="s">
        <v>190</v>
      </c>
      <c r="J38" s="25" t="s">
        <v>191</v>
      </c>
      <c r="K38" s="25" t="s">
        <v>192</v>
      </c>
      <c r="L38" s="25" t="s">
        <v>29</v>
      </c>
      <c r="M38" s="25" t="n">
        <v>1809</v>
      </c>
      <c r="N38" s="25" t="n">
        <v>909</v>
      </c>
      <c r="O38" s="25"/>
      <c r="P38" s="26" t="n">
        <f aca="false">(M38*N38/1000000)*(INDEX(AreaRate_Vals,MATCH(C38,AreaRate_Keys,0))+IFERROR(INDEX(GlazingUpg_Vals,MATCH(H38,GlazingUpg_Keys,0)),0))+INDEX(Hardware_Vals,MATCH("Windows",Hardware_Keys,0))</f>
        <v>4936.48585</v>
      </c>
      <c r="Q38" s="27" t="n">
        <f aca="false">INDEX(Markup_Vals,MATCH("Windows",MarkupCat_Keys,0))</f>
        <v>0.42</v>
      </c>
      <c r="R38" s="28" t="n">
        <f aca="false">P38*(1+Q38)</f>
        <v>7009.809907</v>
      </c>
      <c r="S38" s="28" t="n">
        <f aca="false">R38*(1-TradeDiscount)</f>
        <v>6168.63271816</v>
      </c>
      <c r="T38" s="28" t="n">
        <f aca="false">R38*(1-VolumeDiscount)</f>
        <v>5607.8479256</v>
      </c>
    </row>
    <row r="39" customFormat="false" ht="15" hidden="false" customHeight="false" outlineLevel="0" collapsed="false">
      <c r="A39" s="29" t="s">
        <v>268</v>
      </c>
      <c r="B39" s="29" t="s">
        <v>96</v>
      </c>
      <c r="C39" s="29" t="s">
        <v>41</v>
      </c>
      <c r="D39" s="29" t="s">
        <v>269</v>
      </c>
      <c r="E39" s="29" t="s">
        <v>188</v>
      </c>
      <c r="F39" s="29" t="s">
        <v>255</v>
      </c>
      <c r="G39" s="29" t="s">
        <v>37</v>
      </c>
      <c r="H39" s="29" t="s">
        <v>64</v>
      </c>
      <c r="I39" s="29" t="s">
        <v>190</v>
      </c>
      <c r="J39" s="29" t="s">
        <v>191</v>
      </c>
      <c r="K39" s="29" t="s">
        <v>192</v>
      </c>
      <c r="L39" s="29" t="s">
        <v>29</v>
      </c>
      <c r="M39" s="29" t="n">
        <v>1809</v>
      </c>
      <c r="N39" s="29" t="n">
        <v>909</v>
      </c>
      <c r="O39" s="29"/>
      <c r="P39" s="30" t="n">
        <f aca="false">(M39*N39/1000000)*(INDEX(AreaRate_Vals,MATCH(C39,AreaRate_Keys,0))+IFERROR(INDEX(GlazingUpg_Vals,MATCH(H39,GlazingUpg_Keys,0)),0))+INDEX(Hardware_Vals,MATCH("Windows",Hardware_Keys,0))</f>
        <v>4936.48585</v>
      </c>
      <c r="Q39" s="31" t="n">
        <f aca="false">INDEX(Markup_Vals,MATCH("Windows",MarkupCat_Keys,0))</f>
        <v>0.42</v>
      </c>
      <c r="R39" s="32" t="n">
        <f aca="false">P39*(1+Q39)</f>
        <v>7009.809907</v>
      </c>
      <c r="S39" s="32" t="n">
        <f aca="false">R39*(1-TradeDiscount)</f>
        <v>6168.63271816</v>
      </c>
      <c r="T39" s="32" t="n">
        <f aca="false">R39*(1-VolumeDiscount)</f>
        <v>5607.8479256</v>
      </c>
    </row>
    <row r="40" customFormat="false" ht="15" hidden="false" customHeight="false" outlineLevel="0" collapsed="false">
      <c r="A40" s="25" t="s">
        <v>270</v>
      </c>
      <c r="B40" s="25" t="s">
        <v>96</v>
      </c>
      <c r="C40" s="25" t="s">
        <v>41</v>
      </c>
      <c r="D40" s="25" t="s">
        <v>271</v>
      </c>
      <c r="E40" s="25" t="s">
        <v>188</v>
      </c>
      <c r="F40" s="25" t="s">
        <v>255</v>
      </c>
      <c r="G40" s="25" t="s">
        <v>39</v>
      </c>
      <c r="H40" s="25" t="s">
        <v>64</v>
      </c>
      <c r="I40" s="25" t="s">
        <v>190</v>
      </c>
      <c r="J40" s="25" t="s">
        <v>191</v>
      </c>
      <c r="K40" s="25" t="s">
        <v>192</v>
      </c>
      <c r="L40" s="25" t="s">
        <v>29</v>
      </c>
      <c r="M40" s="25" t="n">
        <v>1809</v>
      </c>
      <c r="N40" s="25" t="n">
        <v>909</v>
      </c>
      <c r="O40" s="25"/>
      <c r="P40" s="26" t="n">
        <f aca="false">(M40*N40/1000000)*(INDEX(AreaRate_Vals,MATCH(C40,AreaRate_Keys,0))+IFERROR(INDEX(GlazingUpg_Vals,MATCH(H40,GlazingUpg_Keys,0)),0))+INDEX(Hardware_Vals,MATCH("Windows",Hardware_Keys,0))</f>
        <v>4936.48585</v>
      </c>
      <c r="Q40" s="27" t="n">
        <f aca="false">INDEX(Markup_Vals,MATCH("Windows",MarkupCat_Keys,0))</f>
        <v>0.42</v>
      </c>
      <c r="R40" s="28" t="n">
        <f aca="false">P40*(1+Q40)</f>
        <v>7009.809907</v>
      </c>
      <c r="S40" s="28" t="n">
        <f aca="false">R40*(1-TradeDiscount)</f>
        <v>6168.63271816</v>
      </c>
      <c r="T40" s="28" t="n">
        <f aca="false">R40*(1-VolumeDiscount)</f>
        <v>5607.8479256</v>
      </c>
    </row>
    <row r="41" customFormat="false" ht="15" hidden="false" customHeight="false" outlineLevel="0" collapsed="false">
      <c r="A41" s="29" t="s">
        <v>272</v>
      </c>
      <c r="B41" s="29" t="s">
        <v>96</v>
      </c>
      <c r="C41" s="29" t="s">
        <v>41</v>
      </c>
      <c r="D41" s="29" t="s">
        <v>273</v>
      </c>
      <c r="E41" s="29" t="s">
        <v>188</v>
      </c>
      <c r="F41" s="29" t="s">
        <v>255</v>
      </c>
      <c r="G41" s="29" t="s">
        <v>38</v>
      </c>
      <c r="H41" s="29" t="s">
        <v>64</v>
      </c>
      <c r="I41" s="29" t="s">
        <v>190</v>
      </c>
      <c r="J41" s="29" t="s">
        <v>191</v>
      </c>
      <c r="K41" s="29" t="s">
        <v>192</v>
      </c>
      <c r="L41" s="29" t="s">
        <v>29</v>
      </c>
      <c r="M41" s="29" t="n">
        <v>1809</v>
      </c>
      <c r="N41" s="29" t="n">
        <v>909</v>
      </c>
      <c r="O41" s="29"/>
      <c r="P41" s="30" t="n">
        <f aca="false">(M41*N41/1000000)*(INDEX(AreaRate_Vals,MATCH(C41,AreaRate_Keys,0))+IFERROR(INDEX(GlazingUpg_Vals,MATCH(H41,GlazingUpg_Keys,0)),0))+INDEX(Hardware_Vals,MATCH("Windows",Hardware_Keys,0))</f>
        <v>4936.48585</v>
      </c>
      <c r="Q41" s="31" t="n">
        <f aca="false">INDEX(Markup_Vals,MATCH("Windows",MarkupCat_Keys,0))</f>
        <v>0.42</v>
      </c>
      <c r="R41" s="32" t="n">
        <f aca="false">P41*(1+Q41)</f>
        <v>7009.809907</v>
      </c>
      <c r="S41" s="32" t="n">
        <f aca="false">R41*(1-TradeDiscount)</f>
        <v>6168.63271816</v>
      </c>
      <c r="T41" s="32" t="n">
        <f aca="false">R41*(1-VolumeDiscount)</f>
        <v>5607.8479256</v>
      </c>
    </row>
    <row r="42" customFormat="false" ht="15" hidden="false" customHeight="false" outlineLevel="0" collapsed="false">
      <c r="A42" s="25" t="s">
        <v>274</v>
      </c>
      <c r="B42" s="25" t="s">
        <v>96</v>
      </c>
      <c r="C42" s="25" t="s">
        <v>41</v>
      </c>
      <c r="D42" s="25" t="s">
        <v>275</v>
      </c>
      <c r="E42" s="25" t="s">
        <v>188</v>
      </c>
      <c r="F42" s="25" t="s">
        <v>276</v>
      </c>
      <c r="G42" s="25" t="s">
        <v>35</v>
      </c>
      <c r="H42" s="25" t="s">
        <v>63</v>
      </c>
      <c r="I42" s="25" t="s">
        <v>190</v>
      </c>
      <c r="J42" s="25" t="s">
        <v>191</v>
      </c>
      <c r="K42" s="25" t="s">
        <v>192</v>
      </c>
      <c r="L42" s="25" t="s">
        <v>29</v>
      </c>
      <c r="M42" s="25" t="n">
        <v>1809</v>
      </c>
      <c r="N42" s="25" t="n">
        <v>1209</v>
      </c>
      <c r="O42" s="25"/>
      <c r="P42" s="26" t="n">
        <f aca="false">(M42*N42/1000000)*(INDEX(AreaRate_Vals,MATCH(C42,AreaRate_Keys,0))+IFERROR(INDEX(GlazingUpg_Vals,MATCH(H42,GlazingUpg_Keys,0)),0))+INDEX(Hardware_Vals,MATCH("Windows",Hardware_Keys,0))</f>
        <v>5280.2863</v>
      </c>
      <c r="Q42" s="27" t="n">
        <f aca="false">INDEX(Markup_Vals,MATCH("Windows",MarkupCat_Keys,0))</f>
        <v>0.42</v>
      </c>
      <c r="R42" s="28" t="n">
        <f aca="false">P42*(1+Q42)</f>
        <v>7498.006546</v>
      </c>
      <c r="S42" s="28" t="n">
        <f aca="false">R42*(1-TradeDiscount)</f>
        <v>6598.24576048</v>
      </c>
      <c r="T42" s="28" t="n">
        <f aca="false">R42*(1-VolumeDiscount)</f>
        <v>5998.4052368</v>
      </c>
    </row>
    <row r="43" customFormat="false" ht="15" hidden="false" customHeight="false" outlineLevel="0" collapsed="false">
      <c r="A43" s="29" t="s">
        <v>277</v>
      </c>
      <c r="B43" s="29" t="s">
        <v>96</v>
      </c>
      <c r="C43" s="29" t="s">
        <v>41</v>
      </c>
      <c r="D43" s="29" t="s">
        <v>278</v>
      </c>
      <c r="E43" s="29" t="s">
        <v>188</v>
      </c>
      <c r="F43" s="29" t="s">
        <v>276</v>
      </c>
      <c r="G43" s="29" t="s">
        <v>36</v>
      </c>
      <c r="H43" s="29" t="s">
        <v>63</v>
      </c>
      <c r="I43" s="29" t="s">
        <v>190</v>
      </c>
      <c r="J43" s="29" t="s">
        <v>191</v>
      </c>
      <c r="K43" s="29" t="s">
        <v>192</v>
      </c>
      <c r="L43" s="29" t="s">
        <v>29</v>
      </c>
      <c r="M43" s="29" t="n">
        <v>1809</v>
      </c>
      <c r="N43" s="29" t="n">
        <v>1209</v>
      </c>
      <c r="O43" s="29"/>
      <c r="P43" s="30" t="n">
        <f aca="false">(M43*N43/1000000)*(INDEX(AreaRate_Vals,MATCH(C43,AreaRate_Keys,0))+IFERROR(INDEX(GlazingUpg_Vals,MATCH(H43,GlazingUpg_Keys,0)),0))+INDEX(Hardware_Vals,MATCH("Windows",Hardware_Keys,0))</f>
        <v>5280.2863</v>
      </c>
      <c r="Q43" s="31" t="n">
        <f aca="false">INDEX(Markup_Vals,MATCH("Windows",MarkupCat_Keys,0))</f>
        <v>0.42</v>
      </c>
      <c r="R43" s="32" t="n">
        <f aca="false">P43*(1+Q43)</f>
        <v>7498.006546</v>
      </c>
      <c r="S43" s="32" t="n">
        <f aca="false">R43*(1-TradeDiscount)</f>
        <v>6598.24576048</v>
      </c>
      <c r="T43" s="32" t="n">
        <f aca="false">R43*(1-VolumeDiscount)</f>
        <v>5998.4052368</v>
      </c>
    </row>
    <row r="44" customFormat="false" ht="15" hidden="false" customHeight="false" outlineLevel="0" collapsed="false">
      <c r="A44" s="25" t="s">
        <v>279</v>
      </c>
      <c r="B44" s="25" t="s">
        <v>96</v>
      </c>
      <c r="C44" s="25" t="s">
        <v>41</v>
      </c>
      <c r="D44" s="25" t="s">
        <v>280</v>
      </c>
      <c r="E44" s="25" t="s">
        <v>188</v>
      </c>
      <c r="F44" s="25" t="s">
        <v>276</v>
      </c>
      <c r="G44" s="25" t="s">
        <v>37</v>
      </c>
      <c r="H44" s="25" t="s">
        <v>63</v>
      </c>
      <c r="I44" s="25" t="s">
        <v>190</v>
      </c>
      <c r="J44" s="25" t="s">
        <v>191</v>
      </c>
      <c r="K44" s="25" t="s">
        <v>192</v>
      </c>
      <c r="L44" s="25" t="s">
        <v>29</v>
      </c>
      <c r="M44" s="25" t="n">
        <v>1809</v>
      </c>
      <c r="N44" s="25" t="n">
        <v>1209</v>
      </c>
      <c r="O44" s="25"/>
      <c r="P44" s="26" t="n">
        <f aca="false">(M44*N44/1000000)*(INDEX(AreaRate_Vals,MATCH(C44,AreaRate_Keys,0))+IFERROR(INDEX(GlazingUpg_Vals,MATCH(H44,GlazingUpg_Keys,0)),0))+INDEX(Hardware_Vals,MATCH("Windows",Hardware_Keys,0))</f>
        <v>5280.2863</v>
      </c>
      <c r="Q44" s="27" t="n">
        <f aca="false">INDEX(Markup_Vals,MATCH("Windows",MarkupCat_Keys,0))</f>
        <v>0.42</v>
      </c>
      <c r="R44" s="28" t="n">
        <f aca="false">P44*(1+Q44)</f>
        <v>7498.006546</v>
      </c>
      <c r="S44" s="28" t="n">
        <f aca="false">R44*(1-TradeDiscount)</f>
        <v>6598.24576048</v>
      </c>
      <c r="T44" s="28" t="n">
        <f aca="false">R44*(1-VolumeDiscount)</f>
        <v>5998.4052368</v>
      </c>
    </row>
    <row r="45" customFormat="false" ht="15" hidden="false" customHeight="false" outlineLevel="0" collapsed="false">
      <c r="A45" s="29" t="s">
        <v>281</v>
      </c>
      <c r="B45" s="29" t="s">
        <v>96</v>
      </c>
      <c r="C45" s="29" t="s">
        <v>41</v>
      </c>
      <c r="D45" s="29" t="s">
        <v>282</v>
      </c>
      <c r="E45" s="29" t="s">
        <v>188</v>
      </c>
      <c r="F45" s="29" t="s">
        <v>276</v>
      </c>
      <c r="G45" s="29" t="s">
        <v>39</v>
      </c>
      <c r="H45" s="29" t="s">
        <v>63</v>
      </c>
      <c r="I45" s="29" t="s">
        <v>190</v>
      </c>
      <c r="J45" s="29" t="s">
        <v>191</v>
      </c>
      <c r="K45" s="29" t="s">
        <v>192</v>
      </c>
      <c r="L45" s="29" t="s">
        <v>29</v>
      </c>
      <c r="M45" s="29" t="n">
        <v>1809</v>
      </c>
      <c r="N45" s="29" t="n">
        <v>1209</v>
      </c>
      <c r="O45" s="29"/>
      <c r="P45" s="30" t="n">
        <f aca="false">(M45*N45/1000000)*(INDEX(AreaRate_Vals,MATCH(C45,AreaRate_Keys,0))+IFERROR(INDEX(GlazingUpg_Vals,MATCH(H45,GlazingUpg_Keys,0)),0))+INDEX(Hardware_Vals,MATCH("Windows",Hardware_Keys,0))</f>
        <v>5280.2863</v>
      </c>
      <c r="Q45" s="31" t="n">
        <f aca="false">INDEX(Markup_Vals,MATCH("Windows",MarkupCat_Keys,0))</f>
        <v>0.42</v>
      </c>
      <c r="R45" s="32" t="n">
        <f aca="false">P45*(1+Q45)</f>
        <v>7498.006546</v>
      </c>
      <c r="S45" s="32" t="n">
        <f aca="false">R45*(1-TradeDiscount)</f>
        <v>6598.24576048</v>
      </c>
      <c r="T45" s="32" t="n">
        <f aca="false">R45*(1-VolumeDiscount)</f>
        <v>5998.4052368</v>
      </c>
    </row>
    <row r="46" customFormat="false" ht="15" hidden="false" customHeight="false" outlineLevel="0" collapsed="false">
      <c r="A46" s="25" t="s">
        <v>283</v>
      </c>
      <c r="B46" s="25" t="s">
        <v>96</v>
      </c>
      <c r="C46" s="25" t="s">
        <v>41</v>
      </c>
      <c r="D46" s="25" t="s">
        <v>284</v>
      </c>
      <c r="E46" s="25" t="s">
        <v>188</v>
      </c>
      <c r="F46" s="25" t="s">
        <v>276</v>
      </c>
      <c r="G46" s="25" t="s">
        <v>38</v>
      </c>
      <c r="H46" s="25" t="s">
        <v>63</v>
      </c>
      <c r="I46" s="25" t="s">
        <v>190</v>
      </c>
      <c r="J46" s="25" t="s">
        <v>191</v>
      </c>
      <c r="K46" s="25" t="s">
        <v>192</v>
      </c>
      <c r="L46" s="25" t="s">
        <v>29</v>
      </c>
      <c r="M46" s="25" t="n">
        <v>1809</v>
      </c>
      <c r="N46" s="25" t="n">
        <v>1209</v>
      </c>
      <c r="O46" s="25"/>
      <c r="P46" s="26" t="n">
        <f aca="false">(M46*N46/1000000)*(INDEX(AreaRate_Vals,MATCH(C46,AreaRate_Keys,0))+IFERROR(INDEX(GlazingUpg_Vals,MATCH(H46,GlazingUpg_Keys,0)),0))+INDEX(Hardware_Vals,MATCH("Windows",Hardware_Keys,0))</f>
        <v>5280.2863</v>
      </c>
      <c r="Q46" s="27" t="n">
        <f aca="false">INDEX(Markup_Vals,MATCH("Windows",MarkupCat_Keys,0))</f>
        <v>0.42</v>
      </c>
      <c r="R46" s="28" t="n">
        <f aca="false">P46*(1+Q46)</f>
        <v>7498.006546</v>
      </c>
      <c r="S46" s="28" t="n">
        <f aca="false">R46*(1-TradeDiscount)</f>
        <v>6598.24576048</v>
      </c>
      <c r="T46" s="28" t="n">
        <f aca="false">R46*(1-VolumeDiscount)</f>
        <v>5998.4052368</v>
      </c>
    </row>
    <row r="47" customFormat="false" ht="15" hidden="false" customHeight="false" outlineLevel="0" collapsed="false">
      <c r="A47" s="29" t="s">
        <v>285</v>
      </c>
      <c r="B47" s="29" t="s">
        <v>96</v>
      </c>
      <c r="C47" s="29" t="s">
        <v>41</v>
      </c>
      <c r="D47" s="29" t="s">
        <v>286</v>
      </c>
      <c r="E47" s="29" t="s">
        <v>188</v>
      </c>
      <c r="F47" s="29" t="s">
        <v>276</v>
      </c>
      <c r="G47" s="29" t="s">
        <v>35</v>
      </c>
      <c r="H47" s="29" t="s">
        <v>64</v>
      </c>
      <c r="I47" s="29" t="s">
        <v>190</v>
      </c>
      <c r="J47" s="29" t="s">
        <v>191</v>
      </c>
      <c r="K47" s="29" t="s">
        <v>192</v>
      </c>
      <c r="L47" s="29" t="s">
        <v>29</v>
      </c>
      <c r="M47" s="29" t="n">
        <v>1809</v>
      </c>
      <c r="N47" s="29" t="n">
        <v>1209</v>
      </c>
      <c r="O47" s="29"/>
      <c r="P47" s="30" t="n">
        <f aca="false">(M47*N47/1000000)*(INDEX(AreaRate_Vals,MATCH(C47,AreaRate_Keys,0))+IFERROR(INDEX(GlazingUpg_Vals,MATCH(H47,GlazingUpg_Keys,0)),0))+INDEX(Hardware_Vals,MATCH("Windows",Hardware_Keys,0))</f>
        <v>6483.18085</v>
      </c>
      <c r="Q47" s="31" t="n">
        <f aca="false">INDEX(Markup_Vals,MATCH("Windows",MarkupCat_Keys,0))</f>
        <v>0.42</v>
      </c>
      <c r="R47" s="32" t="n">
        <f aca="false">P47*(1+Q47)</f>
        <v>9206.116807</v>
      </c>
      <c r="S47" s="32" t="n">
        <f aca="false">R47*(1-TradeDiscount)</f>
        <v>8101.38279016</v>
      </c>
      <c r="T47" s="32" t="n">
        <f aca="false">R47*(1-VolumeDiscount)</f>
        <v>7364.8934456</v>
      </c>
    </row>
    <row r="48" customFormat="false" ht="15" hidden="false" customHeight="false" outlineLevel="0" collapsed="false">
      <c r="A48" s="25" t="s">
        <v>287</v>
      </c>
      <c r="B48" s="25" t="s">
        <v>96</v>
      </c>
      <c r="C48" s="25" t="s">
        <v>41</v>
      </c>
      <c r="D48" s="25" t="s">
        <v>288</v>
      </c>
      <c r="E48" s="25" t="s">
        <v>188</v>
      </c>
      <c r="F48" s="25" t="s">
        <v>276</v>
      </c>
      <c r="G48" s="25" t="s">
        <v>36</v>
      </c>
      <c r="H48" s="25" t="s">
        <v>64</v>
      </c>
      <c r="I48" s="25" t="s">
        <v>190</v>
      </c>
      <c r="J48" s="25" t="s">
        <v>191</v>
      </c>
      <c r="K48" s="25" t="s">
        <v>192</v>
      </c>
      <c r="L48" s="25" t="s">
        <v>29</v>
      </c>
      <c r="M48" s="25" t="n">
        <v>1809</v>
      </c>
      <c r="N48" s="25" t="n">
        <v>1209</v>
      </c>
      <c r="O48" s="25"/>
      <c r="P48" s="26" t="n">
        <f aca="false">(M48*N48/1000000)*(INDEX(AreaRate_Vals,MATCH(C48,AreaRate_Keys,0))+IFERROR(INDEX(GlazingUpg_Vals,MATCH(H48,GlazingUpg_Keys,0)),0))+INDEX(Hardware_Vals,MATCH("Windows",Hardware_Keys,0))</f>
        <v>6483.18085</v>
      </c>
      <c r="Q48" s="27" t="n">
        <f aca="false">INDEX(Markup_Vals,MATCH("Windows",MarkupCat_Keys,0))</f>
        <v>0.42</v>
      </c>
      <c r="R48" s="28" t="n">
        <f aca="false">P48*(1+Q48)</f>
        <v>9206.116807</v>
      </c>
      <c r="S48" s="28" t="n">
        <f aca="false">R48*(1-TradeDiscount)</f>
        <v>8101.38279016</v>
      </c>
      <c r="T48" s="28" t="n">
        <f aca="false">R48*(1-VolumeDiscount)</f>
        <v>7364.8934456</v>
      </c>
    </row>
    <row r="49" customFormat="false" ht="15" hidden="false" customHeight="false" outlineLevel="0" collapsed="false">
      <c r="A49" s="29" t="s">
        <v>289</v>
      </c>
      <c r="B49" s="29" t="s">
        <v>96</v>
      </c>
      <c r="C49" s="29" t="s">
        <v>41</v>
      </c>
      <c r="D49" s="29" t="s">
        <v>290</v>
      </c>
      <c r="E49" s="29" t="s">
        <v>188</v>
      </c>
      <c r="F49" s="29" t="s">
        <v>276</v>
      </c>
      <c r="G49" s="29" t="s">
        <v>37</v>
      </c>
      <c r="H49" s="29" t="s">
        <v>64</v>
      </c>
      <c r="I49" s="29" t="s">
        <v>190</v>
      </c>
      <c r="J49" s="29" t="s">
        <v>191</v>
      </c>
      <c r="K49" s="29" t="s">
        <v>192</v>
      </c>
      <c r="L49" s="29" t="s">
        <v>29</v>
      </c>
      <c r="M49" s="29" t="n">
        <v>1809</v>
      </c>
      <c r="N49" s="29" t="n">
        <v>1209</v>
      </c>
      <c r="O49" s="29"/>
      <c r="P49" s="30" t="n">
        <f aca="false">(M49*N49/1000000)*(INDEX(AreaRate_Vals,MATCH(C49,AreaRate_Keys,0))+IFERROR(INDEX(GlazingUpg_Vals,MATCH(H49,GlazingUpg_Keys,0)),0))+INDEX(Hardware_Vals,MATCH("Windows",Hardware_Keys,0))</f>
        <v>6483.18085</v>
      </c>
      <c r="Q49" s="31" t="n">
        <f aca="false">INDEX(Markup_Vals,MATCH("Windows",MarkupCat_Keys,0))</f>
        <v>0.42</v>
      </c>
      <c r="R49" s="32" t="n">
        <f aca="false">P49*(1+Q49)</f>
        <v>9206.116807</v>
      </c>
      <c r="S49" s="32" t="n">
        <f aca="false">R49*(1-TradeDiscount)</f>
        <v>8101.38279016</v>
      </c>
      <c r="T49" s="32" t="n">
        <f aca="false">R49*(1-VolumeDiscount)</f>
        <v>7364.8934456</v>
      </c>
    </row>
    <row r="50" customFormat="false" ht="15" hidden="false" customHeight="false" outlineLevel="0" collapsed="false">
      <c r="A50" s="25" t="s">
        <v>291</v>
      </c>
      <c r="B50" s="25" t="s">
        <v>96</v>
      </c>
      <c r="C50" s="25" t="s">
        <v>41</v>
      </c>
      <c r="D50" s="25" t="s">
        <v>292</v>
      </c>
      <c r="E50" s="25" t="s">
        <v>188</v>
      </c>
      <c r="F50" s="25" t="s">
        <v>276</v>
      </c>
      <c r="G50" s="25" t="s">
        <v>39</v>
      </c>
      <c r="H50" s="25" t="s">
        <v>64</v>
      </c>
      <c r="I50" s="25" t="s">
        <v>190</v>
      </c>
      <c r="J50" s="25" t="s">
        <v>191</v>
      </c>
      <c r="K50" s="25" t="s">
        <v>192</v>
      </c>
      <c r="L50" s="25" t="s">
        <v>29</v>
      </c>
      <c r="M50" s="25" t="n">
        <v>1809</v>
      </c>
      <c r="N50" s="25" t="n">
        <v>1209</v>
      </c>
      <c r="O50" s="25"/>
      <c r="P50" s="26" t="n">
        <f aca="false">(M50*N50/1000000)*(INDEX(AreaRate_Vals,MATCH(C50,AreaRate_Keys,0))+IFERROR(INDEX(GlazingUpg_Vals,MATCH(H50,GlazingUpg_Keys,0)),0))+INDEX(Hardware_Vals,MATCH("Windows",Hardware_Keys,0))</f>
        <v>6483.18085</v>
      </c>
      <c r="Q50" s="27" t="n">
        <f aca="false">INDEX(Markup_Vals,MATCH("Windows",MarkupCat_Keys,0))</f>
        <v>0.42</v>
      </c>
      <c r="R50" s="28" t="n">
        <f aca="false">P50*(1+Q50)</f>
        <v>9206.116807</v>
      </c>
      <c r="S50" s="28" t="n">
        <f aca="false">R50*(1-TradeDiscount)</f>
        <v>8101.38279016</v>
      </c>
      <c r="T50" s="28" t="n">
        <f aca="false">R50*(1-VolumeDiscount)</f>
        <v>7364.8934456</v>
      </c>
    </row>
    <row r="51" customFormat="false" ht="15" hidden="false" customHeight="false" outlineLevel="0" collapsed="false">
      <c r="A51" s="29" t="s">
        <v>293</v>
      </c>
      <c r="B51" s="29" t="s">
        <v>96</v>
      </c>
      <c r="C51" s="29" t="s">
        <v>41</v>
      </c>
      <c r="D51" s="29" t="s">
        <v>294</v>
      </c>
      <c r="E51" s="29" t="s">
        <v>188</v>
      </c>
      <c r="F51" s="29" t="s">
        <v>276</v>
      </c>
      <c r="G51" s="29" t="s">
        <v>38</v>
      </c>
      <c r="H51" s="29" t="s">
        <v>64</v>
      </c>
      <c r="I51" s="29" t="s">
        <v>190</v>
      </c>
      <c r="J51" s="29" t="s">
        <v>191</v>
      </c>
      <c r="K51" s="29" t="s">
        <v>192</v>
      </c>
      <c r="L51" s="29" t="s">
        <v>29</v>
      </c>
      <c r="M51" s="29" t="n">
        <v>1809</v>
      </c>
      <c r="N51" s="29" t="n">
        <v>1209</v>
      </c>
      <c r="O51" s="29"/>
      <c r="P51" s="30" t="n">
        <f aca="false">(M51*N51/1000000)*(INDEX(AreaRate_Vals,MATCH(C51,AreaRate_Keys,0))+IFERROR(INDEX(GlazingUpg_Vals,MATCH(H51,GlazingUpg_Keys,0)),0))+INDEX(Hardware_Vals,MATCH("Windows",Hardware_Keys,0))</f>
        <v>6483.18085</v>
      </c>
      <c r="Q51" s="31" t="n">
        <f aca="false">INDEX(Markup_Vals,MATCH("Windows",MarkupCat_Keys,0))</f>
        <v>0.42</v>
      </c>
      <c r="R51" s="32" t="n">
        <f aca="false">P51*(1+Q51)</f>
        <v>9206.116807</v>
      </c>
      <c r="S51" s="32" t="n">
        <f aca="false">R51*(1-TradeDiscount)</f>
        <v>8101.38279016</v>
      </c>
      <c r="T51" s="32" t="n">
        <f aca="false">R51*(1-VolumeDiscount)</f>
        <v>7364.8934456</v>
      </c>
    </row>
    <row r="52" customFormat="false" ht="15" hidden="false" customHeight="false" outlineLevel="0" collapsed="false">
      <c r="A52" s="25" t="s">
        <v>295</v>
      </c>
      <c r="B52" s="25" t="s">
        <v>96</v>
      </c>
      <c r="C52" s="25" t="s">
        <v>41</v>
      </c>
      <c r="D52" s="25" t="s">
        <v>296</v>
      </c>
      <c r="E52" s="25" t="s">
        <v>188</v>
      </c>
      <c r="F52" s="25" t="s">
        <v>297</v>
      </c>
      <c r="G52" s="25" t="s">
        <v>35</v>
      </c>
      <c r="H52" s="25" t="s">
        <v>63</v>
      </c>
      <c r="I52" s="25" t="s">
        <v>190</v>
      </c>
      <c r="J52" s="25" t="s">
        <v>191</v>
      </c>
      <c r="K52" s="25" t="s">
        <v>298</v>
      </c>
      <c r="L52" s="25" t="s">
        <v>29</v>
      </c>
      <c r="M52" s="25" t="n">
        <v>2409</v>
      </c>
      <c r="N52" s="25" t="n">
        <v>1209</v>
      </c>
      <c r="O52" s="25"/>
      <c r="P52" s="26" t="n">
        <f aca="false">(M52*N52/1000000)*(INDEX(AreaRate_Vals,MATCH(C52,AreaRate_Keys,0))+IFERROR(INDEX(GlazingUpg_Vals,MATCH(H52,GlazingUpg_Keys,0)),0))+INDEX(Hardware_Vals,MATCH("Windows",Hardware_Keys,0))</f>
        <v>6948.7063</v>
      </c>
      <c r="Q52" s="27" t="n">
        <f aca="false">INDEX(Markup_Vals,MATCH("Windows",MarkupCat_Keys,0))</f>
        <v>0.42</v>
      </c>
      <c r="R52" s="28" t="n">
        <f aca="false">P52*(1+Q52)</f>
        <v>9867.162946</v>
      </c>
      <c r="S52" s="28" t="n">
        <f aca="false">R52*(1-TradeDiscount)</f>
        <v>8683.10339248</v>
      </c>
      <c r="T52" s="28" t="n">
        <f aca="false">R52*(1-VolumeDiscount)</f>
        <v>7893.7303568</v>
      </c>
    </row>
    <row r="53" customFormat="false" ht="15" hidden="false" customHeight="false" outlineLevel="0" collapsed="false">
      <c r="A53" s="29" t="s">
        <v>299</v>
      </c>
      <c r="B53" s="29" t="s">
        <v>96</v>
      </c>
      <c r="C53" s="29" t="s">
        <v>41</v>
      </c>
      <c r="D53" s="29" t="s">
        <v>300</v>
      </c>
      <c r="E53" s="29" t="s">
        <v>188</v>
      </c>
      <c r="F53" s="29" t="s">
        <v>297</v>
      </c>
      <c r="G53" s="29" t="s">
        <v>36</v>
      </c>
      <c r="H53" s="29" t="s">
        <v>63</v>
      </c>
      <c r="I53" s="29" t="s">
        <v>190</v>
      </c>
      <c r="J53" s="29" t="s">
        <v>191</v>
      </c>
      <c r="K53" s="29" t="s">
        <v>298</v>
      </c>
      <c r="L53" s="29" t="s">
        <v>29</v>
      </c>
      <c r="M53" s="29" t="n">
        <v>2409</v>
      </c>
      <c r="N53" s="29" t="n">
        <v>1209</v>
      </c>
      <c r="O53" s="29"/>
      <c r="P53" s="30" t="n">
        <f aca="false">(M53*N53/1000000)*(INDEX(AreaRate_Vals,MATCH(C53,AreaRate_Keys,0))+IFERROR(INDEX(GlazingUpg_Vals,MATCH(H53,GlazingUpg_Keys,0)),0))+INDEX(Hardware_Vals,MATCH("Windows",Hardware_Keys,0))</f>
        <v>6948.7063</v>
      </c>
      <c r="Q53" s="31" t="n">
        <f aca="false">INDEX(Markup_Vals,MATCH("Windows",MarkupCat_Keys,0))</f>
        <v>0.42</v>
      </c>
      <c r="R53" s="32" t="n">
        <f aca="false">P53*(1+Q53)</f>
        <v>9867.162946</v>
      </c>
      <c r="S53" s="32" t="n">
        <f aca="false">R53*(1-TradeDiscount)</f>
        <v>8683.10339248</v>
      </c>
      <c r="T53" s="32" t="n">
        <f aca="false">R53*(1-VolumeDiscount)</f>
        <v>7893.7303568</v>
      </c>
    </row>
    <row r="54" customFormat="false" ht="15" hidden="false" customHeight="false" outlineLevel="0" collapsed="false">
      <c r="A54" s="25" t="s">
        <v>301</v>
      </c>
      <c r="B54" s="25" t="s">
        <v>96</v>
      </c>
      <c r="C54" s="25" t="s">
        <v>41</v>
      </c>
      <c r="D54" s="25" t="s">
        <v>302</v>
      </c>
      <c r="E54" s="25" t="s">
        <v>188</v>
      </c>
      <c r="F54" s="25" t="s">
        <v>297</v>
      </c>
      <c r="G54" s="25" t="s">
        <v>37</v>
      </c>
      <c r="H54" s="25" t="s">
        <v>63</v>
      </c>
      <c r="I54" s="25" t="s">
        <v>190</v>
      </c>
      <c r="J54" s="25" t="s">
        <v>191</v>
      </c>
      <c r="K54" s="25" t="s">
        <v>298</v>
      </c>
      <c r="L54" s="25" t="s">
        <v>29</v>
      </c>
      <c r="M54" s="25" t="n">
        <v>2409</v>
      </c>
      <c r="N54" s="25" t="n">
        <v>1209</v>
      </c>
      <c r="O54" s="25"/>
      <c r="P54" s="26" t="n">
        <f aca="false">(M54*N54/1000000)*(INDEX(AreaRate_Vals,MATCH(C54,AreaRate_Keys,0))+IFERROR(INDEX(GlazingUpg_Vals,MATCH(H54,GlazingUpg_Keys,0)),0))+INDEX(Hardware_Vals,MATCH("Windows",Hardware_Keys,0))</f>
        <v>6948.7063</v>
      </c>
      <c r="Q54" s="27" t="n">
        <f aca="false">INDEX(Markup_Vals,MATCH("Windows",MarkupCat_Keys,0))</f>
        <v>0.42</v>
      </c>
      <c r="R54" s="28" t="n">
        <f aca="false">P54*(1+Q54)</f>
        <v>9867.162946</v>
      </c>
      <c r="S54" s="28" t="n">
        <f aca="false">R54*(1-TradeDiscount)</f>
        <v>8683.10339248</v>
      </c>
      <c r="T54" s="28" t="n">
        <f aca="false">R54*(1-VolumeDiscount)</f>
        <v>7893.7303568</v>
      </c>
    </row>
    <row r="55" customFormat="false" ht="15" hidden="false" customHeight="false" outlineLevel="0" collapsed="false">
      <c r="A55" s="29" t="s">
        <v>303</v>
      </c>
      <c r="B55" s="29" t="s">
        <v>96</v>
      </c>
      <c r="C55" s="29" t="s">
        <v>41</v>
      </c>
      <c r="D55" s="29" t="s">
        <v>304</v>
      </c>
      <c r="E55" s="29" t="s">
        <v>188</v>
      </c>
      <c r="F55" s="29" t="s">
        <v>297</v>
      </c>
      <c r="G55" s="29" t="s">
        <v>39</v>
      </c>
      <c r="H55" s="29" t="s">
        <v>63</v>
      </c>
      <c r="I55" s="29" t="s">
        <v>190</v>
      </c>
      <c r="J55" s="29" t="s">
        <v>191</v>
      </c>
      <c r="K55" s="29" t="s">
        <v>298</v>
      </c>
      <c r="L55" s="29" t="s">
        <v>29</v>
      </c>
      <c r="M55" s="29" t="n">
        <v>2409</v>
      </c>
      <c r="N55" s="29" t="n">
        <v>1209</v>
      </c>
      <c r="O55" s="29"/>
      <c r="P55" s="30" t="n">
        <f aca="false">(M55*N55/1000000)*(INDEX(AreaRate_Vals,MATCH(C55,AreaRate_Keys,0))+IFERROR(INDEX(GlazingUpg_Vals,MATCH(H55,GlazingUpg_Keys,0)),0))+INDEX(Hardware_Vals,MATCH("Windows",Hardware_Keys,0))</f>
        <v>6948.7063</v>
      </c>
      <c r="Q55" s="31" t="n">
        <f aca="false">INDEX(Markup_Vals,MATCH("Windows",MarkupCat_Keys,0))</f>
        <v>0.42</v>
      </c>
      <c r="R55" s="32" t="n">
        <f aca="false">P55*(1+Q55)</f>
        <v>9867.162946</v>
      </c>
      <c r="S55" s="32" t="n">
        <f aca="false">R55*(1-TradeDiscount)</f>
        <v>8683.10339248</v>
      </c>
      <c r="T55" s="32" t="n">
        <f aca="false">R55*(1-VolumeDiscount)</f>
        <v>7893.7303568</v>
      </c>
    </row>
    <row r="56" customFormat="false" ht="15" hidden="false" customHeight="false" outlineLevel="0" collapsed="false">
      <c r="A56" s="25" t="s">
        <v>305</v>
      </c>
      <c r="B56" s="25" t="s">
        <v>96</v>
      </c>
      <c r="C56" s="25" t="s">
        <v>41</v>
      </c>
      <c r="D56" s="25" t="s">
        <v>306</v>
      </c>
      <c r="E56" s="25" t="s">
        <v>188</v>
      </c>
      <c r="F56" s="25" t="s">
        <v>297</v>
      </c>
      <c r="G56" s="25" t="s">
        <v>38</v>
      </c>
      <c r="H56" s="25" t="s">
        <v>63</v>
      </c>
      <c r="I56" s="25" t="s">
        <v>190</v>
      </c>
      <c r="J56" s="25" t="s">
        <v>191</v>
      </c>
      <c r="K56" s="25" t="s">
        <v>298</v>
      </c>
      <c r="L56" s="25" t="s">
        <v>29</v>
      </c>
      <c r="M56" s="25" t="n">
        <v>2409</v>
      </c>
      <c r="N56" s="25" t="n">
        <v>1209</v>
      </c>
      <c r="O56" s="25"/>
      <c r="P56" s="26" t="n">
        <f aca="false">(M56*N56/1000000)*(INDEX(AreaRate_Vals,MATCH(C56,AreaRate_Keys,0))+IFERROR(INDEX(GlazingUpg_Vals,MATCH(H56,GlazingUpg_Keys,0)),0))+INDEX(Hardware_Vals,MATCH("Windows",Hardware_Keys,0))</f>
        <v>6948.7063</v>
      </c>
      <c r="Q56" s="27" t="n">
        <f aca="false">INDEX(Markup_Vals,MATCH("Windows",MarkupCat_Keys,0))</f>
        <v>0.42</v>
      </c>
      <c r="R56" s="28" t="n">
        <f aca="false">P56*(1+Q56)</f>
        <v>9867.162946</v>
      </c>
      <c r="S56" s="28" t="n">
        <f aca="false">R56*(1-TradeDiscount)</f>
        <v>8683.10339248</v>
      </c>
      <c r="T56" s="28" t="n">
        <f aca="false">R56*(1-VolumeDiscount)</f>
        <v>7893.7303568</v>
      </c>
    </row>
    <row r="57" customFormat="false" ht="15" hidden="false" customHeight="false" outlineLevel="0" collapsed="false">
      <c r="A57" s="29" t="s">
        <v>307</v>
      </c>
      <c r="B57" s="29" t="s">
        <v>96</v>
      </c>
      <c r="C57" s="29" t="s">
        <v>41</v>
      </c>
      <c r="D57" s="29" t="s">
        <v>308</v>
      </c>
      <c r="E57" s="29" t="s">
        <v>188</v>
      </c>
      <c r="F57" s="29" t="s">
        <v>297</v>
      </c>
      <c r="G57" s="29" t="s">
        <v>35</v>
      </c>
      <c r="H57" s="29" t="s">
        <v>64</v>
      </c>
      <c r="I57" s="29" t="s">
        <v>190</v>
      </c>
      <c r="J57" s="29" t="s">
        <v>191</v>
      </c>
      <c r="K57" s="29" t="s">
        <v>298</v>
      </c>
      <c r="L57" s="29" t="s">
        <v>29</v>
      </c>
      <c r="M57" s="29" t="n">
        <v>2409</v>
      </c>
      <c r="N57" s="29" t="n">
        <v>1209</v>
      </c>
      <c r="O57" s="29"/>
      <c r="P57" s="30" t="n">
        <f aca="false">(M57*N57/1000000)*(INDEX(AreaRate_Vals,MATCH(C57,AreaRate_Keys,0))+IFERROR(INDEX(GlazingUpg_Vals,MATCH(H57,GlazingUpg_Keys,0)),0))+INDEX(Hardware_Vals,MATCH("Windows",Hardware_Keys,0))</f>
        <v>8550.57085</v>
      </c>
      <c r="Q57" s="31" t="n">
        <f aca="false">INDEX(Markup_Vals,MATCH("Windows",MarkupCat_Keys,0))</f>
        <v>0.42</v>
      </c>
      <c r="R57" s="32" t="n">
        <f aca="false">P57*(1+Q57)</f>
        <v>12141.810607</v>
      </c>
      <c r="S57" s="32" t="n">
        <f aca="false">R57*(1-TradeDiscount)</f>
        <v>10684.79333416</v>
      </c>
      <c r="T57" s="32" t="n">
        <f aca="false">R57*(1-VolumeDiscount)</f>
        <v>9713.4484856</v>
      </c>
    </row>
    <row r="58" customFormat="false" ht="15" hidden="false" customHeight="false" outlineLevel="0" collapsed="false">
      <c r="A58" s="25" t="s">
        <v>309</v>
      </c>
      <c r="B58" s="25" t="s">
        <v>96</v>
      </c>
      <c r="C58" s="25" t="s">
        <v>41</v>
      </c>
      <c r="D58" s="25" t="s">
        <v>310</v>
      </c>
      <c r="E58" s="25" t="s">
        <v>188</v>
      </c>
      <c r="F58" s="25" t="s">
        <v>297</v>
      </c>
      <c r="G58" s="25" t="s">
        <v>36</v>
      </c>
      <c r="H58" s="25" t="s">
        <v>64</v>
      </c>
      <c r="I58" s="25" t="s">
        <v>190</v>
      </c>
      <c r="J58" s="25" t="s">
        <v>191</v>
      </c>
      <c r="K58" s="25" t="s">
        <v>298</v>
      </c>
      <c r="L58" s="25" t="s">
        <v>29</v>
      </c>
      <c r="M58" s="25" t="n">
        <v>2409</v>
      </c>
      <c r="N58" s="25" t="n">
        <v>1209</v>
      </c>
      <c r="O58" s="25"/>
      <c r="P58" s="26" t="n">
        <f aca="false">(M58*N58/1000000)*(INDEX(AreaRate_Vals,MATCH(C58,AreaRate_Keys,0))+IFERROR(INDEX(GlazingUpg_Vals,MATCH(H58,GlazingUpg_Keys,0)),0))+INDEX(Hardware_Vals,MATCH("Windows",Hardware_Keys,0))</f>
        <v>8550.57085</v>
      </c>
      <c r="Q58" s="27" t="n">
        <f aca="false">INDEX(Markup_Vals,MATCH("Windows",MarkupCat_Keys,0))</f>
        <v>0.42</v>
      </c>
      <c r="R58" s="28" t="n">
        <f aca="false">P58*(1+Q58)</f>
        <v>12141.810607</v>
      </c>
      <c r="S58" s="28" t="n">
        <f aca="false">R58*(1-TradeDiscount)</f>
        <v>10684.79333416</v>
      </c>
      <c r="T58" s="28" t="n">
        <f aca="false">R58*(1-VolumeDiscount)</f>
        <v>9713.4484856</v>
      </c>
    </row>
    <row r="59" customFormat="false" ht="15" hidden="false" customHeight="false" outlineLevel="0" collapsed="false">
      <c r="A59" s="29" t="s">
        <v>311</v>
      </c>
      <c r="B59" s="29" t="s">
        <v>96</v>
      </c>
      <c r="C59" s="29" t="s">
        <v>41</v>
      </c>
      <c r="D59" s="29" t="s">
        <v>312</v>
      </c>
      <c r="E59" s="29" t="s">
        <v>188</v>
      </c>
      <c r="F59" s="29" t="s">
        <v>297</v>
      </c>
      <c r="G59" s="29" t="s">
        <v>37</v>
      </c>
      <c r="H59" s="29" t="s">
        <v>64</v>
      </c>
      <c r="I59" s="29" t="s">
        <v>190</v>
      </c>
      <c r="J59" s="29" t="s">
        <v>191</v>
      </c>
      <c r="K59" s="29" t="s">
        <v>298</v>
      </c>
      <c r="L59" s="29" t="s">
        <v>29</v>
      </c>
      <c r="M59" s="29" t="n">
        <v>2409</v>
      </c>
      <c r="N59" s="29" t="n">
        <v>1209</v>
      </c>
      <c r="O59" s="29"/>
      <c r="P59" s="30" t="n">
        <f aca="false">(M59*N59/1000000)*(INDEX(AreaRate_Vals,MATCH(C59,AreaRate_Keys,0))+IFERROR(INDEX(GlazingUpg_Vals,MATCH(H59,GlazingUpg_Keys,0)),0))+INDEX(Hardware_Vals,MATCH("Windows",Hardware_Keys,0))</f>
        <v>8550.57085</v>
      </c>
      <c r="Q59" s="31" t="n">
        <f aca="false">INDEX(Markup_Vals,MATCH("Windows",MarkupCat_Keys,0))</f>
        <v>0.42</v>
      </c>
      <c r="R59" s="32" t="n">
        <f aca="false">P59*(1+Q59)</f>
        <v>12141.810607</v>
      </c>
      <c r="S59" s="32" t="n">
        <f aca="false">R59*(1-TradeDiscount)</f>
        <v>10684.79333416</v>
      </c>
      <c r="T59" s="32" t="n">
        <f aca="false">R59*(1-VolumeDiscount)</f>
        <v>9713.4484856</v>
      </c>
    </row>
    <row r="60" customFormat="false" ht="15" hidden="false" customHeight="false" outlineLevel="0" collapsed="false">
      <c r="A60" s="25" t="s">
        <v>313</v>
      </c>
      <c r="B60" s="25" t="s">
        <v>96</v>
      </c>
      <c r="C60" s="25" t="s">
        <v>41</v>
      </c>
      <c r="D60" s="25" t="s">
        <v>314</v>
      </c>
      <c r="E60" s="25" t="s">
        <v>188</v>
      </c>
      <c r="F60" s="25" t="s">
        <v>297</v>
      </c>
      <c r="G60" s="25" t="s">
        <v>39</v>
      </c>
      <c r="H60" s="25" t="s">
        <v>64</v>
      </c>
      <c r="I60" s="25" t="s">
        <v>190</v>
      </c>
      <c r="J60" s="25" t="s">
        <v>191</v>
      </c>
      <c r="K60" s="25" t="s">
        <v>298</v>
      </c>
      <c r="L60" s="25" t="s">
        <v>29</v>
      </c>
      <c r="M60" s="25" t="n">
        <v>2409</v>
      </c>
      <c r="N60" s="25" t="n">
        <v>1209</v>
      </c>
      <c r="O60" s="25"/>
      <c r="P60" s="26" t="n">
        <f aca="false">(M60*N60/1000000)*(INDEX(AreaRate_Vals,MATCH(C60,AreaRate_Keys,0))+IFERROR(INDEX(GlazingUpg_Vals,MATCH(H60,GlazingUpg_Keys,0)),0))+INDEX(Hardware_Vals,MATCH("Windows",Hardware_Keys,0))</f>
        <v>8550.57085</v>
      </c>
      <c r="Q60" s="27" t="n">
        <f aca="false">INDEX(Markup_Vals,MATCH("Windows",MarkupCat_Keys,0))</f>
        <v>0.42</v>
      </c>
      <c r="R60" s="28" t="n">
        <f aca="false">P60*(1+Q60)</f>
        <v>12141.810607</v>
      </c>
      <c r="S60" s="28" t="n">
        <f aca="false">R60*(1-TradeDiscount)</f>
        <v>10684.79333416</v>
      </c>
      <c r="T60" s="28" t="n">
        <f aca="false">R60*(1-VolumeDiscount)</f>
        <v>9713.4484856</v>
      </c>
    </row>
    <row r="61" customFormat="false" ht="15" hidden="false" customHeight="false" outlineLevel="0" collapsed="false">
      <c r="A61" s="29" t="s">
        <v>315</v>
      </c>
      <c r="B61" s="29" t="s">
        <v>96</v>
      </c>
      <c r="C61" s="29" t="s">
        <v>41</v>
      </c>
      <c r="D61" s="29" t="s">
        <v>316</v>
      </c>
      <c r="E61" s="29" t="s">
        <v>188</v>
      </c>
      <c r="F61" s="29" t="s">
        <v>297</v>
      </c>
      <c r="G61" s="29" t="s">
        <v>38</v>
      </c>
      <c r="H61" s="29" t="s">
        <v>64</v>
      </c>
      <c r="I61" s="29" t="s">
        <v>190</v>
      </c>
      <c r="J61" s="29" t="s">
        <v>191</v>
      </c>
      <c r="K61" s="29" t="s">
        <v>298</v>
      </c>
      <c r="L61" s="29" t="s">
        <v>29</v>
      </c>
      <c r="M61" s="29" t="n">
        <v>2409</v>
      </c>
      <c r="N61" s="29" t="n">
        <v>1209</v>
      </c>
      <c r="O61" s="29"/>
      <c r="P61" s="30" t="n">
        <f aca="false">(M61*N61/1000000)*(INDEX(AreaRate_Vals,MATCH(C61,AreaRate_Keys,0))+IFERROR(INDEX(GlazingUpg_Vals,MATCH(H61,GlazingUpg_Keys,0)),0))+INDEX(Hardware_Vals,MATCH("Windows",Hardware_Keys,0))</f>
        <v>8550.57085</v>
      </c>
      <c r="Q61" s="31" t="n">
        <f aca="false">INDEX(Markup_Vals,MATCH("Windows",MarkupCat_Keys,0))</f>
        <v>0.42</v>
      </c>
      <c r="R61" s="32" t="n">
        <f aca="false">P61*(1+Q61)</f>
        <v>12141.810607</v>
      </c>
      <c r="S61" s="32" t="n">
        <f aca="false">R61*(1-TradeDiscount)</f>
        <v>10684.79333416</v>
      </c>
      <c r="T61" s="32" t="n">
        <f aca="false">R61*(1-VolumeDiscount)</f>
        <v>9713.4484856</v>
      </c>
    </row>
    <row r="62" customFormat="false" ht="15" hidden="false" customHeight="false" outlineLevel="0" collapsed="false">
      <c r="A62" s="25" t="s">
        <v>317</v>
      </c>
      <c r="B62" s="25" t="s">
        <v>96</v>
      </c>
      <c r="C62" s="25" t="s">
        <v>41</v>
      </c>
      <c r="D62" s="25" t="s">
        <v>318</v>
      </c>
      <c r="E62" s="25" t="s">
        <v>188</v>
      </c>
      <c r="F62" s="25" t="s">
        <v>319</v>
      </c>
      <c r="G62" s="25" t="s">
        <v>35</v>
      </c>
      <c r="H62" s="25" t="s">
        <v>63</v>
      </c>
      <c r="I62" s="25" t="s">
        <v>190</v>
      </c>
      <c r="J62" s="25" t="s">
        <v>191</v>
      </c>
      <c r="K62" s="25" t="s">
        <v>298</v>
      </c>
      <c r="L62" s="25" t="s">
        <v>29</v>
      </c>
      <c r="M62" s="25" t="n">
        <v>2409</v>
      </c>
      <c r="N62" s="25" t="n">
        <v>1509</v>
      </c>
      <c r="O62" s="25"/>
      <c r="P62" s="26" t="n">
        <f aca="false">(M62*N62/1000000)*(INDEX(AreaRate_Vals,MATCH(C62,AreaRate_Keys,0))+IFERROR(INDEX(GlazingUpg_Vals,MATCH(H62,GlazingUpg_Keys,0)),0))+INDEX(Hardware_Vals,MATCH("Windows",Hardware_Keys,0))</f>
        <v>8610.9163</v>
      </c>
      <c r="Q62" s="27" t="n">
        <f aca="false">INDEX(Markup_Vals,MATCH("Windows",MarkupCat_Keys,0))</f>
        <v>0.42</v>
      </c>
      <c r="R62" s="28" t="n">
        <f aca="false">P62*(1+Q62)</f>
        <v>12227.501146</v>
      </c>
      <c r="S62" s="28" t="n">
        <f aca="false">R62*(1-TradeDiscount)</f>
        <v>10760.20100848</v>
      </c>
      <c r="T62" s="28" t="n">
        <f aca="false">R62*(1-VolumeDiscount)</f>
        <v>9782.0009168</v>
      </c>
    </row>
    <row r="63" customFormat="false" ht="15" hidden="false" customHeight="false" outlineLevel="0" collapsed="false">
      <c r="A63" s="29" t="s">
        <v>320</v>
      </c>
      <c r="B63" s="29" t="s">
        <v>96</v>
      </c>
      <c r="C63" s="29" t="s">
        <v>41</v>
      </c>
      <c r="D63" s="29" t="s">
        <v>321</v>
      </c>
      <c r="E63" s="29" t="s">
        <v>188</v>
      </c>
      <c r="F63" s="29" t="s">
        <v>319</v>
      </c>
      <c r="G63" s="29" t="s">
        <v>36</v>
      </c>
      <c r="H63" s="29" t="s">
        <v>63</v>
      </c>
      <c r="I63" s="29" t="s">
        <v>190</v>
      </c>
      <c r="J63" s="29" t="s">
        <v>191</v>
      </c>
      <c r="K63" s="29" t="s">
        <v>298</v>
      </c>
      <c r="L63" s="29" t="s">
        <v>29</v>
      </c>
      <c r="M63" s="29" t="n">
        <v>2409</v>
      </c>
      <c r="N63" s="29" t="n">
        <v>1509</v>
      </c>
      <c r="O63" s="29"/>
      <c r="P63" s="30" t="n">
        <f aca="false">(M63*N63/1000000)*(INDEX(AreaRate_Vals,MATCH(C63,AreaRate_Keys,0))+IFERROR(INDEX(GlazingUpg_Vals,MATCH(H63,GlazingUpg_Keys,0)),0))+INDEX(Hardware_Vals,MATCH("Windows",Hardware_Keys,0))</f>
        <v>8610.9163</v>
      </c>
      <c r="Q63" s="31" t="n">
        <f aca="false">INDEX(Markup_Vals,MATCH("Windows",MarkupCat_Keys,0))</f>
        <v>0.42</v>
      </c>
      <c r="R63" s="32" t="n">
        <f aca="false">P63*(1+Q63)</f>
        <v>12227.501146</v>
      </c>
      <c r="S63" s="32" t="n">
        <f aca="false">R63*(1-TradeDiscount)</f>
        <v>10760.20100848</v>
      </c>
      <c r="T63" s="32" t="n">
        <f aca="false">R63*(1-VolumeDiscount)</f>
        <v>9782.0009168</v>
      </c>
    </row>
    <row r="64" customFormat="false" ht="15" hidden="false" customHeight="false" outlineLevel="0" collapsed="false">
      <c r="A64" s="25" t="s">
        <v>322</v>
      </c>
      <c r="B64" s="25" t="s">
        <v>96</v>
      </c>
      <c r="C64" s="25" t="s">
        <v>41</v>
      </c>
      <c r="D64" s="25" t="s">
        <v>323</v>
      </c>
      <c r="E64" s="25" t="s">
        <v>188</v>
      </c>
      <c r="F64" s="25" t="s">
        <v>319</v>
      </c>
      <c r="G64" s="25" t="s">
        <v>37</v>
      </c>
      <c r="H64" s="25" t="s">
        <v>63</v>
      </c>
      <c r="I64" s="25" t="s">
        <v>190</v>
      </c>
      <c r="J64" s="25" t="s">
        <v>191</v>
      </c>
      <c r="K64" s="25" t="s">
        <v>298</v>
      </c>
      <c r="L64" s="25" t="s">
        <v>29</v>
      </c>
      <c r="M64" s="25" t="n">
        <v>2409</v>
      </c>
      <c r="N64" s="25" t="n">
        <v>1509</v>
      </c>
      <c r="O64" s="25"/>
      <c r="P64" s="26" t="n">
        <f aca="false">(M64*N64/1000000)*(INDEX(AreaRate_Vals,MATCH(C64,AreaRate_Keys,0))+IFERROR(INDEX(GlazingUpg_Vals,MATCH(H64,GlazingUpg_Keys,0)),0))+INDEX(Hardware_Vals,MATCH("Windows",Hardware_Keys,0))</f>
        <v>8610.9163</v>
      </c>
      <c r="Q64" s="27" t="n">
        <f aca="false">INDEX(Markup_Vals,MATCH("Windows",MarkupCat_Keys,0))</f>
        <v>0.42</v>
      </c>
      <c r="R64" s="28" t="n">
        <f aca="false">P64*(1+Q64)</f>
        <v>12227.501146</v>
      </c>
      <c r="S64" s="28" t="n">
        <f aca="false">R64*(1-TradeDiscount)</f>
        <v>10760.20100848</v>
      </c>
      <c r="T64" s="28" t="n">
        <f aca="false">R64*(1-VolumeDiscount)</f>
        <v>9782.0009168</v>
      </c>
    </row>
    <row r="65" customFormat="false" ht="15" hidden="false" customHeight="false" outlineLevel="0" collapsed="false">
      <c r="A65" s="29" t="s">
        <v>324</v>
      </c>
      <c r="B65" s="29" t="s">
        <v>96</v>
      </c>
      <c r="C65" s="29" t="s">
        <v>41</v>
      </c>
      <c r="D65" s="29" t="s">
        <v>325</v>
      </c>
      <c r="E65" s="29" t="s">
        <v>188</v>
      </c>
      <c r="F65" s="29" t="s">
        <v>319</v>
      </c>
      <c r="G65" s="29" t="s">
        <v>39</v>
      </c>
      <c r="H65" s="29" t="s">
        <v>63</v>
      </c>
      <c r="I65" s="29" t="s">
        <v>190</v>
      </c>
      <c r="J65" s="29" t="s">
        <v>191</v>
      </c>
      <c r="K65" s="29" t="s">
        <v>298</v>
      </c>
      <c r="L65" s="29" t="s">
        <v>29</v>
      </c>
      <c r="M65" s="29" t="n">
        <v>2409</v>
      </c>
      <c r="N65" s="29" t="n">
        <v>1509</v>
      </c>
      <c r="O65" s="29"/>
      <c r="P65" s="30" t="n">
        <f aca="false">(M65*N65/1000000)*(INDEX(AreaRate_Vals,MATCH(C65,AreaRate_Keys,0))+IFERROR(INDEX(GlazingUpg_Vals,MATCH(H65,GlazingUpg_Keys,0)),0))+INDEX(Hardware_Vals,MATCH("Windows",Hardware_Keys,0))</f>
        <v>8610.9163</v>
      </c>
      <c r="Q65" s="31" t="n">
        <f aca="false">INDEX(Markup_Vals,MATCH("Windows",MarkupCat_Keys,0))</f>
        <v>0.42</v>
      </c>
      <c r="R65" s="32" t="n">
        <f aca="false">P65*(1+Q65)</f>
        <v>12227.501146</v>
      </c>
      <c r="S65" s="32" t="n">
        <f aca="false">R65*(1-TradeDiscount)</f>
        <v>10760.20100848</v>
      </c>
      <c r="T65" s="32" t="n">
        <f aca="false">R65*(1-VolumeDiscount)</f>
        <v>9782.0009168</v>
      </c>
    </row>
    <row r="66" customFormat="false" ht="15" hidden="false" customHeight="false" outlineLevel="0" collapsed="false">
      <c r="A66" s="25" t="s">
        <v>326</v>
      </c>
      <c r="B66" s="25" t="s">
        <v>96</v>
      </c>
      <c r="C66" s="25" t="s">
        <v>41</v>
      </c>
      <c r="D66" s="25" t="s">
        <v>327</v>
      </c>
      <c r="E66" s="25" t="s">
        <v>188</v>
      </c>
      <c r="F66" s="25" t="s">
        <v>319</v>
      </c>
      <c r="G66" s="25" t="s">
        <v>38</v>
      </c>
      <c r="H66" s="25" t="s">
        <v>63</v>
      </c>
      <c r="I66" s="25" t="s">
        <v>190</v>
      </c>
      <c r="J66" s="25" t="s">
        <v>191</v>
      </c>
      <c r="K66" s="25" t="s">
        <v>298</v>
      </c>
      <c r="L66" s="25" t="s">
        <v>29</v>
      </c>
      <c r="M66" s="25" t="n">
        <v>2409</v>
      </c>
      <c r="N66" s="25" t="n">
        <v>1509</v>
      </c>
      <c r="O66" s="25"/>
      <c r="P66" s="26" t="n">
        <f aca="false">(M66*N66/1000000)*(INDEX(AreaRate_Vals,MATCH(C66,AreaRate_Keys,0))+IFERROR(INDEX(GlazingUpg_Vals,MATCH(H66,GlazingUpg_Keys,0)),0))+INDEX(Hardware_Vals,MATCH("Windows",Hardware_Keys,0))</f>
        <v>8610.9163</v>
      </c>
      <c r="Q66" s="27" t="n">
        <f aca="false">INDEX(Markup_Vals,MATCH("Windows",MarkupCat_Keys,0))</f>
        <v>0.42</v>
      </c>
      <c r="R66" s="28" t="n">
        <f aca="false">P66*(1+Q66)</f>
        <v>12227.501146</v>
      </c>
      <c r="S66" s="28" t="n">
        <f aca="false">R66*(1-TradeDiscount)</f>
        <v>10760.20100848</v>
      </c>
      <c r="T66" s="28" t="n">
        <f aca="false">R66*(1-VolumeDiscount)</f>
        <v>9782.0009168</v>
      </c>
    </row>
    <row r="67" customFormat="false" ht="15" hidden="false" customHeight="false" outlineLevel="0" collapsed="false">
      <c r="A67" s="29" t="s">
        <v>328</v>
      </c>
      <c r="B67" s="29" t="s">
        <v>96</v>
      </c>
      <c r="C67" s="29" t="s">
        <v>41</v>
      </c>
      <c r="D67" s="29" t="s">
        <v>329</v>
      </c>
      <c r="E67" s="29" t="s">
        <v>188</v>
      </c>
      <c r="F67" s="29" t="s">
        <v>319</v>
      </c>
      <c r="G67" s="29" t="s">
        <v>35</v>
      </c>
      <c r="H67" s="29" t="s">
        <v>64</v>
      </c>
      <c r="I67" s="29" t="s">
        <v>190</v>
      </c>
      <c r="J67" s="29" t="s">
        <v>191</v>
      </c>
      <c r="K67" s="29" t="s">
        <v>298</v>
      </c>
      <c r="L67" s="29" t="s">
        <v>29</v>
      </c>
      <c r="M67" s="29" t="n">
        <v>2409</v>
      </c>
      <c r="N67" s="29" t="n">
        <v>1509</v>
      </c>
      <c r="O67" s="29"/>
      <c r="P67" s="30" t="n">
        <f aca="false">(M67*N67/1000000)*(INDEX(AreaRate_Vals,MATCH(C67,AreaRate_Keys,0))+IFERROR(INDEX(GlazingUpg_Vals,MATCH(H67,GlazingUpg_Keys,0)),0))+INDEX(Hardware_Vals,MATCH("Windows",Hardware_Keys,0))</f>
        <v>10610.26585</v>
      </c>
      <c r="Q67" s="31" t="n">
        <f aca="false">INDEX(Markup_Vals,MATCH("Windows",MarkupCat_Keys,0))</f>
        <v>0.42</v>
      </c>
      <c r="R67" s="32" t="n">
        <f aca="false">P67*(1+Q67)</f>
        <v>15066.577507</v>
      </c>
      <c r="S67" s="32" t="n">
        <f aca="false">R67*(1-TradeDiscount)</f>
        <v>13258.58820616</v>
      </c>
      <c r="T67" s="32" t="n">
        <f aca="false">R67*(1-VolumeDiscount)</f>
        <v>12053.2620056</v>
      </c>
    </row>
    <row r="68" customFormat="false" ht="15" hidden="false" customHeight="false" outlineLevel="0" collapsed="false">
      <c r="A68" s="25" t="s">
        <v>330</v>
      </c>
      <c r="B68" s="25" t="s">
        <v>96</v>
      </c>
      <c r="C68" s="25" t="s">
        <v>41</v>
      </c>
      <c r="D68" s="25" t="s">
        <v>331</v>
      </c>
      <c r="E68" s="25" t="s">
        <v>188</v>
      </c>
      <c r="F68" s="25" t="s">
        <v>319</v>
      </c>
      <c r="G68" s="25" t="s">
        <v>36</v>
      </c>
      <c r="H68" s="25" t="s">
        <v>64</v>
      </c>
      <c r="I68" s="25" t="s">
        <v>190</v>
      </c>
      <c r="J68" s="25" t="s">
        <v>191</v>
      </c>
      <c r="K68" s="25" t="s">
        <v>298</v>
      </c>
      <c r="L68" s="25" t="s">
        <v>29</v>
      </c>
      <c r="M68" s="25" t="n">
        <v>2409</v>
      </c>
      <c r="N68" s="25" t="n">
        <v>1509</v>
      </c>
      <c r="O68" s="25"/>
      <c r="P68" s="26" t="n">
        <f aca="false">(M68*N68/1000000)*(INDEX(AreaRate_Vals,MATCH(C68,AreaRate_Keys,0))+IFERROR(INDEX(GlazingUpg_Vals,MATCH(H68,GlazingUpg_Keys,0)),0))+INDEX(Hardware_Vals,MATCH("Windows",Hardware_Keys,0))</f>
        <v>10610.26585</v>
      </c>
      <c r="Q68" s="27" t="n">
        <f aca="false">INDEX(Markup_Vals,MATCH("Windows",MarkupCat_Keys,0))</f>
        <v>0.42</v>
      </c>
      <c r="R68" s="28" t="n">
        <f aca="false">P68*(1+Q68)</f>
        <v>15066.577507</v>
      </c>
      <c r="S68" s="28" t="n">
        <f aca="false">R68*(1-TradeDiscount)</f>
        <v>13258.58820616</v>
      </c>
      <c r="T68" s="28" t="n">
        <f aca="false">R68*(1-VolumeDiscount)</f>
        <v>12053.2620056</v>
      </c>
    </row>
    <row r="69" customFormat="false" ht="15" hidden="false" customHeight="false" outlineLevel="0" collapsed="false">
      <c r="A69" s="29" t="s">
        <v>332</v>
      </c>
      <c r="B69" s="29" t="s">
        <v>96</v>
      </c>
      <c r="C69" s="29" t="s">
        <v>41</v>
      </c>
      <c r="D69" s="29" t="s">
        <v>333</v>
      </c>
      <c r="E69" s="29" t="s">
        <v>188</v>
      </c>
      <c r="F69" s="29" t="s">
        <v>319</v>
      </c>
      <c r="G69" s="29" t="s">
        <v>37</v>
      </c>
      <c r="H69" s="29" t="s">
        <v>64</v>
      </c>
      <c r="I69" s="29" t="s">
        <v>190</v>
      </c>
      <c r="J69" s="29" t="s">
        <v>191</v>
      </c>
      <c r="K69" s="29" t="s">
        <v>298</v>
      </c>
      <c r="L69" s="29" t="s">
        <v>29</v>
      </c>
      <c r="M69" s="29" t="n">
        <v>2409</v>
      </c>
      <c r="N69" s="29" t="n">
        <v>1509</v>
      </c>
      <c r="O69" s="29"/>
      <c r="P69" s="30" t="n">
        <f aca="false">(M69*N69/1000000)*(INDEX(AreaRate_Vals,MATCH(C69,AreaRate_Keys,0))+IFERROR(INDEX(GlazingUpg_Vals,MATCH(H69,GlazingUpg_Keys,0)),0))+INDEX(Hardware_Vals,MATCH("Windows",Hardware_Keys,0))</f>
        <v>10610.26585</v>
      </c>
      <c r="Q69" s="31" t="n">
        <f aca="false">INDEX(Markup_Vals,MATCH("Windows",MarkupCat_Keys,0))</f>
        <v>0.42</v>
      </c>
      <c r="R69" s="32" t="n">
        <f aca="false">P69*(1+Q69)</f>
        <v>15066.577507</v>
      </c>
      <c r="S69" s="32" t="n">
        <f aca="false">R69*(1-TradeDiscount)</f>
        <v>13258.58820616</v>
      </c>
      <c r="T69" s="32" t="n">
        <f aca="false">R69*(1-VolumeDiscount)</f>
        <v>12053.2620056</v>
      </c>
    </row>
    <row r="70" customFormat="false" ht="15" hidden="false" customHeight="false" outlineLevel="0" collapsed="false">
      <c r="A70" s="25" t="s">
        <v>334</v>
      </c>
      <c r="B70" s="25" t="s">
        <v>96</v>
      </c>
      <c r="C70" s="25" t="s">
        <v>41</v>
      </c>
      <c r="D70" s="25" t="s">
        <v>335</v>
      </c>
      <c r="E70" s="25" t="s">
        <v>188</v>
      </c>
      <c r="F70" s="25" t="s">
        <v>319</v>
      </c>
      <c r="G70" s="25" t="s">
        <v>39</v>
      </c>
      <c r="H70" s="25" t="s">
        <v>64</v>
      </c>
      <c r="I70" s="25" t="s">
        <v>190</v>
      </c>
      <c r="J70" s="25" t="s">
        <v>191</v>
      </c>
      <c r="K70" s="25" t="s">
        <v>298</v>
      </c>
      <c r="L70" s="25" t="s">
        <v>29</v>
      </c>
      <c r="M70" s="25" t="n">
        <v>2409</v>
      </c>
      <c r="N70" s="25" t="n">
        <v>1509</v>
      </c>
      <c r="O70" s="25"/>
      <c r="P70" s="26" t="n">
        <f aca="false">(M70*N70/1000000)*(INDEX(AreaRate_Vals,MATCH(C70,AreaRate_Keys,0))+IFERROR(INDEX(GlazingUpg_Vals,MATCH(H70,GlazingUpg_Keys,0)),0))+INDEX(Hardware_Vals,MATCH("Windows",Hardware_Keys,0))</f>
        <v>10610.26585</v>
      </c>
      <c r="Q70" s="27" t="n">
        <f aca="false">INDEX(Markup_Vals,MATCH("Windows",MarkupCat_Keys,0))</f>
        <v>0.42</v>
      </c>
      <c r="R70" s="28" t="n">
        <f aca="false">P70*(1+Q70)</f>
        <v>15066.577507</v>
      </c>
      <c r="S70" s="28" t="n">
        <f aca="false">R70*(1-TradeDiscount)</f>
        <v>13258.58820616</v>
      </c>
      <c r="T70" s="28" t="n">
        <f aca="false">R70*(1-VolumeDiscount)</f>
        <v>12053.2620056</v>
      </c>
    </row>
    <row r="71" customFormat="false" ht="15" hidden="false" customHeight="false" outlineLevel="0" collapsed="false">
      <c r="A71" s="29" t="s">
        <v>336</v>
      </c>
      <c r="B71" s="29" t="s">
        <v>96</v>
      </c>
      <c r="C71" s="29" t="s">
        <v>41</v>
      </c>
      <c r="D71" s="29" t="s">
        <v>337</v>
      </c>
      <c r="E71" s="29" t="s">
        <v>188</v>
      </c>
      <c r="F71" s="29" t="s">
        <v>319</v>
      </c>
      <c r="G71" s="29" t="s">
        <v>38</v>
      </c>
      <c r="H71" s="29" t="s">
        <v>64</v>
      </c>
      <c r="I71" s="29" t="s">
        <v>190</v>
      </c>
      <c r="J71" s="29" t="s">
        <v>191</v>
      </c>
      <c r="K71" s="29" t="s">
        <v>298</v>
      </c>
      <c r="L71" s="29" t="s">
        <v>29</v>
      </c>
      <c r="M71" s="29" t="n">
        <v>2409</v>
      </c>
      <c r="N71" s="29" t="n">
        <v>1509</v>
      </c>
      <c r="O71" s="29"/>
      <c r="P71" s="30" t="n">
        <f aca="false">(M71*N71/1000000)*(INDEX(AreaRate_Vals,MATCH(C71,AreaRate_Keys,0))+IFERROR(INDEX(GlazingUpg_Vals,MATCH(H71,GlazingUpg_Keys,0)),0))+INDEX(Hardware_Vals,MATCH("Windows",Hardware_Keys,0))</f>
        <v>10610.26585</v>
      </c>
      <c r="Q71" s="31" t="n">
        <f aca="false">INDEX(Markup_Vals,MATCH("Windows",MarkupCat_Keys,0))</f>
        <v>0.42</v>
      </c>
      <c r="R71" s="32" t="n">
        <f aca="false">P71*(1+Q71)</f>
        <v>15066.577507</v>
      </c>
      <c r="S71" s="32" t="n">
        <f aca="false">R71*(1-TradeDiscount)</f>
        <v>13258.58820616</v>
      </c>
      <c r="T71" s="32" t="n">
        <f aca="false">R71*(1-VolumeDiscount)</f>
        <v>12053.2620056</v>
      </c>
    </row>
    <row r="72" customFormat="false" ht="15" hidden="false" customHeight="false" outlineLevel="0" collapsed="false">
      <c r="A72" s="25" t="s">
        <v>338</v>
      </c>
      <c r="B72" s="25" t="s">
        <v>96</v>
      </c>
      <c r="C72" s="25" t="s">
        <v>41</v>
      </c>
      <c r="D72" s="25" t="s">
        <v>339</v>
      </c>
      <c r="E72" s="25" t="s">
        <v>188</v>
      </c>
      <c r="F72" s="25" t="s">
        <v>340</v>
      </c>
      <c r="G72" s="25" t="s">
        <v>35</v>
      </c>
      <c r="H72" s="25" t="s">
        <v>63</v>
      </c>
      <c r="I72" s="25" t="s">
        <v>190</v>
      </c>
      <c r="J72" s="25" t="s">
        <v>191</v>
      </c>
      <c r="K72" s="25" t="s">
        <v>298</v>
      </c>
      <c r="L72" s="25" t="s">
        <v>29</v>
      </c>
      <c r="M72" s="25" t="n">
        <v>3009</v>
      </c>
      <c r="N72" s="25" t="n">
        <v>1509</v>
      </c>
      <c r="O72" s="25"/>
      <c r="P72" s="26" t="n">
        <f aca="false">(M72*N72/1000000)*(INDEX(AreaRate_Vals,MATCH(C72,AreaRate_Keys,0))+IFERROR(INDEX(GlazingUpg_Vals,MATCH(H72,GlazingUpg_Keys,0)),0))+INDEX(Hardware_Vals,MATCH("Windows",Hardware_Keys,0))</f>
        <v>10693.3363</v>
      </c>
      <c r="Q72" s="27" t="n">
        <f aca="false">INDEX(Markup_Vals,MATCH("Windows",MarkupCat_Keys,0))</f>
        <v>0.42</v>
      </c>
      <c r="R72" s="28" t="n">
        <f aca="false">P72*(1+Q72)</f>
        <v>15184.537546</v>
      </c>
      <c r="S72" s="28" t="n">
        <f aca="false">R72*(1-TradeDiscount)</f>
        <v>13362.39304048</v>
      </c>
      <c r="T72" s="28" t="n">
        <f aca="false">R72*(1-VolumeDiscount)</f>
        <v>12147.6300368</v>
      </c>
    </row>
    <row r="73" customFormat="false" ht="15" hidden="false" customHeight="false" outlineLevel="0" collapsed="false">
      <c r="A73" s="29" t="s">
        <v>341</v>
      </c>
      <c r="B73" s="29" t="s">
        <v>96</v>
      </c>
      <c r="C73" s="29" t="s">
        <v>41</v>
      </c>
      <c r="D73" s="29" t="s">
        <v>342</v>
      </c>
      <c r="E73" s="29" t="s">
        <v>188</v>
      </c>
      <c r="F73" s="29" t="s">
        <v>340</v>
      </c>
      <c r="G73" s="29" t="s">
        <v>36</v>
      </c>
      <c r="H73" s="29" t="s">
        <v>63</v>
      </c>
      <c r="I73" s="29" t="s">
        <v>190</v>
      </c>
      <c r="J73" s="29" t="s">
        <v>191</v>
      </c>
      <c r="K73" s="29" t="s">
        <v>298</v>
      </c>
      <c r="L73" s="29" t="s">
        <v>29</v>
      </c>
      <c r="M73" s="29" t="n">
        <v>3009</v>
      </c>
      <c r="N73" s="29" t="n">
        <v>1509</v>
      </c>
      <c r="O73" s="29"/>
      <c r="P73" s="30" t="n">
        <f aca="false">(M73*N73/1000000)*(INDEX(AreaRate_Vals,MATCH(C73,AreaRate_Keys,0))+IFERROR(INDEX(GlazingUpg_Vals,MATCH(H73,GlazingUpg_Keys,0)),0))+INDEX(Hardware_Vals,MATCH("Windows",Hardware_Keys,0))</f>
        <v>10693.3363</v>
      </c>
      <c r="Q73" s="31" t="n">
        <f aca="false">INDEX(Markup_Vals,MATCH("Windows",MarkupCat_Keys,0))</f>
        <v>0.42</v>
      </c>
      <c r="R73" s="32" t="n">
        <f aca="false">P73*(1+Q73)</f>
        <v>15184.537546</v>
      </c>
      <c r="S73" s="32" t="n">
        <f aca="false">R73*(1-TradeDiscount)</f>
        <v>13362.39304048</v>
      </c>
      <c r="T73" s="32" t="n">
        <f aca="false">R73*(1-VolumeDiscount)</f>
        <v>12147.6300368</v>
      </c>
    </row>
    <row r="74" customFormat="false" ht="15" hidden="false" customHeight="false" outlineLevel="0" collapsed="false">
      <c r="A74" s="25" t="s">
        <v>343</v>
      </c>
      <c r="B74" s="25" t="s">
        <v>96</v>
      </c>
      <c r="C74" s="25" t="s">
        <v>41</v>
      </c>
      <c r="D74" s="25" t="s">
        <v>344</v>
      </c>
      <c r="E74" s="25" t="s">
        <v>188</v>
      </c>
      <c r="F74" s="25" t="s">
        <v>340</v>
      </c>
      <c r="G74" s="25" t="s">
        <v>37</v>
      </c>
      <c r="H74" s="25" t="s">
        <v>63</v>
      </c>
      <c r="I74" s="25" t="s">
        <v>190</v>
      </c>
      <c r="J74" s="25" t="s">
        <v>191</v>
      </c>
      <c r="K74" s="25" t="s">
        <v>298</v>
      </c>
      <c r="L74" s="25" t="s">
        <v>29</v>
      </c>
      <c r="M74" s="25" t="n">
        <v>3009</v>
      </c>
      <c r="N74" s="25" t="n">
        <v>1509</v>
      </c>
      <c r="O74" s="25"/>
      <c r="P74" s="26" t="n">
        <f aca="false">(M74*N74/1000000)*(INDEX(AreaRate_Vals,MATCH(C74,AreaRate_Keys,0))+IFERROR(INDEX(GlazingUpg_Vals,MATCH(H74,GlazingUpg_Keys,0)),0))+INDEX(Hardware_Vals,MATCH("Windows",Hardware_Keys,0))</f>
        <v>10693.3363</v>
      </c>
      <c r="Q74" s="27" t="n">
        <f aca="false">INDEX(Markup_Vals,MATCH("Windows",MarkupCat_Keys,0))</f>
        <v>0.42</v>
      </c>
      <c r="R74" s="28" t="n">
        <f aca="false">P74*(1+Q74)</f>
        <v>15184.537546</v>
      </c>
      <c r="S74" s="28" t="n">
        <f aca="false">R74*(1-TradeDiscount)</f>
        <v>13362.39304048</v>
      </c>
      <c r="T74" s="28" t="n">
        <f aca="false">R74*(1-VolumeDiscount)</f>
        <v>12147.6300368</v>
      </c>
    </row>
    <row r="75" customFormat="false" ht="15" hidden="false" customHeight="false" outlineLevel="0" collapsed="false">
      <c r="A75" s="29" t="s">
        <v>345</v>
      </c>
      <c r="B75" s="29" t="s">
        <v>96</v>
      </c>
      <c r="C75" s="29" t="s">
        <v>41</v>
      </c>
      <c r="D75" s="29" t="s">
        <v>346</v>
      </c>
      <c r="E75" s="29" t="s">
        <v>188</v>
      </c>
      <c r="F75" s="29" t="s">
        <v>340</v>
      </c>
      <c r="G75" s="29" t="s">
        <v>39</v>
      </c>
      <c r="H75" s="29" t="s">
        <v>63</v>
      </c>
      <c r="I75" s="29" t="s">
        <v>190</v>
      </c>
      <c r="J75" s="29" t="s">
        <v>191</v>
      </c>
      <c r="K75" s="29" t="s">
        <v>298</v>
      </c>
      <c r="L75" s="29" t="s">
        <v>29</v>
      </c>
      <c r="M75" s="29" t="n">
        <v>3009</v>
      </c>
      <c r="N75" s="29" t="n">
        <v>1509</v>
      </c>
      <c r="O75" s="29"/>
      <c r="P75" s="30" t="n">
        <f aca="false">(M75*N75/1000000)*(INDEX(AreaRate_Vals,MATCH(C75,AreaRate_Keys,0))+IFERROR(INDEX(GlazingUpg_Vals,MATCH(H75,GlazingUpg_Keys,0)),0))+INDEX(Hardware_Vals,MATCH("Windows",Hardware_Keys,0))</f>
        <v>10693.3363</v>
      </c>
      <c r="Q75" s="31" t="n">
        <f aca="false">INDEX(Markup_Vals,MATCH("Windows",MarkupCat_Keys,0))</f>
        <v>0.42</v>
      </c>
      <c r="R75" s="32" t="n">
        <f aca="false">P75*(1+Q75)</f>
        <v>15184.537546</v>
      </c>
      <c r="S75" s="32" t="n">
        <f aca="false">R75*(1-TradeDiscount)</f>
        <v>13362.39304048</v>
      </c>
      <c r="T75" s="32" t="n">
        <f aca="false">R75*(1-VolumeDiscount)</f>
        <v>12147.6300368</v>
      </c>
    </row>
    <row r="76" customFormat="false" ht="15" hidden="false" customHeight="false" outlineLevel="0" collapsed="false">
      <c r="A76" s="25" t="s">
        <v>347</v>
      </c>
      <c r="B76" s="25" t="s">
        <v>96</v>
      </c>
      <c r="C76" s="25" t="s">
        <v>41</v>
      </c>
      <c r="D76" s="25" t="s">
        <v>348</v>
      </c>
      <c r="E76" s="25" t="s">
        <v>188</v>
      </c>
      <c r="F76" s="25" t="s">
        <v>340</v>
      </c>
      <c r="G76" s="25" t="s">
        <v>38</v>
      </c>
      <c r="H76" s="25" t="s">
        <v>63</v>
      </c>
      <c r="I76" s="25" t="s">
        <v>190</v>
      </c>
      <c r="J76" s="25" t="s">
        <v>191</v>
      </c>
      <c r="K76" s="25" t="s">
        <v>298</v>
      </c>
      <c r="L76" s="25" t="s">
        <v>29</v>
      </c>
      <c r="M76" s="25" t="n">
        <v>3009</v>
      </c>
      <c r="N76" s="25" t="n">
        <v>1509</v>
      </c>
      <c r="O76" s="25"/>
      <c r="P76" s="26" t="n">
        <f aca="false">(M76*N76/1000000)*(INDEX(AreaRate_Vals,MATCH(C76,AreaRate_Keys,0))+IFERROR(INDEX(GlazingUpg_Vals,MATCH(H76,GlazingUpg_Keys,0)),0))+INDEX(Hardware_Vals,MATCH("Windows",Hardware_Keys,0))</f>
        <v>10693.3363</v>
      </c>
      <c r="Q76" s="27" t="n">
        <f aca="false">INDEX(Markup_Vals,MATCH("Windows",MarkupCat_Keys,0))</f>
        <v>0.42</v>
      </c>
      <c r="R76" s="28" t="n">
        <f aca="false">P76*(1+Q76)</f>
        <v>15184.537546</v>
      </c>
      <c r="S76" s="28" t="n">
        <f aca="false">R76*(1-TradeDiscount)</f>
        <v>13362.39304048</v>
      </c>
      <c r="T76" s="28" t="n">
        <f aca="false">R76*(1-VolumeDiscount)</f>
        <v>12147.6300368</v>
      </c>
    </row>
    <row r="77" customFormat="false" ht="15" hidden="false" customHeight="false" outlineLevel="0" collapsed="false">
      <c r="A77" s="29" t="s">
        <v>349</v>
      </c>
      <c r="B77" s="29" t="s">
        <v>96</v>
      </c>
      <c r="C77" s="29" t="s">
        <v>41</v>
      </c>
      <c r="D77" s="29" t="s">
        <v>350</v>
      </c>
      <c r="E77" s="29" t="s">
        <v>188</v>
      </c>
      <c r="F77" s="29" t="s">
        <v>340</v>
      </c>
      <c r="G77" s="29" t="s">
        <v>35</v>
      </c>
      <c r="H77" s="29" t="s">
        <v>64</v>
      </c>
      <c r="I77" s="29" t="s">
        <v>190</v>
      </c>
      <c r="J77" s="29" t="s">
        <v>191</v>
      </c>
      <c r="K77" s="29" t="s">
        <v>298</v>
      </c>
      <c r="L77" s="29" t="s">
        <v>29</v>
      </c>
      <c r="M77" s="29" t="n">
        <v>3009</v>
      </c>
      <c r="N77" s="29" t="n">
        <v>1509</v>
      </c>
      <c r="O77" s="29"/>
      <c r="P77" s="30" t="n">
        <f aca="false">(M77*N77/1000000)*(INDEX(AreaRate_Vals,MATCH(C77,AreaRate_Keys,0))+IFERROR(INDEX(GlazingUpg_Vals,MATCH(H77,GlazingUpg_Keys,0)),0))+INDEX(Hardware_Vals,MATCH("Windows",Hardware_Keys,0))</f>
        <v>13190.65585</v>
      </c>
      <c r="Q77" s="31" t="n">
        <f aca="false">INDEX(Markup_Vals,MATCH("Windows",MarkupCat_Keys,0))</f>
        <v>0.42</v>
      </c>
      <c r="R77" s="32" t="n">
        <f aca="false">P77*(1+Q77)</f>
        <v>18730.731307</v>
      </c>
      <c r="S77" s="32" t="n">
        <f aca="false">R77*(1-TradeDiscount)</f>
        <v>16483.04355016</v>
      </c>
      <c r="T77" s="32" t="n">
        <f aca="false">R77*(1-VolumeDiscount)</f>
        <v>14984.5850456</v>
      </c>
    </row>
    <row r="78" customFormat="false" ht="15" hidden="false" customHeight="false" outlineLevel="0" collapsed="false">
      <c r="A78" s="25" t="s">
        <v>351</v>
      </c>
      <c r="B78" s="25" t="s">
        <v>96</v>
      </c>
      <c r="C78" s="25" t="s">
        <v>41</v>
      </c>
      <c r="D78" s="25" t="s">
        <v>352</v>
      </c>
      <c r="E78" s="25" t="s">
        <v>188</v>
      </c>
      <c r="F78" s="25" t="s">
        <v>340</v>
      </c>
      <c r="G78" s="25" t="s">
        <v>36</v>
      </c>
      <c r="H78" s="25" t="s">
        <v>64</v>
      </c>
      <c r="I78" s="25" t="s">
        <v>190</v>
      </c>
      <c r="J78" s="25" t="s">
        <v>191</v>
      </c>
      <c r="K78" s="25" t="s">
        <v>298</v>
      </c>
      <c r="L78" s="25" t="s">
        <v>29</v>
      </c>
      <c r="M78" s="25" t="n">
        <v>3009</v>
      </c>
      <c r="N78" s="25" t="n">
        <v>1509</v>
      </c>
      <c r="O78" s="25"/>
      <c r="P78" s="26" t="n">
        <f aca="false">(M78*N78/1000000)*(INDEX(AreaRate_Vals,MATCH(C78,AreaRate_Keys,0))+IFERROR(INDEX(GlazingUpg_Vals,MATCH(H78,GlazingUpg_Keys,0)),0))+INDEX(Hardware_Vals,MATCH("Windows",Hardware_Keys,0))</f>
        <v>13190.65585</v>
      </c>
      <c r="Q78" s="27" t="n">
        <f aca="false">INDEX(Markup_Vals,MATCH("Windows",MarkupCat_Keys,0))</f>
        <v>0.42</v>
      </c>
      <c r="R78" s="28" t="n">
        <f aca="false">P78*(1+Q78)</f>
        <v>18730.731307</v>
      </c>
      <c r="S78" s="28" t="n">
        <f aca="false">R78*(1-TradeDiscount)</f>
        <v>16483.04355016</v>
      </c>
      <c r="T78" s="28" t="n">
        <f aca="false">R78*(1-VolumeDiscount)</f>
        <v>14984.5850456</v>
      </c>
    </row>
    <row r="79" customFormat="false" ht="15" hidden="false" customHeight="false" outlineLevel="0" collapsed="false">
      <c r="A79" s="29" t="s">
        <v>353</v>
      </c>
      <c r="B79" s="29" t="s">
        <v>96</v>
      </c>
      <c r="C79" s="29" t="s">
        <v>41</v>
      </c>
      <c r="D79" s="29" t="s">
        <v>354</v>
      </c>
      <c r="E79" s="29" t="s">
        <v>188</v>
      </c>
      <c r="F79" s="29" t="s">
        <v>340</v>
      </c>
      <c r="G79" s="29" t="s">
        <v>37</v>
      </c>
      <c r="H79" s="29" t="s">
        <v>64</v>
      </c>
      <c r="I79" s="29" t="s">
        <v>190</v>
      </c>
      <c r="J79" s="29" t="s">
        <v>191</v>
      </c>
      <c r="K79" s="29" t="s">
        <v>298</v>
      </c>
      <c r="L79" s="29" t="s">
        <v>29</v>
      </c>
      <c r="M79" s="29" t="n">
        <v>3009</v>
      </c>
      <c r="N79" s="29" t="n">
        <v>1509</v>
      </c>
      <c r="O79" s="29"/>
      <c r="P79" s="30" t="n">
        <f aca="false">(M79*N79/1000000)*(INDEX(AreaRate_Vals,MATCH(C79,AreaRate_Keys,0))+IFERROR(INDEX(GlazingUpg_Vals,MATCH(H79,GlazingUpg_Keys,0)),0))+INDEX(Hardware_Vals,MATCH("Windows",Hardware_Keys,0))</f>
        <v>13190.65585</v>
      </c>
      <c r="Q79" s="31" t="n">
        <f aca="false">INDEX(Markup_Vals,MATCH("Windows",MarkupCat_Keys,0))</f>
        <v>0.42</v>
      </c>
      <c r="R79" s="32" t="n">
        <f aca="false">P79*(1+Q79)</f>
        <v>18730.731307</v>
      </c>
      <c r="S79" s="32" t="n">
        <f aca="false">R79*(1-TradeDiscount)</f>
        <v>16483.04355016</v>
      </c>
      <c r="T79" s="32" t="n">
        <f aca="false">R79*(1-VolumeDiscount)</f>
        <v>14984.5850456</v>
      </c>
    </row>
    <row r="80" customFormat="false" ht="15" hidden="false" customHeight="false" outlineLevel="0" collapsed="false">
      <c r="A80" s="25" t="s">
        <v>355</v>
      </c>
      <c r="B80" s="25" t="s">
        <v>96</v>
      </c>
      <c r="C80" s="25" t="s">
        <v>41</v>
      </c>
      <c r="D80" s="25" t="s">
        <v>356</v>
      </c>
      <c r="E80" s="25" t="s">
        <v>188</v>
      </c>
      <c r="F80" s="25" t="s">
        <v>340</v>
      </c>
      <c r="G80" s="25" t="s">
        <v>39</v>
      </c>
      <c r="H80" s="25" t="s">
        <v>64</v>
      </c>
      <c r="I80" s="25" t="s">
        <v>190</v>
      </c>
      <c r="J80" s="25" t="s">
        <v>191</v>
      </c>
      <c r="K80" s="25" t="s">
        <v>298</v>
      </c>
      <c r="L80" s="25" t="s">
        <v>29</v>
      </c>
      <c r="M80" s="25" t="n">
        <v>3009</v>
      </c>
      <c r="N80" s="25" t="n">
        <v>1509</v>
      </c>
      <c r="O80" s="25"/>
      <c r="P80" s="26" t="n">
        <f aca="false">(M80*N80/1000000)*(INDEX(AreaRate_Vals,MATCH(C80,AreaRate_Keys,0))+IFERROR(INDEX(GlazingUpg_Vals,MATCH(H80,GlazingUpg_Keys,0)),0))+INDEX(Hardware_Vals,MATCH("Windows",Hardware_Keys,0))</f>
        <v>13190.65585</v>
      </c>
      <c r="Q80" s="27" t="n">
        <f aca="false">INDEX(Markup_Vals,MATCH("Windows",MarkupCat_Keys,0))</f>
        <v>0.42</v>
      </c>
      <c r="R80" s="28" t="n">
        <f aca="false">P80*(1+Q80)</f>
        <v>18730.731307</v>
      </c>
      <c r="S80" s="28" t="n">
        <f aca="false">R80*(1-TradeDiscount)</f>
        <v>16483.04355016</v>
      </c>
      <c r="T80" s="28" t="n">
        <f aca="false">R80*(1-VolumeDiscount)</f>
        <v>14984.5850456</v>
      </c>
    </row>
    <row r="81" customFormat="false" ht="15" hidden="false" customHeight="false" outlineLevel="0" collapsed="false">
      <c r="A81" s="29" t="s">
        <v>357</v>
      </c>
      <c r="B81" s="29" t="s">
        <v>96</v>
      </c>
      <c r="C81" s="29" t="s">
        <v>41</v>
      </c>
      <c r="D81" s="29" t="s">
        <v>358</v>
      </c>
      <c r="E81" s="29" t="s">
        <v>188</v>
      </c>
      <c r="F81" s="29" t="s">
        <v>340</v>
      </c>
      <c r="G81" s="29" t="s">
        <v>38</v>
      </c>
      <c r="H81" s="29" t="s">
        <v>64</v>
      </c>
      <c r="I81" s="29" t="s">
        <v>190</v>
      </c>
      <c r="J81" s="29" t="s">
        <v>191</v>
      </c>
      <c r="K81" s="29" t="s">
        <v>298</v>
      </c>
      <c r="L81" s="29" t="s">
        <v>29</v>
      </c>
      <c r="M81" s="29" t="n">
        <v>3009</v>
      </c>
      <c r="N81" s="29" t="n">
        <v>1509</v>
      </c>
      <c r="O81" s="29"/>
      <c r="P81" s="30" t="n">
        <f aca="false">(M81*N81/1000000)*(INDEX(AreaRate_Vals,MATCH(C81,AreaRate_Keys,0))+IFERROR(INDEX(GlazingUpg_Vals,MATCH(H81,GlazingUpg_Keys,0)),0))+INDEX(Hardware_Vals,MATCH("Windows",Hardware_Keys,0))</f>
        <v>13190.65585</v>
      </c>
      <c r="Q81" s="31" t="n">
        <f aca="false">INDEX(Markup_Vals,MATCH("Windows",MarkupCat_Keys,0))</f>
        <v>0.42</v>
      </c>
      <c r="R81" s="32" t="n">
        <f aca="false">P81*(1+Q81)</f>
        <v>18730.731307</v>
      </c>
      <c r="S81" s="32" t="n">
        <f aca="false">R81*(1-TradeDiscount)</f>
        <v>16483.04355016</v>
      </c>
      <c r="T81" s="32" t="n">
        <f aca="false">R81*(1-VolumeDiscount)</f>
        <v>14984.5850456</v>
      </c>
    </row>
    <row r="82" customFormat="false" ht="15" hidden="false" customHeight="false" outlineLevel="0" collapsed="false">
      <c r="A82" s="25" t="s">
        <v>359</v>
      </c>
      <c r="B82" s="25" t="s">
        <v>96</v>
      </c>
      <c r="C82" s="25" t="s">
        <v>41</v>
      </c>
      <c r="D82" s="25" t="s">
        <v>360</v>
      </c>
      <c r="E82" s="25" t="s">
        <v>361</v>
      </c>
      <c r="F82" s="25" t="s">
        <v>189</v>
      </c>
      <c r="G82" s="25" t="s">
        <v>35</v>
      </c>
      <c r="H82" s="25" t="s">
        <v>63</v>
      </c>
      <c r="I82" s="25" t="s">
        <v>190</v>
      </c>
      <c r="J82" s="25" t="s">
        <v>191</v>
      </c>
      <c r="K82" s="25" t="s">
        <v>192</v>
      </c>
      <c r="L82" s="25" t="s">
        <v>29</v>
      </c>
      <c r="M82" s="25" t="n">
        <v>609</v>
      </c>
      <c r="N82" s="25" t="n">
        <v>609</v>
      </c>
      <c r="O82" s="25"/>
      <c r="P82" s="26" t="n">
        <f aca="false">(M82*N82/1000000)*(INDEX(AreaRate_Vals,MATCH(C82,AreaRate_Keys,0))+IFERROR(INDEX(GlazingUpg_Vals,MATCH(H82,GlazingUpg_Keys,0)),0))+INDEX(Hardware_Vals,MATCH("Windows",Hardware_Keys,0))</f>
        <v>1103.0263</v>
      </c>
      <c r="Q82" s="27" t="n">
        <f aca="false">INDEX(Markup_Vals,MATCH("Windows",MarkupCat_Keys,0))</f>
        <v>0.42</v>
      </c>
      <c r="R82" s="28" t="n">
        <f aca="false">P82*(1+Q82)</f>
        <v>1566.297346</v>
      </c>
      <c r="S82" s="28" t="n">
        <f aca="false">R82*(1-TradeDiscount)</f>
        <v>1378.34166448</v>
      </c>
      <c r="T82" s="28" t="n">
        <f aca="false">R82*(1-VolumeDiscount)</f>
        <v>1253.0378768</v>
      </c>
    </row>
    <row r="83" customFormat="false" ht="15" hidden="false" customHeight="false" outlineLevel="0" collapsed="false">
      <c r="A83" s="29" t="s">
        <v>362</v>
      </c>
      <c r="B83" s="29" t="s">
        <v>96</v>
      </c>
      <c r="C83" s="29" t="s">
        <v>41</v>
      </c>
      <c r="D83" s="29" t="s">
        <v>363</v>
      </c>
      <c r="E83" s="29" t="s">
        <v>361</v>
      </c>
      <c r="F83" s="29" t="s">
        <v>189</v>
      </c>
      <c r="G83" s="29" t="s">
        <v>36</v>
      </c>
      <c r="H83" s="29" t="s">
        <v>63</v>
      </c>
      <c r="I83" s="29" t="s">
        <v>190</v>
      </c>
      <c r="J83" s="29" t="s">
        <v>191</v>
      </c>
      <c r="K83" s="29" t="s">
        <v>192</v>
      </c>
      <c r="L83" s="29" t="s">
        <v>29</v>
      </c>
      <c r="M83" s="29" t="n">
        <v>609</v>
      </c>
      <c r="N83" s="29" t="n">
        <v>609</v>
      </c>
      <c r="O83" s="29"/>
      <c r="P83" s="30" t="n">
        <f aca="false">(M83*N83/1000000)*(INDEX(AreaRate_Vals,MATCH(C83,AreaRate_Keys,0))+IFERROR(INDEX(GlazingUpg_Vals,MATCH(H83,GlazingUpg_Keys,0)),0))+INDEX(Hardware_Vals,MATCH("Windows",Hardware_Keys,0))</f>
        <v>1103.0263</v>
      </c>
      <c r="Q83" s="31" t="n">
        <f aca="false">INDEX(Markup_Vals,MATCH("Windows",MarkupCat_Keys,0))</f>
        <v>0.42</v>
      </c>
      <c r="R83" s="32" t="n">
        <f aca="false">P83*(1+Q83)</f>
        <v>1566.297346</v>
      </c>
      <c r="S83" s="32" t="n">
        <f aca="false">R83*(1-TradeDiscount)</f>
        <v>1378.34166448</v>
      </c>
      <c r="T83" s="32" t="n">
        <f aca="false">R83*(1-VolumeDiscount)</f>
        <v>1253.0378768</v>
      </c>
    </row>
    <row r="84" customFormat="false" ht="15" hidden="false" customHeight="false" outlineLevel="0" collapsed="false">
      <c r="A84" s="25" t="s">
        <v>364</v>
      </c>
      <c r="B84" s="25" t="s">
        <v>96</v>
      </c>
      <c r="C84" s="25" t="s">
        <v>41</v>
      </c>
      <c r="D84" s="25" t="s">
        <v>365</v>
      </c>
      <c r="E84" s="25" t="s">
        <v>361</v>
      </c>
      <c r="F84" s="25" t="s">
        <v>189</v>
      </c>
      <c r="G84" s="25" t="s">
        <v>37</v>
      </c>
      <c r="H84" s="25" t="s">
        <v>63</v>
      </c>
      <c r="I84" s="25" t="s">
        <v>190</v>
      </c>
      <c r="J84" s="25" t="s">
        <v>191</v>
      </c>
      <c r="K84" s="25" t="s">
        <v>192</v>
      </c>
      <c r="L84" s="25" t="s">
        <v>29</v>
      </c>
      <c r="M84" s="25" t="n">
        <v>609</v>
      </c>
      <c r="N84" s="25" t="n">
        <v>609</v>
      </c>
      <c r="O84" s="25"/>
      <c r="P84" s="26" t="n">
        <f aca="false">(M84*N84/1000000)*(INDEX(AreaRate_Vals,MATCH(C84,AreaRate_Keys,0))+IFERROR(INDEX(GlazingUpg_Vals,MATCH(H84,GlazingUpg_Keys,0)),0))+INDEX(Hardware_Vals,MATCH("Windows",Hardware_Keys,0))</f>
        <v>1103.0263</v>
      </c>
      <c r="Q84" s="27" t="n">
        <f aca="false">INDEX(Markup_Vals,MATCH("Windows",MarkupCat_Keys,0))</f>
        <v>0.42</v>
      </c>
      <c r="R84" s="28" t="n">
        <f aca="false">P84*(1+Q84)</f>
        <v>1566.297346</v>
      </c>
      <c r="S84" s="28" t="n">
        <f aca="false">R84*(1-TradeDiscount)</f>
        <v>1378.34166448</v>
      </c>
      <c r="T84" s="28" t="n">
        <f aca="false">R84*(1-VolumeDiscount)</f>
        <v>1253.0378768</v>
      </c>
    </row>
    <row r="85" customFormat="false" ht="15" hidden="false" customHeight="false" outlineLevel="0" collapsed="false">
      <c r="A85" s="29" t="s">
        <v>366</v>
      </c>
      <c r="B85" s="29" t="s">
        <v>96</v>
      </c>
      <c r="C85" s="29" t="s">
        <v>41</v>
      </c>
      <c r="D85" s="29" t="s">
        <v>367</v>
      </c>
      <c r="E85" s="29" t="s">
        <v>361</v>
      </c>
      <c r="F85" s="29" t="s">
        <v>189</v>
      </c>
      <c r="G85" s="29" t="s">
        <v>39</v>
      </c>
      <c r="H85" s="29" t="s">
        <v>63</v>
      </c>
      <c r="I85" s="29" t="s">
        <v>190</v>
      </c>
      <c r="J85" s="29" t="s">
        <v>191</v>
      </c>
      <c r="K85" s="29" t="s">
        <v>192</v>
      </c>
      <c r="L85" s="29" t="s">
        <v>29</v>
      </c>
      <c r="M85" s="29" t="n">
        <v>609</v>
      </c>
      <c r="N85" s="29" t="n">
        <v>609</v>
      </c>
      <c r="O85" s="29"/>
      <c r="P85" s="30" t="n">
        <f aca="false">(M85*N85/1000000)*(INDEX(AreaRate_Vals,MATCH(C85,AreaRate_Keys,0))+IFERROR(INDEX(GlazingUpg_Vals,MATCH(H85,GlazingUpg_Keys,0)),0))+INDEX(Hardware_Vals,MATCH("Windows",Hardware_Keys,0))</f>
        <v>1103.0263</v>
      </c>
      <c r="Q85" s="31" t="n">
        <f aca="false">INDEX(Markup_Vals,MATCH("Windows",MarkupCat_Keys,0))</f>
        <v>0.42</v>
      </c>
      <c r="R85" s="32" t="n">
        <f aca="false">P85*(1+Q85)</f>
        <v>1566.297346</v>
      </c>
      <c r="S85" s="32" t="n">
        <f aca="false">R85*(1-TradeDiscount)</f>
        <v>1378.34166448</v>
      </c>
      <c r="T85" s="32" t="n">
        <f aca="false">R85*(1-VolumeDiscount)</f>
        <v>1253.0378768</v>
      </c>
    </row>
    <row r="86" customFormat="false" ht="15" hidden="false" customHeight="false" outlineLevel="0" collapsed="false">
      <c r="A86" s="25" t="s">
        <v>368</v>
      </c>
      <c r="B86" s="25" t="s">
        <v>96</v>
      </c>
      <c r="C86" s="25" t="s">
        <v>41</v>
      </c>
      <c r="D86" s="25" t="s">
        <v>369</v>
      </c>
      <c r="E86" s="25" t="s">
        <v>361</v>
      </c>
      <c r="F86" s="25" t="s">
        <v>189</v>
      </c>
      <c r="G86" s="25" t="s">
        <v>38</v>
      </c>
      <c r="H86" s="25" t="s">
        <v>63</v>
      </c>
      <c r="I86" s="25" t="s">
        <v>190</v>
      </c>
      <c r="J86" s="25" t="s">
        <v>191</v>
      </c>
      <c r="K86" s="25" t="s">
        <v>192</v>
      </c>
      <c r="L86" s="25" t="s">
        <v>29</v>
      </c>
      <c r="M86" s="25" t="n">
        <v>609</v>
      </c>
      <c r="N86" s="25" t="n">
        <v>609</v>
      </c>
      <c r="O86" s="25"/>
      <c r="P86" s="26" t="n">
        <f aca="false">(M86*N86/1000000)*(INDEX(AreaRate_Vals,MATCH(C86,AreaRate_Keys,0))+IFERROR(INDEX(GlazingUpg_Vals,MATCH(H86,GlazingUpg_Keys,0)),0))+INDEX(Hardware_Vals,MATCH("Windows",Hardware_Keys,0))</f>
        <v>1103.0263</v>
      </c>
      <c r="Q86" s="27" t="n">
        <f aca="false">INDEX(Markup_Vals,MATCH("Windows",MarkupCat_Keys,0))</f>
        <v>0.42</v>
      </c>
      <c r="R86" s="28" t="n">
        <f aca="false">P86*(1+Q86)</f>
        <v>1566.297346</v>
      </c>
      <c r="S86" s="28" t="n">
        <f aca="false">R86*(1-TradeDiscount)</f>
        <v>1378.34166448</v>
      </c>
      <c r="T86" s="28" t="n">
        <f aca="false">R86*(1-VolumeDiscount)</f>
        <v>1253.0378768</v>
      </c>
    </row>
    <row r="87" customFormat="false" ht="15" hidden="false" customHeight="false" outlineLevel="0" collapsed="false">
      <c r="A87" s="29" t="s">
        <v>370</v>
      </c>
      <c r="B87" s="29" t="s">
        <v>96</v>
      </c>
      <c r="C87" s="29" t="s">
        <v>41</v>
      </c>
      <c r="D87" s="29" t="s">
        <v>371</v>
      </c>
      <c r="E87" s="29" t="s">
        <v>361</v>
      </c>
      <c r="F87" s="29" t="s">
        <v>189</v>
      </c>
      <c r="G87" s="29" t="s">
        <v>35</v>
      </c>
      <c r="H87" s="29" t="s">
        <v>64</v>
      </c>
      <c r="I87" s="29" t="s">
        <v>190</v>
      </c>
      <c r="J87" s="29" t="s">
        <v>191</v>
      </c>
      <c r="K87" s="29" t="s">
        <v>192</v>
      </c>
      <c r="L87" s="29" t="s">
        <v>29</v>
      </c>
      <c r="M87" s="29" t="n">
        <v>609</v>
      </c>
      <c r="N87" s="29" t="n">
        <v>609</v>
      </c>
      <c r="O87" s="29"/>
      <c r="P87" s="30" t="n">
        <f aca="false">(M87*N87/1000000)*(INDEX(AreaRate_Vals,MATCH(C87,AreaRate_Keys,0))+IFERROR(INDEX(GlazingUpg_Vals,MATCH(H87,GlazingUpg_Keys,0)),0))+INDEX(Hardware_Vals,MATCH("Windows",Hardware_Keys,0))</f>
        <v>1307.01085</v>
      </c>
      <c r="Q87" s="31" t="n">
        <f aca="false">INDEX(Markup_Vals,MATCH("Windows",MarkupCat_Keys,0))</f>
        <v>0.42</v>
      </c>
      <c r="R87" s="32" t="n">
        <f aca="false">P87*(1+Q87)</f>
        <v>1855.955407</v>
      </c>
      <c r="S87" s="32" t="n">
        <f aca="false">R87*(1-TradeDiscount)</f>
        <v>1633.24075816</v>
      </c>
      <c r="T87" s="32" t="n">
        <f aca="false">R87*(1-VolumeDiscount)</f>
        <v>1484.7643256</v>
      </c>
    </row>
    <row r="88" customFormat="false" ht="15" hidden="false" customHeight="false" outlineLevel="0" collapsed="false">
      <c r="A88" s="25" t="s">
        <v>372</v>
      </c>
      <c r="B88" s="25" t="s">
        <v>96</v>
      </c>
      <c r="C88" s="25" t="s">
        <v>41</v>
      </c>
      <c r="D88" s="25" t="s">
        <v>373</v>
      </c>
      <c r="E88" s="25" t="s">
        <v>361</v>
      </c>
      <c r="F88" s="25" t="s">
        <v>189</v>
      </c>
      <c r="G88" s="25" t="s">
        <v>36</v>
      </c>
      <c r="H88" s="25" t="s">
        <v>64</v>
      </c>
      <c r="I88" s="25" t="s">
        <v>190</v>
      </c>
      <c r="J88" s="25" t="s">
        <v>191</v>
      </c>
      <c r="K88" s="25" t="s">
        <v>192</v>
      </c>
      <c r="L88" s="25" t="s">
        <v>29</v>
      </c>
      <c r="M88" s="25" t="n">
        <v>609</v>
      </c>
      <c r="N88" s="25" t="n">
        <v>609</v>
      </c>
      <c r="O88" s="25"/>
      <c r="P88" s="26" t="n">
        <f aca="false">(M88*N88/1000000)*(INDEX(AreaRate_Vals,MATCH(C88,AreaRate_Keys,0))+IFERROR(INDEX(GlazingUpg_Vals,MATCH(H88,GlazingUpg_Keys,0)),0))+INDEX(Hardware_Vals,MATCH("Windows",Hardware_Keys,0))</f>
        <v>1307.01085</v>
      </c>
      <c r="Q88" s="27" t="n">
        <f aca="false">INDEX(Markup_Vals,MATCH("Windows",MarkupCat_Keys,0))</f>
        <v>0.42</v>
      </c>
      <c r="R88" s="28" t="n">
        <f aca="false">P88*(1+Q88)</f>
        <v>1855.955407</v>
      </c>
      <c r="S88" s="28" t="n">
        <f aca="false">R88*(1-TradeDiscount)</f>
        <v>1633.24075816</v>
      </c>
      <c r="T88" s="28" t="n">
        <f aca="false">R88*(1-VolumeDiscount)</f>
        <v>1484.7643256</v>
      </c>
    </row>
    <row r="89" customFormat="false" ht="15" hidden="false" customHeight="false" outlineLevel="0" collapsed="false">
      <c r="A89" s="29" t="s">
        <v>374</v>
      </c>
      <c r="B89" s="29" t="s">
        <v>96</v>
      </c>
      <c r="C89" s="29" t="s">
        <v>41</v>
      </c>
      <c r="D89" s="29" t="s">
        <v>375</v>
      </c>
      <c r="E89" s="29" t="s">
        <v>361</v>
      </c>
      <c r="F89" s="29" t="s">
        <v>189</v>
      </c>
      <c r="G89" s="29" t="s">
        <v>37</v>
      </c>
      <c r="H89" s="29" t="s">
        <v>64</v>
      </c>
      <c r="I89" s="29" t="s">
        <v>190</v>
      </c>
      <c r="J89" s="29" t="s">
        <v>191</v>
      </c>
      <c r="K89" s="29" t="s">
        <v>192</v>
      </c>
      <c r="L89" s="29" t="s">
        <v>29</v>
      </c>
      <c r="M89" s="29" t="n">
        <v>609</v>
      </c>
      <c r="N89" s="29" t="n">
        <v>609</v>
      </c>
      <c r="O89" s="29"/>
      <c r="P89" s="30" t="n">
        <f aca="false">(M89*N89/1000000)*(INDEX(AreaRate_Vals,MATCH(C89,AreaRate_Keys,0))+IFERROR(INDEX(GlazingUpg_Vals,MATCH(H89,GlazingUpg_Keys,0)),0))+INDEX(Hardware_Vals,MATCH("Windows",Hardware_Keys,0))</f>
        <v>1307.01085</v>
      </c>
      <c r="Q89" s="31" t="n">
        <f aca="false">INDEX(Markup_Vals,MATCH("Windows",MarkupCat_Keys,0))</f>
        <v>0.42</v>
      </c>
      <c r="R89" s="32" t="n">
        <f aca="false">P89*(1+Q89)</f>
        <v>1855.955407</v>
      </c>
      <c r="S89" s="32" t="n">
        <f aca="false">R89*(1-TradeDiscount)</f>
        <v>1633.24075816</v>
      </c>
      <c r="T89" s="32" t="n">
        <f aca="false">R89*(1-VolumeDiscount)</f>
        <v>1484.7643256</v>
      </c>
    </row>
    <row r="90" customFormat="false" ht="15" hidden="false" customHeight="false" outlineLevel="0" collapsed="false">
      <c r="A90" s="25" t="s">
        <v>376</v>
      </c>
      <c r="B90" s="25" t="s">
        <v>96</v>
      </c>
      <c r="C90" s="25" t="s">
        <v>41</v>
      </c>
      <c r="D90" s="25" t="s">
        <v>377</v>
      </c>
      <c r="E90" s="25" t="s">
        <v>361</v>
      </c>
      <c r="F90" s="25" t="s">
        <v>189</v>
      </c>
      <c r="G90" s="25" t="s">
        <v>39</v>
      </c>
      <c r="H90" s="25" t="s">
        <v>64</v>
      </c>
      <c r="I90" s="25" t="s">
        <v>190</v>
      </c>
      <c r="J90" s="25" t="s">
        <v>191</v>
      </c>
      <c r="K90" s="25" t="s">
        <v>192</v>
      </c>
      <c r="L90" s="25" t="s">
        <v>29</v>
      </c>
      <c r="M90" s="25" t="n">
        <v>609</v>
      </c>
      <c r="N90" s="25" t="n">
        <v>609</v>
      </c>
      <c r="O90" s="25"/>
      <c r="P90" s="26" t="n">
        <f aca="false">(M90*N90/1000000)*(INDEX(AreaRate_Vals,MATCH(C90,AreaRate_Keys,0))+IFERROR(INDEX(GlazingUpg_Vals,MATCH(H90,GlazingUpg_Keys,0)),0))+INDEX(Hardware_Vals,MATCH("Windows",Hardware_Keys,0))</f>
        <v>1307.01085</v>
      </c>
      <c r="Q90" s="27" t="n">
        <f aca="false">INDEX(Markup_Vals,MATCH("Windows",MarkupCat_Keys,0))</f>
        <v>0.42</v>
      </c>
      <c r="R90" s="28" t="n">
        <f aca="false">P90*(1+Q90)</f>
        <v>1855.955407</v>
      </c>
      <c r="S90" s="28" t="n">
        <f aca="false">R90*(1-TradeDiscount)</f>
        <v>1633.24075816</v>
      </c>
      <c r="T90" s="28" t="n">
        <f aca="false">R90*(1-VolumeDiscount)</f>
        <v>1484.7643256</v>
      </c>
    </row>
    <row r="91" customFormat="false" ht="15" hidden="false" customHeight="false" outlineLevel="0" collapsed="false">
      <c r="A91" s="29" t="s">
        <v>378</v>
      </c>
      <c r="B91" s="29" t="s">
        <v>96</v>
      </c>
      <c r="C91" s="29" t="s">
        <v>41</v>
      </c>
      <c r="D91" s="29" t="s">
        <v>379</v>
      </c>
      <c r="E91" s="29" t="s">
        <v>361</v>
      </c>
      <c r="F91" s="29" t="s">
        <v>189</v>
      </c>
      <c r="G91" s="29" t="s">
        <v>38</v>
      </c>
      <c r="H91" s="29" t="s">
        <v>64</v>
      </c>
      <c r="I91" s="29" t="s">
        <v>190</v>
      </c>
      <c r="J91" s="29" t="s">
        <v>191</v>
      </c>
      <c r="K91" s="29" t="s">
        <v>192</v>
      </c>
      <c r="L91" s="29" t="s">
        <v>29</v>
      </c>
      <c r="M91" s="29" t="n">
        <v>609</v>
      </c>
      <c r="N91" s="29" t="n">
        <v>609</v>
      </c>
      <c r="O91" s="29"/>
      <c r="P91" s="30" t="n">
        <f aca="false">(M91*N91/1000000)*(INDEX(AreaRate_Vals,MATCH(C91,AreaRate_Keys,0))+IFERROR(INDEX(GlazingUpg_Vals,MATCH(H91,GlazingUpg_Keys,0)),0))+INDEX(Hardware_Vals,MATCH("Windows",Hardware_Keys,0))</f>
        <v>1307.01085</v>
      </c>
      <c r="Q91" s="31" t="n">
        <f aca="false">INDEX(Markup_Vals,MATCH("Windows",MarkupCat_Keys,0))</f>
        <v>0.42</v>
      </c>
      <c r="R91" s="32" t="n">
        <f aca="false">P91*(1+Q91)</f>
        <v>1855.955407</v>
      </c>
      <c r="S91" s="32" t="n">
        <f aca="false">R91*(1-TradeDiscount)</f>
        <v>1633.24075816</v>
      </c>
      <c r="T91" s="32" t="n">
        <f aca="false">R91*(1-VolumeDiscount)</f>
        <v>1484.7643256</v>
      </c>
    </row>
    <row r="92" customFormat="false" ht="15" hidden="false" customHeight="false" outlineLevel="0" collapsed="false">
      <c r="A92" s="25" t="s">
        <v>380</v>
      </c>
      <c r="B92" s="25" t="s">
        <v>96</v>
      </c>
      <c r="C92" s="25" t="s">
        <v>41</v>
      </c>
      <c r="D92" s="25" t="s">
        <v>381</v>
      </c>
      <c r="E92" s="25" t="s">
        <v>361</v>
      </c>
      <c r="F92" s="25" t="s">
        <v>213</v>
      </c>
      <c r="G92" s="25" t="s">
        <v>35</v>
      </c>
      <c r="H92" s="25" t="s">
        <v>63</v>
      </c>
      <c r="I92" s="25" t="s">
        <v>190</v>
      </c>
      <c r="J92" s="25" t="s">
        <v>191</v>
      </c>
      <c r="K92" s="25" t="s">
        <v>192</v>
      </c>
      <c r="L92" s="25" t="s">
        <v>29</v>
      </c>
      <c r="M92" s="25" t="n">
        <v>1209</v>
      </c>
      <c r="N92" s="25" t="n">
        <v>609</v>
      </c>
      <c r="O92" s="25"/>
      <c r="P92" s="26" t="n">
        <f aca="false">(M92*N92/1000000)*(INDEX(AreaRate_Vals,MATCH(C92,AreaRate_Keys,0))+IFERROR(INDEX(GlazingUpg_Vals,MATCH(H92,GlazingUpg_Keys,0)),0))+INDEX(Hardware_Vals,MATCH("Windows",Hardware_Keys,0))</f>
        <v>1943.4463</v>
      </c>
      <c r="Q92" s="27" t="n">
        <f aca="false">INDEX(Markup_Vals,MATCH("Windows",MarkupCat_Keys,0))</f>
        <v>0.42</v>
      </c>
      <c r="R92" s="28" t="n">
        <f aca="false">P92*(1+Q92)</f>
        <v>2759.693746</v>
      </c>
      <c r="S92" s="28" t="n">
        <f aca="false">R92*(1-TradeDiscount)</f>
        <v>2428.53049648</v>
      </c>
      <c r="T92" s="28" t="n">
        <f aca="false">R92*(1-VolumeDiscount)</f>
        <v>2207.7549968</v>
      </c>
    </row>
    <row r="93" customFormat="false" ht="15" hidden="false" customHeight="false" outlineLevel="0" collapsed="false">
      <c r="A93" s="29" t="s">
        <v>382</v>
      </c>
      <c r="B93" s="29" t="s">
        <v>96</v>
      </c>
      <c r="C93" s="29" t="s">
        <v>41</v>
      </c>
      <c r="D93" s="29" t="s">
        <v>383</v>
      </c>
      <c r="E93" s="29" t="s">
        <v>361</v>
      </c>
      <c r="F93" s="29" t="s">
        <v>213</v>
      </c>
      <c r="G93" s="29" t="s">
        <v>36</v>
      </c>
      <c r="H93" s="29" t="s">
        <v>63</v>
      </c>
      <c r="I93" s="29" t="s">
        <v>190</v>
      </c>
      <c r="J93" s="29" t="s">
        <v>191</v>
      </c>
      <c r="K93" s="29" t="s">
        <v>192</v>
      </c>
      <c r="L93" s="29" t="s">
        <v>29</v>
      </c>
      <c r="M93" s="29" t="n">
        <v>1209</v>
      </c>
      <c r="N93" s="29" t="n">
        <v>609</v>
      </c>
      <c r="O93" s="29"/>
      <c r="P93" s="30" t="n">
        <f aca="false">(M93*N93/1000000)*(INDEX(AreaRate_Vals,MATCH(C93,AreaRate_Keys,0))+IFERROR(INDEX(GlazingUpg_Vals,MATCH(H93,GlazingUpg_Keys,0)),0))+INDEX(Hardware_Vals,MATCH("Windows",Hardware_Keys,0))</f>
        <v>1943.4463</v>
      </c>
      <c r="Q93" s="31" t="n">
        <f aca="false">INDEX(Markup_Vals,MATCH("Windows",MarkupCat_Keys,0))</f>
        <v>0.42</v>
      </c>
      <c r="R93" s="32" t="n">
        <f aca="false">P93*(1+Q93)</f>
        <v>2759.693746</v>
      </c>
      <c r="S93" s="32" t="n">
        <f aca="false">R93*(1-TradeDiscount)</f>
        <v>2428.53049648</v>
      </c>
      <c r="T93" s="32" t="n">
        <f aca="false">R93*(1-VolumeDiscount)</f>
        <v>2207.7549968</v>
      </c>
    </row>
    <row r="94" customFormat="false" ht="15" hidden="false" customHeight="false" outlineLevel="0" collapsed="false">
      <c r="A94" s="25" t="s">
        <v>384</v>
      </c>
      <c r="B94" s="25" t="s">
        <v>96</v>
      </c>
      <c r="C94" s="25" t="s">
        <v>41</v>
      </c>
      <c r="D94" s="25" t="s">
        <v>385</v>
      </c>
      <c r="E94" s="25" t="s">
        <v>361</v>
      </c>
      <c r="F94" s="25" t="s">
        <v>213</v>
      </c>
      <c r="G94" s="25" t="s">
        <v>37</v>
      </c>
      <c r="H94" s="25" t="s">
        <v>63</v>
      </c>
      <c r="I94" s="25" t="s">
        <v>190</v>
      </c>
      <c r="J94" s="25" t="s">
        <v>191</v>
      </c>
      <c r="K94" s="25" t="s">
        <v>192</v>
      </c>
      <c r="L94" s="25" t="s">
        <v>29</v>
      </c>
      <c r="M94" s="25" t="n">
        <v>1209</v>
      </c>
      <c r="N94" s="25" t="n">
        <v>609</v>
      </c>
      <c r="O94" s="25"/>
      <c r="P94" s="26" t="n">
        <f aca="false">(M94*N94/1000000)*(INDEX(AreaRate_Vals,MATCH(C94,AreaRate_Keys,0))+IFERROR(INDEX(GlazingUpg_Vals,MATCH(H94,GlazingUpg_Keys,0)),0))+INDEX(Hardware_Vals,MATCH("Windows",Hardware_Keys,0))</f>
        <v>1943.4463</v>
      </c>
      <c r="Q94" s="27" t="n">
        <f aca="false">INDEX(Markup_Vals,MATCH("Windows",MarkupCat_Keys,0))</f>
        <v>0.42</v>
      </c>
      <c r="R94" s="28" t="n">
        <f aca="false">P94*(1+Q94)</f>
        <v>2759.693746</v>
      </c>
      <c r="S94" s="28" t="n">
        <f aca="false">R94*(1-TradeDiscount)</f>
        <v>2428.53049648</v>
      </c>
      <c r="T94" s="28" t="n">
        <f aca="false">R94*(1-VolumeDiscount)</f>
        <v>2207.7549968</v>
      </c>
    </row>
    <row r="95" customFormat="false" ht="15" hidden="false" customHeight="false" outlineLevel="0" collapsed="false">
      <c r="A95" s="29" t="s">
        <v>386</v>
      </c>
      <c r="B95" s="29" t="s">
        <v>96</v>
      </c>
      <c r="C95" s="29" t="s">
        <v>41</v>
      </c>
      <c r="D95" s="29" t="s">
        <v>387</v>
      </c>
      <c r="E95" s="29" t="s">
        <v>361</v>
      </c>
      <c r="F95" s="29" t="s">
        <v>213</v>
      </c>
      <c r="G95" s="29" t="s">
        <v>39</v>
      </c>
      <c r="H95" s="29" t="s">
        <v>63</v>
      </c>
      <c r="I95" s="29" t="s">
        <v>190</v>
      </c>
      <c r="J95" s="29" t="s">
        <v>191</v>
      </c>
      <c r="K95" s="29" t="s">
        <v>192</v>
      </c>
      <c r="L95" s="29" t="s">
        <v>29</v>
      </c>
      <c r="M95" s="29" t="n">
        <v>1209</v>
      </c>
      <c r="N95" s="29" t="n">
        <v>609</v>
      </c>
      <c r="O95" s="29"/>
      <c r="P95" s="30" t="n">
        <f aca="false">(M95*N95/1000000)*(INDEX(AreaRate_Vals,MATCH(C95,AreaRate_Keys,0))+IFERROR(INDEX(GlazingUpg_Vals,MATCH(H95,GlazingUpg_Keys,0)),0))+INDEX(Hardware_Vals,MATCH("Windows",Hardware_Keys,0))</f>
        <v>1943.4463</v>
      </c>
      <c r="Q95" s="31" t="n">
        <f aca="false">INDEX(Markup_Vals,MATCH("Windows",MarkupCat_Keys,0))</f>
        <v>0.42</v>
      </c>
      <c r="R95" s="32" t="n">
        <f aca="false">P95*(1+Q95)</f>
        <v>2759.693746</v>
      </c>
      <c r="S95" s="32" t="n">
        <f aca="false">R95*(1-TradeDiscount)</f>
        <v>2428.53049648</v>
      </c>
      <c r="T95" s="32" t="n">
        <f aca="false">R95*(1-VolumeDiscount)</f>
        <v>2207.7549968</v>
      </c>
    </row>
    <row r="96" customFormat="false" ht="15" hidden="false" customHeight="false" outlineLevel="0" collapsed="false">
      <c r="A96" s="25" t="s">
        <v>388</v>
      </c>
      <c r="B96" s="25" t="s">
        <v>96</v>
      </c>
      <c r="C96" s="25" t="s">
        <v>41</v>
      </c>
      <c r="D96" s="25" t="s">
        <v>389</v>
      </c>
      <c r="E96" s="25" t="s">
        <v>361</v>
      </c>
      <c r="F96" s="25" t="s">
        <v>213</v>
      </c>
      <c r="G96" s="25" t="s">
        <v>38</v>
      </c>
      <c r="H96" s="25" t="s">
        <v>63</v>
      </c>
      <c r="I96" s="25" t="s">
        <v>190</v>
      </c>
      <c r="J96" s="25" t="s">
        <v>191</v>
      </c>
      <c r="K96" s="25" t="s">
        <v>192</v>
      </c>
      <c r="L96" s="25" t="s">
        <v>29</v>
      </c>
      <c r="M96" s="25" t="n">
        <v>1209</v>
      </c>
      <c r="N96" s="25" t="n">
        <v>609</v>
      </c>
      <c r="O96" s="25"/>
      <c r="P96" s="26" t="n">
        <f aca="false">(M96*N96/1000000)*(INDEX(AreaRate_Vals,MATCH(C96,AreaRate_Keys,0))+IFERROR(INDEX(GlazingUpg_Vals,MATCH(H96,GlazingUpg_Keys,0)),0))+INDEX(Hardware_Vals,MATCH("Windows",Hardware_Keys,0))</f>
        <v>1943.4463</v>
      </c>
      <c r="Q96" s="27" t="n">
        <f aca="false">INDEX(Markup_Vals,MATCH("Windows",MarkupCat_Keys,0))</f>
        <v>0.42</v>
      </c>
      <c r="R96" s="28" t="n">
        <f aca="false">P96*(1+Q96)</f>
        <v>2759.693746</v>
      </c>
      <c r="S96" s="28" t="n">
        <f aca="false">R96*(1-TradeDiscount)</f>
        <v>2428.53049648</v>
      </c>
      <c r="T96" s="28" t="n">
        <f aca="false">R96*(1-VolumeDiscount)</f>
        <v>2207.7549968</v>
      </c>
    </row>
    <row r="97" customFormat="false" ht="15" hidden="false" customHeight="false" outlineLevel="0" collapsed="false">
      <c r="A97" s="29" t="s">
        <v>390</v>
      </c>
      <c r="B97" s="29" t="s">
        <v>96</v>
      </c>
      <c r="C97" s="29" t="s">
        <v>41</v>
      </c>
      <c r="D97" s="29" t="s">
        <v>391</v>
      </c>
      <c r="E97" s="29" t="s">
        <v>361</v>
      </c>
      <c r="F97" s="29" t="s">
        <v>213</v>
      </c>
      <c r="G97" s="29" t="s">
        <v>35</v>
      </c>
      <c r="H97" s="29" t="s">
        <v>64</v>
      </c>
      <c r="I97" s="29" t="s">
        <v>190</v>
      </c>
      <c r="J97" s="29" t="s">
        <v>191</v>
      </c>
      <c r="K97" s="29" t="s">
        <v>192</v>
      </c>
      <c r="L97" s="29" t="s">
        <v>29</v>
      </c>
      <c r="M97" s="29" t="n">
        <v>1209</v>
      </c>
      <c r="N97" s="29" t="n">
        <v>609</v>
      </c>
      <c r="O97" s="29"/>
      <c r="P97" s="30" t="n">
        <f aca="false">(M97*N97/1000000)*(INDEX(AreaRate_Vals,MATCH(C97,AreaRate_Keys,0))+IFERROR(INDEX(GlazingUpg_Vals,MATCH(H97,GlazingUpg_Keys,0)),0))+INDEX(Hardware_Vals,MATCH("Windows",Hardware_Keys,0))</f>
        <v>2348.40085</v>
      </c>
      <c r="Q97" s="31" t="n">
        <f aca="false">INDEX(Markup_Vals,MATCH("Windows",MarkupCat_Keys,0))</f>
        <v>0.42</v>
      </c>
      <c r="R97" s="32" t="n">
        <f aca="false">P97*(1+Q97)</f>
        <v>3334.729207</v>
      </c>
      <c r="S97" s="32" t="n">
        <f aca="false">R97*(1-TradeDiscount)</f>
        <v>2934.56170216</v>
      </c>
      <c r="T97" s="32" t="n">
        <f aca="false">R97*(1-VolumeDiscount)</f>
        <v>2667.7833656</v>
      </c>
    </row>
    <row r="98" customFormat="false" ht="15" hidden="false" customHeight="false" outlineLevel="0" collapsed="false">
      <c r="A98" s="25" t="s">
        <v>392</v>
      </c>
      <c r="B98" s="25" t="s">
        <v>96</v>
      </c>
      <c r="C98" s="25" t="s">
        <v>41</v>
      </c>
      <c r="D98" s="25" t="s">
        <v>393</v>
      </c>
      <c r="E98" s="25" t="s">
        <v>361</v>
      </c>
      <c r="F98" s="25" t="s">
        <v>213</v>
      </c>
      <c r="G98" s="25" t="s">
        <v>36</v>
      </c>
      <c r="H98" s="25" t="s">
        <v>64</v>
      </c>
      <c r="I98" s="25" t="s">
        <v>190</v>
      </c>
      <c r="J98" s="25" t="s">
        <v>191</v>
      </c>
      <c r="K98" s="25" t="s">
        <v>192</v>
      </c>
      <c r="L98" s="25" t="s">
        <v>29</v>
      </c>
      <c r="M98" s="25" t="n">
        <v>1209</v>
      </c>
      <c r="N98" s="25" t="n">
        <v>609</v>
      </c>
      <c r="O98" s="25"/>
      <c r="P98" s="26" t="n">
        <f aca="false">(M98*N98/1000000)*(INDEX(AreaRate_Vals,MATCH(C98,AreaRate_Keys,0))+IFERROR(INDEX(GlazingUpg_Vals,MATCH(H98,GlazingUpg_Keys,0)),0))+INDEX(Hardware_Vals,MATCH("Windows",Hardware_Keys,0))</f>
        <v>2348.40085</v>
      </c>
      <c r="Q98" s="27" t="n">
        <f aca="false">INDEX(Markup_Vals,MATCH("Windows",MarkupCat_Keys,0))</f>
        <v>0.42</v>
      </c>
      <c r="R98" s="28" t="n">
        <f aca="false">P98*(1+Q98)</f>
        <v>3334.729207</v>
      </c>
      <c r="S98" s="28" t="n">
        <f aca="false">R98*(1-TradeDiscount)</f>
        <v>2934.56170216</v>
      </c>
      <c r="T98" s="28" t="n">
        <f aca="false">R98*(1-VolumeDiscount)</f>
        <v>2667.7833656</v>
      </c>
    </row>
    <row r="99" customFormat="false" ht="15" hidden="false" customHeight="false" outlineLevel="0" collapsed="false">
      <c r="A99" s="29" t="s">
        <v>394</v>
      </c>
      <c r="B99" s="29" t="s">
        <v>96</v>
      </c>
      <c r="C99" s="29" t="s">
        <v>41</v>
      </c>
      <c r="D99" s="29" t="s">
        <v>395</v>
      </c>
      <c r="E99" s="29" t="s">
        <v>361</v>
      </c>
      <c r="F99" s="29" t="s">
        <v>213</v>
      </c>
      <c r="G99" s="29" t="s">
        <v>37</v>
      </c>
      <c r="H99" s="29" t="s">
        <v>64</v>
      </c>
      <c r="I99" s="29" t="s">
        <v>190</v>
      </c>
      <c r="J99" s="29" t="s">
        <v>191</v>
      </c>
      <c r="K99" s="29" t="s">
        <v>192</v>
      </c>
      <c r="L99" s="29" t="s">
        <v>29</v>
      </c>
      <c r="M99" s="29" t="n">
        <v>1209</v>
      </c>
      <c r="N99" s="29" t="n">
        <v>609</v>
      </c>
      <c r="O99" s="29"/>
      <c r="P99" s="30" t="n">
        <f aca="false">(M99*N99/1000000)*(INDEX(AreaRate_Vals,MATCH(C99,AreaRate_Keys,0))+IFERROR(INDEX(GlazingUpg_Vals,MATCH(H99,GlazingUpg_Keys,0)),0))+INDEX(Hardware_Vals,MATCH("Windows",Hardware_Keys,0))</f>
        <v>2348.40085</v>
      </c>
      <c r="Q99" s="31" t="n">
        <f aca="false">INDEX(Markup_Vals,MATCH("Windows",MarkupCat_Keys,0))</f>
        <v>0.42</v>
      </c>
      <c r="R99" s="32" t="n">
        <f aca="false">P99*(1+Q99)</f>
        <v>3334.729207</v>
      </c>
      <c r="S99" s="32" t="n">
        <f aca="false">R99*(1-TradeDiscount)</f>
        <v>2934.56170216</v>
      </c>
      <c r="T99" s="32" t="n">
        <f aca="false">R99*(1-VolumeDiscount)</f>
        <v>2667.7833656</v>
      </c>
    </row>
    <row r="100" customFormat="false" ht="15" hidden="false" customHeight="false" outlineLevel="0" collapsed="false">
      <c r="A100" s="25" t="s">
        <v>396</v>
      </c>
      <c r="B100" s="25" t="s">
        <v>96</v>
      </c>
      <c r="C100" s="25" t="s">
        <v>41</v>
      </c>
      <c r="D100" s="25" t="s">
        <v>397</v>
      </c>
      <c r="E100" s="25" t="s">
        <v>361</v>
      </c>
      <c r="F100" s="25" t="s">
        <v>213</v>
      </c>
      <c r="G100" s="25" t="s">
        <v>39</v>
      </c>
      <c r="H100" s="25" t="s">
        <v>64</v>
      </c>
      <c r="I100" s="25" t="s">
        <v>190</v>
      </c>
      <c r="J100" s="25" t="s">
        <v>191</v>
      </c>
      <c r="K100" s="25" t="s">
        <v>192</v>
      </c>
      <c r="L100" s="25" t="s">
        <v>29</v>
      </c>
      <c r="M100" s="25" t="n">
        <v>1209</v>
      </c>
      <c r="N100" s="25" t="n">
        <v>609</v>
      </c>
      <c r="O100" s="25"/>
      <c r="P100" s="26" t="n">
        <f aca="false">(M100*N100/1000000)*(INDEX(AreaRate_Vals,MATCH(C100,AreaRate_Keys,0))+IFERROR(INDEX(GlazingUpg_Vals,MATCH(H100,GlazingUpg_Keys,0)),0))+INDEX(Hardware_Vals,MATCH("Windows",Hardware_Keys,0))</f>
        <v>2348.40085</v>
      </c>
      <c r="Q100" s="27" t="n">
        <f aca="false">INDEX(Markup_Vals,MATCH("Windows",MarkupCat_Keys,0))</f>
        <v>0.42</v>
      </c>
      <c r="R100" s="28" t="n">
        <f aca="false">P100*(1+Q100)</f>
        <v>3334.729207</v>
      </c>
      <c r="S100" s="28" t="n">
        <f aca="false">R100*(1-TradeDiscount)</f>
        <v>2934.56170216</v>
      </c>
      <c r="T100" s="28" t="n">
        <f aca="false">R100*(1-VolumeDiscount)</f>
        <v>2667.7833656</v>
      </c>
    </row>
    <row r="101" customFormat="false" ht="15" hidden="false" customHeight="false" outlineLevel="0" collapsed="false">
      <c r="A101" s="29" t="s">
        <v>398</v>
      </c>
      <c r="B101" s="29" t="s">
        <v>96</v>
      </c>
      <c r="C101" s="29" t="s">
        <v>41</v>
      </c>
      <c r="D101" s="29" t="s">
        <v>399</v>
      </c>
      <c r="E101" s="29" t="s">
        <v>361</v>
      </c>
      <c r="F101" s="29" t="s">
        <v>213</v>
      </c>
      <c r="G101" s="29" t="s">
        <v>38</v>
      </c>
      <c r="H101" s="29" t="s">
        <v>64</v>
      </c>
      <c r="I101" s="29" t="s">
        <v>190</v>
      </c>
      <c r="J101" s="29" t="s">
        <v>191</v>
      </c>
      <c r="K101" s="29" t="s">
        <v>192</v>
      </c>
      <c r="L101" s="29" t="s">
        <v>29</v>
      </c>
      <c r="M101" s="29" t="n">
        <v>1209</v>
      </c>
      <c r="N101" s="29" t="n">
        <v>609</v>
      </c>
      <c r="O101" s="29"/>
      <c r="P101" s="30" t="n">
        <f aca="false">(M101*N101/1000000)*(INDEX(AreaRate_Vals,MATCH(C101,AreaRate_Keys,0))+IFERROR(INDEX(GlazingUpg_Vals,MATCH(H101,GlazingUpg_Keys,0)),0))+INDEX(Hardware_Vals,MATCH("Windows",Hardware_Keys,0))</f>
        <v>2348.40085</v>
      </c>
      <c r="Q101" s="31" t="n">
        <f aca="false">INDEX(Markup_Vals,MATCH("Windows",MarkupCat_Keys,0))</f>
        <v>0.42</v>
      </c>
      <c r="R101" s="32" t="n">
        <f aca="false">P101*(1+Q101)</f>
        <v>3334.729207</v>
      </c>
      <c r="S101" s="32" t="n">
        <f aca="false">R101*(1-TradeDiscount)</f>
        <v>2934.56170216</v>
      </c>
      <c r="T101" s="32" t="n">
        <f aca="false">R101*(1-VolumeDiscount)</f>
        <v>2667.7833656</v>
      </c>
    </row>
    <row r="102" customFormat="false" ht="15" hidden="false" customHeight="false" outlineLevel="0" collapsed="false">
      <c r="A102" s="25" t="s">
        <v>400</v>
      </c>
      <c r="B102" s="25" t="s">
        <v>96</v>
      </c>
      <c r="C102" s="25" t="s">
        <v>41</v>
      </c>
      <c r="D102" s="25" t="s">
        <v>401</v>
      </c>
      <c r="E102" s="25" t="s">
        <v>361</v>
      </c>
      <c r="F102" s="25" t="s">
        <v>234</v>
      </c>
      <c r="G102" s="25" t="s">
        <v>35</v>
      </c>
      <c r="H102" s="25" t="s">
        <v>63</v>
      </c>
      <c r="I102" s="25" t="s">
        <v>190</v>
      </c>
      <c r="J102" s="25" t="s">
        <v>191</v>
      </c>
      <c r="K102" s="25" t="s">
        <v>192</v>
      </c>
      <c r="L102" s="25" t="s">
        <v>29</v>
      </c>
      <c r="M102" s="25" t="n">
        <v>1209</v>
      </c>
      <c r="N102" s="25" t="n">
        <v>909</v>
      </c>
      <c r="O102" s="25"/>
      <c r="P102" s="26" t="n">
        <f aca="false">(M102*N102/1000000)*(INDEX(AreaRate_Vals,MATCH(C102,AreaRate_Keys,0))+IFERROR(INDEX(GlazingUpg_Vals,MATCH(H102,GlazingUpg_Keys,0)),0))+INDEX(Hardware_Vals,MATCH("Windows",Hardware_Keys,0))</f>
        <v>2777.6563</v>
      </c>
      <c r="Q102" s="27" t="n">
        <f aca="false">INDEX(Markup_Vals,MATCH("Windows",MarkupCat_Keys,0))</f>
        <v>0.42</v>
      </c>
      <c r="R102" s="28" t="n">
        <f aca="false">P102*(1+Q102)</f>
        <v>3944.271946</v>
      </c>
      <c r="S102" s="28" t="n">
        <f aca="false">R102*(1-TradeDiscount)</f>
        <v>3470.95931248</v>
      </c>
      <c r="T102" s="28" t="n">
        <f aca="false">R102*(1-VolumeDiscount)</f>
        <v>3155.4175568</v>
      </c>
    </row>
    <row r="103" customFormat="false" ht="15" hidden="false" customHeight="false" outlineLevel="0" collapsed="false">
      <c r="A103" s="29" t="s">
        <v>402</v>
      </c>
      <c r="B103" s="29" t="s">
        <v>96</v>
      </c>
      <c r="C103" s="29" t="s">
        <v>41</v>
      </c>
      <c r="D103" s="29" t="s">
        <v>403</v>
      </c>
      <c r="E103" s="29" t="s">
        <v>361</v>
      </c>
      <c r="F103" s="29" t="s">
        <v>234</v>
      </c>
      <c r="G103" s="29" t="s">
        <v>36</v>
      </c>
      <c r="H103" s="29" t="s">
        <v>63</v>
      </c>
      <c r="I103" s="29" t="s">
        <v>190</v>
      </c>
      <c r="J103" s="29" t="s">
        <v>191</v>
      </c>
      <c r="K103" s="29" t="s">
        <v>192</v>
      </c>
      <c r="L103" s="29" t="s">
        <v>29</v>
      </c>
      <c r="M103" s="29" t="n">
        <v>1209</v>
      </c>
      <c r="N103" s="29" t="n">
        <v>909</v>
      </c>
      <c r="O103" s="29"/>
      <c r="P103" s="30" t="n">
        <f aca="false">(M103*N103/1000000)*(INDEX(AreaRate_Vals,MATCH(C103,AreaRate_Keys,0))+IFERROR(INDEX(GlazingUpg_Vals,MATCH(H103,GlazingUpg_Keys,0)),0))+INDEX(Hardware_Vals,MATCH("Windows",Hardware_Keys,0))</f>
        <v>2777.6563</v>
      </c>
      <c r="Q103" s="31" t="n">
        <f aca="false">INDEX(Markup_Vals,MATCH("Windows",MarkupCat_Keys,0))</f>
        <v>0.42</v>
      </c>
      <c r="R103" s="32" t="n">
        <f aca="false">P103*(1+Q103)</f>
        <v>3944.271946</v>
      </c>
      <c r="S103" s="32" t="n">
        <f aca="false">R103*(1-TradeDiscount)</f>
        <v>3470.95931248</v>
      </c>
      <c r="T103" s="32" t="n">
        <f aca="false">R103*(1-VolumeDiscount)</f>
        <v>3155.4175568</v>
      </c>
    </row>
    <row r="104" customFormat="false" ht="15" hidden="false" customHeight="false" outlineLevel="0" collapsed="false">
      <c r="A104" s="25" t="s">
        <v>404</v>
      </c>
      <c r="B104" s="25" t="s">
        <v>96</v>
      </c>
      <c r="C104" s="25" t="s">
        <v>41</v>
      </c>
      <c r="D104" s="25" t="s">
        <v>405</v>
      </c>
      <c r="E104" s="25" t="s">
        <v>361</v>
      </c>
      <c r="F104" s="25" t="s">
        <v>234</v>
      </c>
      <c r="G104" s="25" t="s">
        <v>37</v>
      </c>
      <c r="H104" s="25" t="s">
        <v>63</v>
      </c>
      <c r="I104" s="25" t="s">
        <v>190</v>
      </c>
      <c r="J104" s="25" t="s">
        <v>191</v>
      </c>
      <c r="K104" s="25" t="s">
        <v>192</v>
      </c>
      <c r="L104" s="25" t="s">
        <v>29</v>
      </c>
      <c r="M104" s="25" t="n">
        <v>1209</v>
      </c>
      <c r="N104" s="25" t="n">
        <v>909</v>
      </c>
      <c r="O104" s="25"/>
      <c r="P104" s="26" t="n">
        <f aca="false">(M104*N104/1000000)*(INDEX(AreaRate_Vals,MATCH(C104,AreaRate_Keys,0))+IFERROR(INDEX(GlazingUpg_Vals,MATCH(H104,GlazingUpg_Keys,0)),0))+INDEX(Hardware_Vals,MATCH("Windows",Hardware_Keys,0))</f>
        <v>2777.6563</v>
      </c>
      <c r="Q104" s="27" t="n">
        <f aca="false">INDEX(Markup_Vals,MATCH("Windows",MarkupCat_Keys,0))</f>
        <v>0.42</v>
      </c>
      <c r="R104" s="28" t="n">
        <f aca="false">P104*(1+Q104)</f>
        <v>3944.271946</v>
      </c>
      <c r="S104" s="28" t="n">
        <f aca="false">R104*(1-TradeDiscount)</f>
        <v>3470.95931248</v>
      </c>
      <c r="T104" s="28" t="n">
        <f aca="false">R104*(1-VolumeDiscount)</f>
        <v>3155.4175568</v>
      </c>
    </row>
    <row r="105" customFormat="false" ht="15" hidden="false" customHeight="false" outlineLevel="0" collapsed="false">
      <c r="A105" s="29" t="s">
        <v>406</v>
      </c>
      <c r="B105" s="29" t="s">
        <v>96</v>
      </c>
      <c r="C105" s="29" t="s">
        <v>41</v>
      </c>
      <c r="D105" s="29" t="s">
        <v>407</v>
      </c>
      <c r="E105" s="29" t="s">
        <v>361</v>
      </c>
      <c r="F105" s="29" t="s">
        <v>234</v>
      </c>
      <c r="G105" s="29" t="s">
        <v>39</v>
      </c>
      <c r="H105" s="29" t="s">
        <v>63</v>
      </c>
      <c r="I105" s="29" t="s">
        <v>190</v>
      </c>
      <c r="J105" s="29" t="s">
        <v>191</v>
      </c>
      <c r="K105" s="29" t="s">
        <v>192</v>
      </c>
      <c r="L105" s="29" t="s">
        <v>29</v>
      </c>
      <c r="M105" s="29" t="n">
        <v>1209</v>
      </c>
      <c r="N105" s="29" t="n">
        <v>909</v>
      </c>
      <c r="O105" s="29"/>
      <c r="P105" s="30" t="n">
        <f aca="false">(M105*N105/1000000)*(INDEX(AreaRate_Vals,MATCH(C105,AreaRate_Keys,0))+IFERROR(INDEX(GlazingUpg_Vals,MATCH(H105,GlazingUpg_Keys,0)),0))+INDEX(Hardware_Vals,MATCH("Windows",Hardware_Keys,0))</f>
        <v>2777.6563</v>
      </c>
      <c r="Q105" s="31" t="n">
        <f aca="false">INDEX(Markup_Vals,MATCH("Windows",MarkupCat_Keys,0))</f>
        <v>0.42</v>
      </c>
      <c r="R105" s="32" t="n">
        <f aca="false">P105*(1+Q105)</f>
        <v>3944.271946</v>
      </c>
      <c r="S105" s="32" t="n">
        <f aca="false">R105*(1-TradeDiscount)</f>
        <v>3470.95931248</v>
      </c>
      <c r="T105" s="32" t="n">
        <f aca="false">R105*(1-VolumeDiscount)</f>
        <v>3155.4175568</v>
      </c>
    </row>
    <row r="106" customFormat="false" ht="15" hidden="false" customHeight="false" outlineLevel="0" collapsed="false">
      <c r="A106" s="25" t="s">
        <v>408</v>
      </c>
      <c r="B106" s="25" t="s">
        <v>96</v>
      </c>
      <c r="C106" s="25" t="s">
        <v>41</v>
      </c>
      <c r="D106" s="25" t="s">
        <v>409</v>
      </c>
      <c r="E106" s="25" t="s">
        <v>361</v>
      </c>
      <c r="F106" s="25" t="s">
        <v>234</v>
      </c>
      <c r="G106" s="25" t="s">
        <v>38</v>
      </c>
      <c r="H106" s="25" t="s">
        <v>63</v>
      </c>
      <c r="I106" s="25" t="s">
        <v>190</v>
      </c>
      <c r="J106" s="25" t="s">
        <v>191</v>
      </c>
      <c r="K106" s="25" t="s">
        <v>192</v>
      </c>
      <c r="L106" s="25" t="s">
        <v>29</v>
      </c>
      <c r="M106" s="25" t="n">
        <v>1209</v>
      </c>
      <c r="N106" s="25" t="n">
        <v>909</v>
      </c>
      <c r="O106" s="25"/>
      <c r="P106" s="26" t="n">
        <f aca="false">(M106*N106/1000000)*(INDEX(AreaRate_Vals,MATCH(C106,AreaRate_Keys,0))+IFERROR(INDEX(GlazingUpg_Vals,MATCH(H106,GlazingUpg_Keys,0)),0))+INDEX(Hardware_Vals,MATCH("Windows",Hardware_Keys,0))</f>
        <v>2777.6563</v>
      </c>
      <c r="Q106" s="27" t="n">
        <f aca="false">INDEX(Markup_Vals,MATCH("Windows",MarkupCat_Keys,0))</f>
        <v>0.42</v>
      </c>
      <c r="R106" s="28" t="n">
        <f aca="false">P106*(1+Q106)</f>
        <v>3944.271946</v>
      </c>
      <c r="S106" s="28" t="n">
        <f aca="false">R106*(1-TradeDiscount)</f>
        <v>3470.95931248</v>
      </c>
      <c r="T106" s="28" t="n">
        <f aca="false">R106*(1-VolumeDiscount)</f>
        <v>3155.4175568</v>
      </c>
    </row>
    <row r="107" customFormat="false" ht="15" hidden="false" customHeight="false" outlineLevel="0" collapsed="false">
      <c r="A107" s="29" t="s">
        <v>410</v>
      </c>
      <c r="B107" s="29" t="s">
        <v>96</v>
      </c>
      <c r="C107" s="29" t="s">
        <v>41</v>
      </c>
      <c r="D107" s="29" t="s">
        <v>411</v>
      </c>
      <c r="E107" s="29" t="s">
        <v>361</v>
      </c>
      <c r="F107" s="29" t="s">
        <v>234</v>
      </c>
      <c r="G107" s="29" t="s">
        <v>35</v>
      </c>
      <c r="H107" s="29" t="s">
        <v>64</v>
      </c>
      <c r="I107" s="29" t="s">
        <v>190</v>
      </c>
      <c r="J107" s="29" t="s">
        <v>191</v>
      </c>
      <c r="K107" s="29" t="s">
        <v>192</v>
      </c>
      <c r="L107" s="29" t="s">
        <v>29</v>
      </c>
      <c r="M107" s="29" t="n">
        <v>1209</v>
      </c>
      <c r="N107" s="29" t="n">
        <v>909</v>
      </c>
      <c r="O107" s="29"/>
      <c r="P107" s="30" t="n">
        <f aca="false">(M107*N107/1000000)*(INDEX(AreaRate_Vals,MATCH(C107,AreaRate_Keys,0))+IFERROR(INDEX(GlazingUpg_Vals,MATCH(H107,GlazingUpg_Keys,0)),0))+INDEX(Hardware_Vals,MATCH("Windows",Hardware_Keys,0))</f>
        <v>3382.09585</v>
      </c>
      <c r="Q107" s="31" t="n">
        <f aca="false">INDEX(Markup_Vals,MATCH("Windows",MarkupCat_Keys,0))</f>
        <v>0.42</v>
      </c>
      <c r="R107" s="32" t="n">
        <f aca="false">P107*(1+Q107)</f>
        <v>4802.576107</v>
      </c>
      <c r="S107" s="32" t="n">
        <f aca="false">R107*(1-TradeDiscount)</f>
        <v>4226.26697416</v>
      </c>
      <c r="T107" s="32" t="n">
        <f aca="false">R107*(1-VolumeDiscount)</f>
        <v>3842.0608856</v>
      </c>
    </row>
    <row r="108" customFormat="false" ht="15" hidden="false" customHeight="false" outlineLevel="0" collapsed="false">
      <c r="A108" s="25" t="s">
        <v>412</v>
      </c>
      <c r="B108" s="25" t="s">
        <v>96</v>
      </c>
      <c r="C108" s="25" t="s">
        <v>41</v>
      </c>
      <c r="D108" s="25" t="s">
        <v>413</v>
      </c>
      <c r="E108" s="25" t="s">
        <v>361</v>
      </c>
      <c r="F108" s="25" t="s">
        <v>234</v>
      </c>
      <c r="G108" s="25" t="s">
        <v>36</v>
      </c>
      <c r="H108" s="25" t="s">
        <v>64</v>
      </c>
      <c r="I108" s="25" t="s">
        <v>190</v>
      </c>
      <c r="J108" s="25" t="s">
        <v>191</v>
      </c>
      <c r="K108" s="25" t="s">
        <v>192</v>
      </c>
      <c r="L108" s="25" t="s">
        <v>29</v>
      </c>
      <c r="M108" s="25" t="n">
        <v>1209</v>
      </c>
      <c r="N108" s="25" t="n">
        <v>909</v>
      </c>
      <c r="O108" s="25"/>
      <c r="P108" s="26" t="n">
        <f aca="false">(M108*N108/1000000)*(INDEX(AreaRate_Vals,MATCH(C108,AreaRate_Keys,0))+IFERROR(INDEX(GlazingUpg_Vals,MATCH(H108,GlazingUpg_Keys,0)),0))+INDEX(Hardware_Vals,MATCH("Windows",Hardware_Keys,0))</f>
        <v>3382.09585</v>
      </c>
      <c r="Q108" s="27" t="n">
        <f aca="false">INDEX(Markup_Vals,MATCH("Windows",MarkupCat_Keys,0))</f>
        <v>0.42</v>
      </c>
      <c r="R108" s="28" t="n">
        <f aca="false">P108*(1+Q108)</f>
        <v>4802.576107</v>
      </c>
      <c r="S108" s="28" t="n">
        <f aca="false">R108*(1-TradeDiscount)</f>
        <v>4226.26697416</v>
      </c>
      <c r="T108" s="28" t="n">
        <f aca="false">R108*(1-VolumeDiscount)</f>
        <v>3842.0608856</v>
      </c>
    </row>
    <row r="109" customFormat="false" ht="15" hidden="false" customHeight="false" outlineLevel="0" collapsed="false">
      <c r="A109" s="29" t="s">
        <v>414</v>
      </c>
      <c r="B109" s="29" t="s">
        <v>96</v>
      </c>
      <c r="C109" s="29" t="s">
        <v>41</v>
      </c>
      <c r="D109" s="29" t="s">
        <v>415</v>
      </c>
      <c r="E109" s="29" t="s">
        <v>361</v>
      </c>
      <c r="F109" s="29" t="s">
        <v>234</v>
      </c>
      <c r="G109" s="29" t="s">
        <v>37</v>
      </c>
      <c r="H109" s="29" t="s">
        <v>64</v>
      </c>
      <c r="I109" s="29" t="s">
        <v>190</v>
      </c>
      <c r="J109" s="29" t="s">
        <v>191</v>
      </c>
      <c r="K109" s="29" t="s">
        <v>192</v>
      </c>
      <c r="L109" s="29" t="s">
        <v>29</v>
      </c>
      <c r="M109" s="29" t="n">
        <v>1209</v>
      </c>
      <c r="N109" s="29" t="n">
        <v>909</v>
      </c>
      <c r="O109" s="29"/>
      <c r="P109" s="30" t="n">
        <f aca="false">(M109*N109/1000000)*(INDEX(AreaRate_Vals,MATCH(C109,AreaRate_Keys,0))+IFERROR(INDEX(GlazingUpg_Vals,MATCH(H109,GlazingUpg_Keys,0)),0))+INDEX(Hardware_Vals,MATCH("Windows",Hardware_Keys,0))</f>
        <v>3382.09585</v>
      </c>
      <c r="Q109" s="31" t="n">
        <f aca="false">INDEX(Markup_Vals,MATCH("Windows",MarkupCat_Keys,0))</f>
        <v>0.42</v>
      </c>
      <c r="R109" s="32" t="n">
        <f aca="false">P109*(1+Q109)</f>
        <v>4802.576107</v>
      </c>
      <c r="S109" s="32" t="n">
        <f aca="false">R109*(1-TradeDiscount)</f>
        <v>4226.26697416</v>
      </c>
      <c r="T109" s="32" t="n">
        <f aca="false">R109*(1-VolumeDiscount)</f>
        <v>3842.0608856</v>
      </c>
    </row>
    <row r="110" customFormat="false" ht="15" hidden="false" customHeight="false" outlineLevel="0" collapsed="false">
      <c r="A110" s="25" t="s">
        <v>416</v>
      </c>
      <c r="B110" s="25" t="s">
        <v>96</v>
      </c>
      <c r="C110" s="25" t="s">
        <v>41</v>
      </c>
      <c r="D110" s="25" t="s">
        <v>417</v>
      </c>
      <c r="E110" s="25" t="s">
        <v>361</v>
      </c>
      <c r="F110" s="25" t="s">
        <v>234</v>
      </c>
      <c r="G110" s="25" t="s">
        <v>39</v>
      </c>
      <c r="H110" s="25" t="s">
        <v>64</v>
      </c>
      <c r="I110" s="25" t="s">
        <v>190</v>
      </c>
      <c r="J110" s="25" t="s">
        <v>191</v>
      </c>
      <c r="K110" s="25" t="s">
        <v>192</v>
      </c>
      <c r="L110" s="25" t="s">
        <v>29</v>
      </c>
      <c r="M110" s="25" t="n">
        <v>1209</v>
      </c>
      <c r="N110" s="25" t="n">
        <v>909</v>
      </c>
      <c r="O110" s="25"/>
      <c r="P110" s="26" t="n">
        <f aca="false">(M110*N110/1000000)*(INDEX(AreaRate_Vals,MATCH(C110,AreaRate_Keys,0))+IFERROR(INDEX(GlazingUpg_Vals,MATCH(H110,GlazingUpg_Keys,0)),0))+INDEX(Hardware_Vals,MATCH("Windows",Hardware_Keys,0))</f>
        <v>3382.09585</v>
      </c>
      <c r="Q110" s="27" t="n">
        <f aca="false">INDEX(Markup_Vals,MATCH("Windows",MarkupCat_Keys,0))</f>
        <v>0.42</v>
      </c>
      <c r="R110" s="28" t="n">
        <f aca="false">P110*(1+Q110)</f>
        <v>4802.576107</v>
      </c>
      <c r="S110" s="28" t="n">
        <f aca="false">R110*(1-TradeDiscount)</f>
        <v>4226.26697416</v>
      </c>
      <c r="T110" s="28" t="n">
        <f aca="false">R110*(1-VolumeDiscount)</f>
        <v>3842.0608856</v>
      </c>
    </row>
    <row r="111" customFormat="false" ht="15" hidden="false" customHeight="false" outlineLevel="0" collapsed="false">
      <c r="A111" s="29" t="s">
        <v>418</v>
      </c>
      <c r="B111" s="29" t="s">
        <v>96</v>
      </c>
      <c r="C111" s="29" t="s">
        <v>41</v>
      </c>
      <c r="D111" s="29" t="s">
        <v>419</v>
      </c>
      <c r="E111" s="29" t="s">
        <v>361</v>
      </c>
      <c r="F111" s="29" t="s">
        <v>234</v>
      </c>
      <c r="G111" s="29" t="s">
        <v>38</v>
      </c>
      <c r="H111" s="29" t="s">
        <v>64</v>
      </c>
      <c r="I111" s="29" t="s">
        <v>190</v>
      </c>
      <c r="J111" s="29" t="s">
        <v>191</v>
      </c>
      <c r="K111" s="29" t="s">
        <v>192</v>
      </c>
      <c r="L111" s="29" t="s">
        <v>29</v>
      </c>
      <c r="M111" s="29" t="n">
        <v>1209</v>
      </c>
      <c r="N111" s="29" t="n">
        <v>909</v>
      </c>
      <c r="O111" s="29"/>
      <c r="P111" s="30" t="n">
        <f aca="false">(M111*N111/1000000)*(INDEX(AreaRate_Vals,MATCH(C111,AreaRate_Keys,0))+IFERROR(INDEX(GlazingUpg_Vals,MATCH(H111,GlazingUpg_Keys,0)),0))+INDEX(Hardware_Vals,MATCH("Windows",Hardware_Keys,0))</f>
        <v>3382.09585</v>
      </c>
      <c r="Q111" s="31" t="n">
        <f aca="false">INDEX(Markup_Vals,MATCH("Windows",MarkupCat_Keys,0))</f>
        <v>0.42</v>
      </c>
      <c r="R111" s="32" t="n">
        <f aca="false">P111*(1+Q111)</f>
        <v>4802.576107</v>
      </c>
      <c r="S111" s="32" t="n">
        <f aca="false">R111*(1-TradeDiscount)</f>
        <v>4226.26697416</v>
      </c>
      <c r="T111" s="32" t="n">
        <f aca="false">R111*(1-VolumeDiscount)</f>
        <v>3842.0608856</v>
      </c>
    </row>
    <row r="112" customFormat="false" ht="15" hidden="false" customHeight="false" outlineLevel="0" collapsed="false">
      <c r="A112" s="25" t="s">
        <v>420</v>
      </c>
      <c r="B112" s="25" t="s">
        <v>96</v>
      </c>
      <c r="C112" s="25" t="s">
        <v>41</v>
      </c>
      <c r="D112" s="25" t="s">
        <v>421</v>
      </c>
      <c r="E112" s="25" t="s">
        <v>361</v>
      </c>
      <c r="F112" s="25" t="s">
        <v>255</v>
      </c>
      <c r="G112" s="25" t="s">
        <v>35</v>
      </c>
      <c r="H112" s="25" t="s">
        <v>63</v>
      </c>
      <c r="I112" s="25" t="s">
        <v>190</v>
      </c>
      <c r="J112" s="25" t="s">
        <v>191</v>
      </c>
      <c r="K112" s="25" t="s">
        <v>192</v>
      </c>
      <c r="L112" s="25" t="s">
        <v>29</v>
      </c>
      <c r="M112" s="25" t="n">
        <v>1809</v>
      </c>
      <c r="N112" s="25" t="n">
        <v>909</v>
      </c>
      <c r="O112" s="25"/>
      <c r="P112" s="26" t="n">
        <f aca="false">(M112*N112/1000000)*(INDEX(AreaRate_Vals,MATCH(C112,AreaRate_Keys,0))+IFERROR(INDEX(GlazingUpg_Vals,MATCH(H112,GlazingUpg_Keys,0)),0))+INDEX(Hardware_Vals,MATCH("Windows",Hardware_Keys,0))</f>
        <v>4032.0763</v>
      </c>
      <c r="Q112" s="27" t="n">
        <f aca="false">INDEX(Markup_Vals,MATCH("Windows",MarkupCat_Keys,0))</f>
        <v>0.42</v>
      </c>
      <c r="R112" s="28" t="n">
        <f aca="false">P112*(1+Q112)</f>
        <v>5725.548346</v>
      </c>
      <c r="S112" s="28" t="n">
        <f aca="false">R112*(1-TradeDiscount)</f>
        <v>5038.48254448</v>
      </c>
      <c r="T112" s="28" t="n">
        <f aca="false">R112*(1-VolumeDiscount)</f>
        <v>4580.4386768</v>
      </c>
    </row>
    <row r="113" customFormat="false" ht="15" hidden="false" customHeight="false" outlineLevel="0" collapsed="false">
      <c r="A113" s="29" t="s">
        <v>422</v>
      </c>
      <c r="B113" s="29" t="s">
        <v>96</v>
      </c>
      <c r="C113" s="29" t="s">
        <v>41</v>
      </c>
      <c r="D113" s="29" t="s">
        <v>423</v>
      </c>
      <c r="E113" s="29" t="s">
        <v>361</v>
      </c>
      <c r="F113" s="29" t="s">
        <v>255</v>
      </c>
      <c r="G113" s="29" t="s">
        <v>36</v>
      </c>
      <c r="H113" s="29" t="s">
        <v>63</v>
      </c>
      <c r="I113" s="29" t="s">
        <v>190</v>
      </c>
      <c r="J113" s="29" t="s">
        <v>191</v>
      </c>
      <c r="K113" s="29" t="s">
        <v>192</v>
      </c>
      <c r="L113" s="29" t="s">
        <v>29</v>
      </c>
      <c r="M113" s="29" t="n">
        <v>1809</v>
      </c>
      <c r="N113" s="29" t="n">
        <v>909</v>
      </c>
      <c r="O113" s="29"/>
      <c r="P113" s="30" t="n">
        <f aca="false">(M113*N113/1000000)*(INDEX(AreaRate_Vals,MATCH(C113,AreaRate_Keys,0))+IFERROR(INDEX(GlazingUpg_Vals,MATCH(H113,GlazingUpg_Keys,0)),0))+INDEX(Hardware_Vals,MATCH("Windows",Hardware_Keys,0))</f>
        <v>4032.0763</v>
      </c>
      <c r="Q113" s="31" t="n">
        <f aca="false">INDEX(Markup_Vals,MATCH("Windows",MarkupCat_Keys,0))</f>
        <v>0.42</v>
      </c>
      <c r="R113" s="32" t="n">
        <f aca="false">P113*(1+Q113)</f>
        <v>5725.548346</v>
      </c>
      <c r="S113" s="32" t="n">
        <f aca="false">R113*(1-TradeDiscount)</f>
        <v>5038.48254448</v>
      </c>
      <c r="T113" s="32" t="n">
        <f aca="false">R113*(1-VolumeDiscount)</f>
        <v>4580.4386768</v>
      </c>
    </row>
    <row r="114" customFormat="false" ht="15" hidden="false" customHeight="false" outlineLevel="0" collapsed="false">
      <c r="A114" s="25" t="s">
        <v>424</v>
      </c>
      <c r="B114" s="25" t="s">
        <v>96</v>
      </c>
      <c r="C114" s="25" t="s">
        <v>41</v>
      </c>
      <c r="D114" s="25" t="s">
        <v>425</v>
      </c>
      <c r="E114" s="25" t="s">
        <v>361</v>
      </c>
      <c r="F114" s="25" t="s">
        <v>255</v>
      </c>
      <c r="G114" s="25" t="s">
        <v>37</v>
      </c>
      <c r="H114" s="25" t="s">
        <v>63</v>
      </c>
      <c r="I114" s="25" t="s">
        <v>190</v>
      </c>
      <c r="J114" s="25" t="s">
        <v>191</v>
      </c>
      <c r="K114" s="25" t="s">
        <v>192</v>
      </c>
      <c r="L114" s="25" t="s">
        <v>29</v>
      </c>
      <c r="M114" s="25" t="n">
        <v>1809</v>
      </c>
      <c r="N114" s="25" t="n">
        <v>909</v>
      </c>
      <c r="O114" s="25"/>
      <c r="P114" s="26" t="n">
        <f aca="false">(M114*N114/1000000)*(INDEX(AreaRate_Vals,MATCH(C114,AreaRate_Keys,0))+IFERROR(INDEX(GlazingUpg_Vals,MATCH(H114,GlazingUpg_Keys,0)),0))+INDEX(Hardware_Vals,MATCH("Windows",Hardware_Keys,0))</f>
        <v>4032.0763</v>
      </c>
      <c r="Q114" s="27" t="n">
        <f aca="false">INDEX(Markup_Vals,MATCH("Windows",MarkupCat_Keys,0))</f>
        <v>0.42</v>
      </c>
      <c r="R114" s="28" t="n">
        <f aca="false">P114*(1+Q114)</f>
        <v>5725.548346</v>
      </c>
      <c r="S114" s="28" t="n">
        <f aca="false">R114*(1-TradeDiscount)</f>
        <v>5038.48254448</v>
      </c>
      <c r="T114" s="28" t="n">
        <f aca="false">R114*(1-VolumeDiscount)</f>
        <v>4580.4386768</v>
      </c>
    </row>
    <row r="115" customFormat="false" ht="15" hidden="false" customHeight="false" outlineLevel="0" collapsed="false">
      <c r="A115" s="29" t="s">
        <v>426</v>
      </c>
      <c r="B115" s="29" t="s">
        <v>96</v>
      </c>
      <c r="C115" s="29" t="s">
        <v>41</v>
      </c>
      <c r="D115" s="29" t="s">
        <v>427</v>
      </c>
      <c r="E115" s="29" t="s">
        <v>361</v>
      </c>
      <c r="F115" s="29" t="s">
        <v>255</v>
      </c>
      <c r="G115" s="29" t="s">
        <v>39</v>
      </c>
      <c r="H115" s="29" t="s">
        <v>63</v>
      </c>
      <c r="I115" s="29" t="s">
        <v>190</v>
      </c>
      <c r="J115" s="29" t="s">
        <v>191</v>
      </c>
      <c r="K115" s="29" t="s">
        <v>192</v>
      </c>
      <c r="L115" s="29" t="s">
        <v>29</v>
      </c>
      <c r="M115" s="29" t="n">
        <v>1809</v>
      </c>
      <c r="N115" s="29" t="n">
        <v>909</v>
      </c>
      <c r="O115" s="29"/>
      <c r="P115" s="30" t="n">
        <f aca="false">(M115*N115/1000000)*(INDEX(AreaRate_Vals,MATCH(C115,AreaRate_Keys,0))+IFERROR(INDEX(GlazingUpg_Vals,MATCH(H115,GlazingUpg_Keys,0)),0))+INDEX(Hardware_Vals,MATCH("Windows",Hardware_Keys,0))</f>
        <v>4032.0763</v>
      </c>
      <c r="Q115" s="31" t="n">
        <f aca="false">INDEX(Markup_Vals,MATCH("Windows",MarkupCat_Keys,0))</f>
        <v>0.42</v>
      </c>
      <c r="R115" s="32" t="n">
        <f aca="false">P115*(1+Q115)</f>
        <v>5725.548346</v>
      </c>
      <c r="S115" s="32" t="n">
        <f aca="false">R115*(1-TradeDiscount)</f>
        <v>5038.48254448</v>
      </c>
      <c r="T115" s="32" t="n">
        <f aca="false">R115*(1-VolumeDiscount)</f>
        <v>4580.4386768</v>
      </c>
    </row>
    <row r="116" customFormat="false" ht="15" hidden="false" customHeight="false" outlineLevel="0" collapsed="false">
      <c r="A116" s="25" t="s">
        <v>428</v>
      </c>
      <c r="B116" s="25" t="s">
        <v>96</v>
      </c>
      <c r="C116" s="25" t="s">
        <v>41</v>
      </c>
      <c r="D116" s="25" t="s">
        <v>429</v>
      </c>
      <c r="E116" s="25" t="s">
        <v>361</v>
      </c>
      <c r="F116" s="25" t="s">
        <v>255</v>
      </c>
      <c r="G116" s="25" t="s">
        <v>38</v>
      </c>
      <c r="H116" s="25" t="s">
        <v>63</v>
      </c>
      <c r="I116" s="25" t="s">
        <v>190</v>
      </c>
      <c r="J116" s="25" t="s">
        <v>191</v>
      </c>
      <c r="K116" s="25" t="s">
        <v>192</v>
      </c>
      <c r="L116" s="25" t="s">
        <v>29</v>
      </c>
      <c r="M116" s="25" t="n">
        <v>1809</v>
      </c>
      <c r="N116" s="25" t="n">
        <v>909</v>
      </c>
      <c r="O116" s="25"/>
      <c r="P116" s="26" t="n">
        <f aca="false">(M116*N116/1000000)*(INDEX(AreaRate_Vals,MATCH(C116,AreaRate_Keys,0))+IFERROR(INDEX(GlazingUpg_Vals,MATCH(H116,GlazingUpg_Keys,0)),0))+INDEX(Hardware_Vals,MATCH("Windows",Hardware_Keys,0))</f>
        <v>4032.0763</v>
      </c>
      <c r="Q116" s="27" t="n">
        <f aca="false">INDEX(Markup_Vals,MATCH("Windows",MarkupCat_Keys,0))</f>
        <v>0.42</v>
      </c>
      <c r="R116" s="28" t="n">
        <f aca="false">P116*(1+Q116)</f>
        <v>5725.548346</v>
      </c>
      <c r="S116" s="28" t="n">
        <f aca="false">R116*(1-TradeDiscount)</f>
        <v>5038.48254448</v>
      </c>
      <c r="T116" s="28" t="n">
        <f aca="false">R116*(1-VolumeDiscount)</f>
        <v>4580.4386768</v>
      </c>
    </row>
    <row r="117" customFormat="false" ht="15" hidden="false" customHeight="false" outlineLevel="0" collapsed="false">
      <c r="A117" s="29" t="s">
        <v>430</v>
      </c>
      <c r="B117" s="29" t="s">
        <v>96</v>
      </c>
      <c r="C117" s="29" t="s">
        <v>41</v>
      </c>
      <c r="D117" s="29" t="s">
        <v>431</v>
      </c>
      <c r="E117" s="29" t="s">
        <v>361</v>
      </c>
      <c r="F117" s="29" t="s">
        <v>255</v>
      </c>
      <c r="G117" s="29" t="s">
        <v>35</v>
      </c>
      <c r="H117" s="29" t="s">
        <v>64</v>
      </c>
      <c r="I117" s="29" t="s">
        <v>190</v>
      </c>
      <c r="J117" s="29" t="s">
        <v>191</v>
      </c>
      <c r="K117" s="29" t="s">
        <v>192</v>
      </c>
      <c r="L117" s="29" t="s">
        <v>29</v>
      </c>
      <c r="M117" s="29" t="n">
        <v>1809</v>
      </c>
      <c r="N117" s="29" t="n">
        <v>909</v>
      </c>
      <c r="O117" s="29"/>
      <c r="P117" s="30" t="n">
        <f aca="false">(M117*N117/1000000)*(INDEX(AreaRate_Vals,MATCH(C117,AreaRate_Keys,0))+IFERROR(INDEX(GlazingUpg_Vals,MATCH(H117,GlazingUpg_Keys,0)),0))+INDEX(Hardware_Vals,MATCH("Windows",Hardware_Keys,0))</f>
        <v>4936.48585</v>
      </c>
      <c r="Q117" s="31" t="n">
        <f aca="false">INDEX(Markup_Vals,MATCH("Windows",MarkupCat_Keys,0))</f>
        <v>0.42</v>
      </c>
      <c r="R117" s="32" t="n">
        <f aca="false">P117*(1+Q117)</f>
        <v>7009.809907</v>
      </c>
      <c r="S117" s="32" t="n">
        <f aca="false">R117*(1-TradeDiscount)</f>
        <v>6168.63271816</v>
      </c>
      <c r="T117" s="32" t="n">
        <f aca="false">R117*(1-VolumeDiscount)</f>
        <v>5607.8479256</v>
      </c>
    </row>
    <row r="118" customFormat="false" ht="15" hidden="false" customHeight="false" outlineLevel="0" collapsed="false">
      <c r="A118" s="25" t="s">
        <v>432</v>
      </c>
      <c r="B118" s="25" t="s">
        <v>96</v>
      </c>
      <c r="C118" s="25" t="s">
        <v>41</v>
      </c>
      <c r="D118" s="25" t="s">
        <v>433</v>
      </c>
      <c r="E118" s="25" t="s">
        <v>361</v>
      </c>
      <c r="F118" s="25" t="s">
        <v>255</v>
      </c>
      <c r="G118" s="25" t="s">
        <v>36</v>
      </c>
      <c r="H118" s="25" t="s">
        <v>64</v>
      </c>
      <c r="I118" s="25" t="s">
        <v>190</v>
      </c>
      <c r="J118" s="25" t="s">
        <v>191</v>
      </c>
      <c r="K118" s="25" t="s">
        <v>192</v>
      </c>
      <c r="L118" s="25" t="s">
        <v>29</v>
      </c>
      <c r="M118" s="25" t="n">
        <v>1809</v>
      </c>
      <c r="N118" s="25" t="n">
        <v>909</v>
      </c>
      <c r="O118" s="25"/>
      <c r="P118" s="26" t="n">
        <f aca="false">(M118*N118/1000000)*(INDEX(AreaRate_Vals,MATCH(C118,AreaRate_Keys,0))+IFERROR(INDEX(GlazingUpg_Vals,MATCH(H118,GlazingUpg_Keys,0)),0))+INDEX(Hardware_Vals,MATCH("Windows",Hardware_Keys,0))</f>
        <v>4936.48585</v>
      </c>
      <c r="Q118" s="27" t="n">
        <f aca="false">INDEX(Markup_Vals,MATCH("Windows",MarkupCat_Keys,0))</f>
        <v>0.42</v>
      </c>
      <c r="R118" s="28" t="n">
        <f aca="false">P118*(1+Q118)</f>
        <v>7009.809907</v>
      </c>
      <c r="S118" s="28" t="n">
        <f aca="false">R118*(1-TradeDiscount)</f>
        <v>6168.63271816</v>
      </c>
      <c r="T118" s="28" t="n">
        <f aca="false">R118*(1-VolumeDiscount)</f>
        <v>5607.8479256</v>
      </c>
    </row>
    <row r="119" customFormat="false" ht="15" hidden="false" customHeight="false" outlineLevel="0" collapsed="false">
      <c r="A119" s="29" t="s">
        <v>434</v>
      </c>
      <c r="B119" s="29" t="s">
        <v>96</v>
      </c>
      <c r="C119" s="29" t="s">
        <v>41</v>
      </c>
      <c r="D119" s="29" t="s">
        <v>435</v>
      </c>
      <c r="E119" s="29" t="s">
        <v>361</v>
      </c>
      <c r="F119" s="29" t="s">
        <v>255</v>
      </c>
      <c r="G119" s="29" t="s">
        <v>37</v>
      </c>
      <c r="H119" s="29" t="s">
        <v>64</v>
      </c>
      <c r="I119" s="29" t="s">
        <v>190</v>
      </c>
      <c r="J119" s="29" t="s">
        <v>191</v>
      </c>
      <c r="K119" s="29" t="s">
        <v>192</v>
      </c>
      <c r="L119" s="29" t="s">
        <v>29</v>
      </c>
      <c r="M119" s="29" t="n">
        <v>1809</v>
      </c>
      <c r="N119" s="29" t="n">
        <v>909</v>
      </c>
      <c r="O119" s="29"/>
      <c r="P119" s="30" t="n">
        <f aca="false">(M119*N119/1000000)*(INDEX(AreaRate_Vals,MATCH(C119,AreaRate_Keys,0))+IFERROR(INDEX(GlazingUpg_Vals,MATCH(H119,GlazingUpg_Keys,0)),0))+INDEX(Hardware_Vals,MATCH("Windows",Hardware_Keys,0))</f>
        <v>4936.48585</v>
      </c>
      <c r="Q119" s="31" t="n">
        <f aca="false">INDEX(Markup_Vals,MATCH("Windows",MarkupCat_Keys,0))</f>
        <v>0.42</v>
      </c>
      <c r="R119" s="32" t="n">
        <f aca="false">P119*(1+Q119)</f>
        <v>7009.809907</v>
      </c>
      <c r="S119" s="32" t="n">
        <f aca="false">R119*(1-TradeDiscount)</f>
        <v>6168.63271816</v>
      </c>
      <c r="T119" s="32" t="n">
        <f aca="false">R119*(1-VolumeDiscount)</f>
        <v>5607.8479256</v>
      </c>
    </row>
    <row r="120" customFormat="false" ht="15" hidden="false" customHeight="false" outlineLevel="0" collapsed="false">
      <c r="A120" s="25" t="s">
        <v>436</v>
      </c>
      <c r="B120" s="25" t="s">
        <v>96</v>
      </c>
      <c r="C120" s="25" t="s">
        <v>41</v>
      </c>
      <c r="D120" s="25" t="s">
        <v>437</v>
      </c>
      <c r="E120" s="25" t="s">
        <v>361</v>
      </c>
      <c r="F120" s="25" t="s">
        <v>255</v>
      </c>
      <c r="G120" s="25" t="s">
        <v>39</v>
      </c>
      <c r="H120" s="25" t="s">
        <v>64</v>
      </c>
      <c r="I120" s="25" t="s">
        <v>190</v>
      </c>
      <c r="J120" s="25" t="s">
        <v>191</v>
      </c>
      <c r="K120" s="25" t="s">
        <v>192</v>
      </c>
      <c r="L120" s="25" t="s">
        <v>29</v>
      </c>
      <c r="M120" s="25" t="n">
        <v>1809</v>
      </c>
      <c r="N120" s="25" t="n">
        <v>909</v>
      </c>
      <c r="O120" s="25"/>
      <c r="P120" s="26" t="n">
        <f aca="false">(M120*N120/1000000)*(INDEX(AreaRate_Vals,MATCH(C120,AreaRate_Keys,0))+IFERROR(INDEX(GlazingUpg_Vals,MATCH(H120,GlazingUpg_Keys,0)),0))+INDEX(Hardware_Vals,MATCH("Windows",Hardware_Keys,0))</f>
        <v>4936.48585</v>
      </c>
      <c r="Q120" s="27" t="n">
        <f aca="false">INDEX(Markup_Vals,MATCH("Windows",MarkupCat_Keys,0))</f>
        <v>0.42</v>
      </c>
      <c r="R120" s="28" t="n">
        <f aca="false">P120*(1+Q120)</f>
        <v>7009.809907</v>
      </c>
      <c r="S120" s="28" t="n">
        <f aca="false">R120*(1-TradeDiscount)</f>
        <v>6168.63271816</v>
      </c>
      <c r="T120" s="28" t="n">
        <f aca="false">R120*(1-VolumeDiscount)</f>
        <v>5607.8479256</v>
      </c>
    </row>
    <row r="121" customFormat="false" ht="15" hidden="false" customHeight="false" outlineLevel="0" collapsed="false">
      <c r="A121" s="29" t="s">
        <v>438</v>
      </c>
      <c r="B121" s="29" t="s">
        <v>96</v>
      </c>
      <c r="C121" s="29" t="s">
        <v>41</v>
      </c>
      <c r="D121" s="29" t="s">
        <v>439</v>
      </c>
      <c r="E121" s="29" t="s">
        <v>361</v>
      </c>
      <c r="F121" s="29" t="s">
        <v>255</v>
      </c>
      <c r="G121" s="29" t="s">
        <v>38</v>
      </c>
      <c r="H121" s="29" t="s">
        <v>64</v>
      </c>
      <c r="I121" s="29" t="s">
        <v>190</v>
      </c>
      <c r="J121" s="29" t="s">
        <v>191</v>
      </c>
      <c r="K121" s="29" t="s">
        <v>192</v>
      </c>
      <c r="L121" s="29" t="s">
        <v>29</v>
      </c>
      <c r="M121" s="29" t="n">
        <v>1809</v>
      </c>
      <c r="N121" s="29" t="n">
        <v>909</v>
      </c>
      <c r="O121" s="29"/>
      <c r="P121" s="30" t="n">
        <f aca="false">(M121*N121/1000000)*(INDEX(AreaRate_Vals,MATCH(C121,AreaRate_Keys,0))+IFERROR(INDEX(GlazingUpg_Vals,MATCH(H121,GlazingUpg_Keys,0)),0))+INDEX(Hardware_Vals,MATCH("Windows",Hardware_Keys,0))</f>
        <v>4936.48585</v>
      </c>
      <c r="Q121" s="31" t="n">
        <f aca="false">INDEX(Markup_Vals,MATCH("Windows",MarkupCat_Keys,0))</f>
        <v>0.42</v>
      </c>
      <c r="R121" s="32" t="n">
        <f aca="false">P121*(1+Q121)</f>
        <v>7009.809907</v>
      </c>
      <c r="S121" s="32" t="n">
        <f aca="false">R121*(1-TradeDiscount)</f>
        <v>6168.63271816</v>
      </c>
      <c r="T121" s="32" t="n">
        <f aca="false">R121*(1-VolumeDiscount)</f>
        <v>5607.8479256</v>
      </c>
    </row>
    <row r="122" customFormat="false" ht="15" hidden="false" customHeight="false" outlineLevel="0" collapsed="false">
      <c r="A122" s="25" t="s">
        <v>440</v>
      </c>
      <c r="B122" s="25" t="s">
        <v>96</v>
      </c>
      <c r="C122" s="25" t="s">
        <v>41</v>
      </c>
      <c r="D122" s="25" t="s">
        <v>441</v>
      </c>
      <c r="E122" s="25" t="s">
        <v>361</v>
      </c>
      <c r="F122" s="25" t="s">
        <v>276</v>
      </c>
      <c r="G122" s="25" t="s">
        <v>35</v>
      </c>
      <c r="H122" s="25" t="s">
        <v>63</v>
      </c>
      <c r="I122" s="25" t="s">
        <v>190</v>
      </c>
      <c r="J122" s="25" t="s">
        <v>191</v>
      </c>
      <c r="K122" s="25" t="s">
        <v>192</v>
      </c>
      <c r="L122" s="25" t="s">
        <v>29</v>
      </c>
      <c r="M122" s="25" t="n">
        <v>1809</v>
      </c>
      <c r="N122" s="25" t="n">
        <v>1209</v>
      </c>
      <c r="O122" s="25"/>
      <c r="P122" s="26" t="n">
        <f aca="false">(M122*N122/1000000)*(INDEX(AreaRate_Vals,MATCH(C122,AreaRate_Keys,0))+IFERROR(INDEX(GlazingUpg_Vals,MATCH(H122,GlazingUpg_Keys,0)),0))+INDEX(Hardware_Vals,MATCH("Windows",Hardware_Keys,0))</f>
        <v>5280.2863</v>
      </c>
      <c r="Q122" s="27" t="n">
        <f aca="false">INDEX(Markup_Vals,MATCH("Windows",MarkupCat_Keys,0))</f>
        <v>0.42</v>
      </c>
      <c r="R122" s="28" t="n">
        <f aca="false">P122*(1+Q122)</f>
        <v>7498.006546</v>
      </c>
      <c r="S122" s="28" t="n">
        <f aca="false">R122*(1-TradeDiscount)</f>
        <v>6598.24576048</v>
      </c>
      <c r="T122" s="28" t="n">
        <f aca="false">R122*(1-VolumeDiscount)</f>
        <v>5998.4052368</v>
      </c>
    </row>
    <row r="123" customFormat="false" ht="15" hidden="false" customHeight="false" outlineLevel="0" collapsed="false">
      <c r="A123" s="29" t="s">
        <v>442</v>
      </c>
      <c r="B123" s="29" t="s">
        <v>96</v>
      </c>
      <c r="C123" s="29" t="s">
        <v>41</v>
      </c>
      <c r="D123" s="29" t="s">
        <v>443</v>
      </c>
      <c r="E123" s="29" t="s">
        <v>361</v>
      </c>
      <c r="F123" s="29" t="s">
        <v>276</v>
      </c>
      <c r="G123" s="29" t="s">
        <v>36</v>
      </c>
      <c r="H123" s="29" t="s">
        <v>63</v>
      </c>
      <c r="I123" s="29" t="s">
        <v>190</v>
      </c>
      <c r="J123" s="29" t="s">
        <v>191</v>
      </c>
      <c r="K123" s="29" t="s">
        <v>192</v>
      </c>
      <c r="L123" s="29" t="s">
        <v>29</v>
      </c>
      <c r="M123" s="29" t="n">
        <v>1809</v>
      </c>
      <c r="N123" s="29" t="n">
        <v>1209</v>
      </c>
      <c r="O123" s="29"/>
      <c r="P123" s="30" t="n">
        <f aca="false">(M123*N123/1000000)*(INDEX(AreaRate_Vals,MATCH(C123,AreaRate_Keys,0))+IFERROR(INDEX(GlazingUpg_Vals,MATCH(H123,GlazingUpg_Keys,0)),0))+INDEX(Hardware_Vals,MATCH("Windows",Hardware_Keys,0))</f>
        <v>5280.2863</v>
      </c>
      <c r="Q123" s="31" t="n">
        <f aca="false">INDEX(Markup_Vals,MATCH("Windows",MarkupCat_Keys,0))</f>
        <v>0.42</v>
      </c>
      <c r="R123" s="32" t="n">
        <f aca="false">P123*(1+Q123)</f>
        <v>7498.006546</v>
      </c>
      <c r="S123" s="32" t="n">
        <f aca="false">R123*(1-TradeDiscount)</f>
        <v>6598.24576048</v>
      </c>
      <c r="T123" s="32" t="n">
        <f aca="false">R123*(1-VolumeDiscount)</f>
        <v>5998.4052368</v>
      </c>
    </row>
    <row r="124" customFormat="false" ht="15" hidden="false" customHeight="false" outlineLevel="0" collapsed="false">
      <c r="A124" s="25" t="s">
        <v>444</v>
      </c>
      <c r="B124" s="25" t="s">
        <v>96</v>
      </c>
      <c r="C124" s="25" t="s">
        <v>41</v>
      </c>
      <c r="D124" s="25" t="s">
        <v>445</v>
      </c>
      <c r="E124" s="25" t="s">
        <v>361</v>
      </c>
      <c r="F124" s="25" t="s">
        <v>276</v>
      </c>
      <c r="G124" s="25" t="s">
        <v>37</v>
      </c>
      <c r="H124" s="25" t="s">
        <v>63</v>
      </c>
      <c r="I124" s="25" t="s">
        <v>190</v>
      </c>
      <c r="J124" s="25" t="s">
        <v>191</v>
      </c>
      <c r="K124" s="25" t="s">
        <v>192</v>
      </c>
      <c r="L124" s="25" t="s">
        <v>29</v>
      </c>
      <c r="M124" s="25" t="n">
        <v>1809</v>
      </c>
      <c r="N124" s="25" t="n">
        <v>1209</v>
      </c>
      <c r="O124" s="25"/>
      <c r="P124" s="26" t="n">
        <f aca="false">(M124*N124/1000000)*(INDEX(AreaRate_Vals,MATCH(C124,AreaRate_Keys,0))+IFERROR(INDEX(GlazingUpg_Vals,MATCH(H124,GlazingUpg_Keys,0)),0))+INDEX(Hardware_Vals,MATCH("Windows",Hardware_Keys,0))</f>
        <v>5280.2863</v>
      </c>
      <c r="Q124" s="27" t="n">
        <f aca="false">INDEX(Markup_Vals,MATCH("Windows",MarkupCat_Keys,0))</f>
        <v>0.42</v>
      </c>
      <c r="R124" s="28" t="n">
        <f aca="false">P124*(1+Q124)</f>
        <v>7498.006546</v>
      </c>
      <c r="S124" s="28" t="n">
        <f aca="false">R124*(1-TradeDiscount)</f>
        <v>6598.24576048</v>
      </c>
      <c r="T124" s="28" t="n">
        <f aca="false">R124*(1-VolumeDiscount)</f>
        <v>5998.4052368</v>
      </c>
    </row>
    <row r="125" customFormat="false" ht="15" hidden="false" customHeight="false" outlineLevel="0" collapsed="false">
      <c r="A125" s="29" t="s">
        <v>446</v>
      </c>
      <c r="B125" s="29" t="s">
        <v>96</v>
      </c>
      <c r="C125" s="29" t="s">
        <v>41</v>
      </c>
      <c r="D125" s="29" t="s">
        <v>447</v>
      </c>
      <c r="E125" s="29" t="s">
        <v>361</v>
      </c>
      <c r="F125" s="29" t="s">
        <v>276</v>
      </c>
      <c r="G125" s="29" t="s">
        <v>39</v>
      </c>
      <c r="H125" s="29" t="s">
        <v>63</v>
      </c>
      <c r="I125" s="29" t="s">
        <v>190</v>
      </c>
      <c r="J125" s="29" t="s">
        <v>191</v>
      </c>
      <c r="K125" s="29" t="s">
        <v>192</v>
      </c>
      <c r="L125" s="29" t="s">
        <v>29</v>
      </c>
      <c r="M125" s="29" t="n">
        <v>1809</v>
      </c>
      <c r="N125" s="29" t="n">
        <v>1209</v>
      </c>
      <c r="O125" s="29"/>
      <c r="P125" s="30" t="n">
        <f aca="false">(M125*N125/1000000)*(INDEX(AreaRate_Vals,MATCH(C125,AreaRate_Keys,0))+IFERROR(INDEX(GlazingUpg_Vals,MATCH(H125,GlazingUpg_Keys,0)),0))+INDEX(Hardware_Vals,MATCH("Windows",Hardware_Keys,0))</f>
        <v>5280.2863</v>
      </c>
      <c r="Q125" s="31" t="n">
        <f aca="false">INDEX(Markup_Vals,MATCH("Windows",MarkupCat_Keys,0))</f>
        <v>0.42</v>
      </c>
      <c r="R125" s="32" t="n">
        <f aca="false">P125*(1+Q125)</f>
        <v>7498.006546</v>
      </c>
      <c r="S125" s="32" t="n">
        <f aca="false">R125*(1-TradeDiscount)</f>
        <v>6598.24576048</v>
      </c>
      <c r="T125" s="32" t="n">
        <f aca="false">R125*(1-VolumeDiscount)</f>
        <v>5998.4052368</v>
      </c>
    </row>
    <row r="126" customFormat="false" ht="15" hidden="false" customHeight="false" outlineLevel="0" collapsed="false">
      <c r="A126" s="25" t="s">
        <v>448</v>
      </c>
      <c r="B126" s="25" t="s">
        <v>96</v>
      </c>
      <c r="C126" s="25" t="s">
        <v>41</v>
      </c>
      <c r="D126" s="25" t="s">
        <v>449</v>
      </c>
      <c r="E126" s="25" t="s">
        <v>361</v>
      </c>
      <c r="F126" s="25" t="s">
        <v>276</v>
      </c>
      <c r="G126" s="25" t="s">
        <v>38</v>
      </c>
      <c r="H126" s="25" t="s">
        <v>63</v>
      </c>
      <c r="I126" s="25" t="s">
        <v>190</v>
      </c>
      <c r="J126" s="25" t="s">
        <v>191</v>
      </c>
      <c r="K126" s="25" t="s">
        <v>192</v>
      </c>
      <c r="L126" s="25" t="s">
        <v>29</v>
      </c>
      <c r="M126" s="25" t="n">
        <v>1809</v>
      </c>
      <c r="N126" s="25" t="n">
        <v>1209</v>
      </c>
      <c r="O126" s="25"/>
      <c r="P126" s="26" t="n">
        <f aca="false">(M126*N126/1000000)*(INDEX(AreaRate_Vals,MATCH(C126,AreaRate_Keys,0))+IFERROR(INDEX(GlazingUpg_Vals,MATCH(H126,GlazingUpg_Keys,0)),0))+INDEX(Hardware_Vals,MATCH("Windows",Hardware_Keys,0))</f>
        <v>5280.2863</v>
      </c>
      <c r="Q126" s="27" t="n">
        <f aca="false">INDEX(Markup_Vals,MATCH("Windows",MarkupCat_Keys,0))</f>
        <v>0.42</v>
      </c>
      <c r="R126" s="28" t="n">
        <f aca="false">P126*(1+Q126)</f>
        <v>7498.006546</v>
      </c>
      <c r="S126" s="28" t="n">
        <f aca="false">R126*(1-TradeDiscount)</f>
        <v>6598.24576048</v>
      </c>
      <c r="T126" s="28" t="n">
        <f aca="false">R126*(1-VolumeDiscount)</f>
        <v>5998.4052368</v>
      </c>
    </row>
    <row r="127" customFormat="false" ht="15" hidden="false" customHeight="false" outlineLevel="0" collapsed="false">
      <c r="A127" s="29" t="s">
        <v>450</v>
      </c>
      <c r="B127" s="29" t="s">
        <v>96</v>
      </c>
      <c r="C127" s="29" t="s">
        <v>41</v>
      </c>
      <c r="D127" s="29" t="s">
        <v>451</v>
      </c>
      <c r="E127" s="29" t="s">
        <v>361</v>
      </c>
      <c r="F127" s="29" t="s">
        <v>276</v>
      </c>
      <c r="G127" s="29" t="s">
        <v>35</v>
      </c>
      <c r="H127" s="29" t="s">
        <v>64</v>
      </c>
      <c r="I127" s="29" t="s">
        <v>190</v>
      </c>
      <c r="J127" s="29" t="s">
        <v>191</v>
      </c>
      <c r="K127" s="29" t="s">
        <v>192</v>
      </c>
      <c r="L127" s="29" t="s">
        <v>29</v>
      </c>
      <c r="M127" s="29" t="n">
        <v>1809</v>
      </c>
      <c r="N127" s="29" t="n">
        <v>1209</v>
      </c>
      <c r="O127" s="29"/>
      <c r="P127" s="30" t="n">
        <f aca="false">(M127*N127/1000000)*(INDEX(AreaRate_Vals,MATCH(C127,AreaRate_Keys,0))+IFERROR(INDEX(GlazingUpg_Vals,MATCH(H127,GlazingUpg_Keys,0)),0))+INDEX(Hardware_Vals,MATCH("Windows",Hardware_Keys,0))</f>
        <v>6483.18085</v>
      </c>
      <c r="Q127" s="31" t="n">
        <f aca="false">INDEX(Markup_Vals,MATCH("Windows",MarkupCat_Keys,0))</f>
        <v>0.42</v>
      </c>
      <c r="R127" s="32" t="n">
        <f aca="false">P127*(1+Q127)</f>
        <v>9206.116807</v>
      </c>
      <c r="S127" s="32" t="n">
        <f aca="false">R127*(1-TradeDiscount)</f>
        <v>8101.38279016</v>
      </c>
      <c r="T127" s="32" t="n">
        <f aca="false">R127*(1-VolumeDiscount)</f>
        <v>7364.8934456</v>
      </c>
    </row>
    <row r="128" customFormat="false" ht="15" hidden="false" customHeight="false" outlineLevel="0" collapsed="false">
      <c r="A128" s="25" t="s">
        <v>452</v>
      </c>
      <c r="B128" s="25" t="s">
        <v>96</v>
      </c>
      <c r="C128" s="25" t="s">
        <v>41</v>
      </c>
      <c r="D128" s="25" t="s">
        <v>453</v>
      </c>
      <c r="E128" s="25" t="s">
        <v>361</v>
      </c>
      <c r="F128" s="25" t="s">
        <v>276</v>
      </c>
      <c r="G128" s="25" t="s">
        <v>36</v>
      </c>
      <c r="H128" s="25" t="s">
        <v>64</v>
      </c>
      <c r="I128" s="25" t="s">
        <v>190</v>
      </c>
      <c r="J128" s="25" t="s">
        <v>191</v>
      </c>
      <c r="K128" s="25" t="s">
        <v>192</v>
      </c>
      <c r="L128" s="25" t="s">
        <v>29</v>
      </c>
      <c r="M128" s="25" t="n">
        <v>1809</v>
      </c>
      <c r="N128" s="25" t="n">
        <v>1209</v>
      </c>
      <c r="O128" s="25"/>
      <c r="P128" s="26" t="n">
        <f aca="false">(M128*N128/1000000)*(INDEX(AreaRate_Vals,MATCH(C128,AreaRate_Keys,0))+IFERROR(INDEX(GlazingUpg_Vals,MATCH(H128,GlazingUpg_Keys,0)),0))+INDEX(Hardware_Vals,MATCH("Windows",Hardware_Keys,0))</f>
        <v>6483.18085</v>
      </c>
      <c r="Q128" s="27" t="n">
        <f aca="false">INDEX(Markup_Vals,MATCH("Windows",MarkupCat_Keys,0))</f>
        <v>0.42</v>
      </c>
      <c r="R128" s="28" t="n">
        <f aca="false">P128*(1+Q128)</f>
        <v>9206.116807</v>
      </c>
      <c r="S128" s="28" t="n">
        <f aca="false">R128*(1-TradeDiscount)</f>
        <v>8101.38279016</v>
      </c>
      <c r="T128" s="28" t="n">
        <f aca="false">R128*(1-VolumeDiscount)</f>
        <v>7364.8934456</v>
      </c>
    </row>
    <row r="129" customFormat="false" ht="15" hidden="false" customHeight="false" outlineLevel="0" collapsed="false">
      <c r="A129" s="29" t="s">
        <v>454</v>
      </c>
      <c r="B129" s="29" t="s">
        <v>96</v>
      </c>
      <c r="C129" s="29" t="s">
        <v>41</v>
      </c>
      <c r="D129" s="29" t="s">
        <v>455</v>
      </c>
      <c r="E129" s="29" t="s">
        <v>361</v>
      </c>
      <c r="F129" s="29" t="s">
        <v>276</v>
      </c>
      <c r="G129" s="29" t="s">
        <v>37</v>
      </c>
      <c r="H129" s="29" t="s">
        <v>64</v>
      </c>
      <c r="I129" s="29" t="s">
        <v>190</v>
      </c>
      <c r="J129" s="29" t="s">
        <v>191</v>
      </c>
      <c r="K129" s="29" t="s">
        <v>192</v>
      </c>
      <c r="L129" s="29" t="s">
        <v>29</v>
      </c>
      <c r="M129" s="29" t="n">
        <v>1809</v>
      </c>
      <c r="N129" s="29" t="n">
        <v>1209</v>
      </c>
      <c r="O129" s="29"/>
      <c r="P129" s="30" t="n">
        <f aca="false">(M129*N129/1000000)*(INDEX(AreaRate_Vals,MATCH(C129,AreaRate_Keys,0))+IFERROR(INDEX(GlazingUpg_Vals,MATCH(H129,GlazingUpg_Keys,0)),0))+INDEX(Hardware_Vals,MATCH("Windows",Hardware_Keys,0))</f>
        <v>6483.18085</v>
      </c>
      <c r="Q129" s="31" t="n">
        <f aca="false">INDEX(Markup_Vals,MATCH("Windows",MarkupCat_Keys,0))</f>
        <v>0.42</v>
      </c>
      <c r="R129" s="32" t="n">
        <f aca="false">P129*(1+Q129)</f>
        <v>9206.116807</v>
      </c>
      <c r="S129" s="32" t="n">
        <f aca="false">R129*(1-TradeDiscount)</f>
        <v>8101.38279016</v>
      </c>
      <c r="T129" s="32" t="n">
        <f aca="false">R129*(1-VolumeDiscount)</f>
        <v>7364.8934456</v>
      </c>
    </row>
    <row r="130" customFormat="false" ht="15" hidden="false" customHeight="false" outlineLevel="0" collapsed="false">
      <c r="A130" s="25" t="s">
        <v>456</v>
      </c>
      <c r="B130" s="25" t="s">
        <v>96</v>
      </c>
      <c r="C130" s="25" t="s">
        <v>41</v>
      </c>
      <c r="D130" s="25" t="s">
        <v>457</v>
      </c>
      <c r="E130" s="25" t="s">
        <v>361</v>
      </c>
      <c r="F130" s="25" t="s">
        <v>276</v>
      </c>
      <c r="G130" s="25" t="s">
        <v>39</v>
      </c>
      <c r="H130" s="25" t="s">
        <v>64</v>
      </c>
      <c r="I130" s="25" t="s">
        <v>190</v>
      </c>
      <c r="J130" s="25" t="s">
        <v>191</v>
      </c>
      <c r="K130" s="25" t="s">
        <v>192</v>
      </c>
      <c r="L130" s="25" t="s">
        <v>29</v>
      </c>
      <c r="M130" s="25" t="n">
        <v>1809</v>
      </c>
      <c r="N130" s="25" t="n">
        <v>1209</v>
      </c>
      <c r="O130" s="25"/>
      <c r="P130" s="26" t="n">
        <f aca="false">(M130*N130/1000000)*(INDEX(AreaRate_Vals,MATCH(C130,AreaRate_Keys,0))+IFERROR(INDEX(GlazingUpg_Vals,MATCH(H130,GlazingUpg_Keys,0)),0))+INDEX(Hardware_Vals,MATCH("Windows",Hardware_Keys,0))</f>
        <v>6483.18085</v>
      </c>
      <c r="Q130" s="27" t="n">
        <f aca="false">INDEX(Markup_Vals,MATCH("Windows",MarkupCat_Keys,0))</f>
        <v>0.42</v>
      </c>
      <c r="R130" s="28" t="n">
        <f aca="false">P130*(1+Q130)</f>
        <v>9206.116807</v>
      </c>
      <c r="S130" s="28" t="n">
        <f aca="false">R130*(1-TradeDiscount)</f>
        <v>8101.38279016</v>
      </c>
      <c r="T130" s="28" t="n">
        <f aca="false">R130*(1-VolumeDiscount)</f>
        <v>7364.8934456</v>
      </c>
    </row>
    <row r="131" customFormat="false" ht="15" hidden="false" customHeight="false" outlineLevel="0" collapsed="false">
      <c r="A131" s="29" t="s">
        <v>458</v>
      </c>
      <c r="B131" s="29" t="s">
        <v>96</v>
      </c>
      <c r="C131" s="29" t="s">
        <v>41</v>
      </c>
      <c r="D131" s="29" t="s">
        <v>459</v>
      </c>
      <c r="E131" s="29" t="s">
        <v>361</v>
      </c>
      <c r="F131" s="29" t="s">
        <v>276</v>
      </c>
      <c r="G131" s="29" t="s">
        <v>38</v>
      </c>
      <c r="H131" s="29" t="s">
        <v>64</v>
      </c>
      <c r="I131" s="29" t="s">
        <v>190</v>
      </c>
      <c r="J131" s="29" t="s">
        <v>191</v>
      </c>
      <c r="K131" s="29" t="s">
        <v>192</v>
      </c>
      <c r="L131" s="29" t="s">
        <v>29</v>
      </c>
      <c r="M131" s="29" t="n">
        <v>1809</v>
      </c>
      <c r="N131" s="29" t="n">
        <v>1209</v>
      </c>
      <c r="O131" s="29"/>
      <c r="P131" s="30" t="n">
        <f aca="false">(M131*N131/1000000)*(INDEX(AreaRate_Vals,MATCH(C131,AreaRate_Keys,0))+IFERROR(INDEX(GlazingUpg_Vals,MATCH(H131,GlazingUpg_Keys,0)),0))+INDEX(Hardware_Vals,MATCH("Windows",Hardware_Keys,0))</f>
        <v>6483.18085</v>
      </c>
      <c r="Q131" s="31" t="n">
        <f aca="false">INDEX(Markup_Vals,MATCH("Windows",MarkupCat_Keys,0))</f>
        <v>0.42</v>
      </c>
      <c r="R131" s="32" t="n">
        <f aca="false">P131*(1+Q131)</f>
        <v>9206.116807</v>
      </c>
      <c r="S131" s="32" t="n">
        <f aca="false">R131*(1-TradeDiscount)</f>
        <v>8101.38279016</v>
      </c>
      <c r="T131" s="32" t="n">
        <f aca="false">R131*(1-VolumeDiscount)</f>
        <v>7364.8934456</v>
      </c>
    </row>
    <row r="132" customFormat="false" ht="15" hidden="false" customHeight="false" outlineLevel="0" collapsed="false">
      <c r="A132" s="25" t="s">
        <v>460</v>
      </c>
      <c r="B132" s="25" t="s">
        <v>96</v>
      </c>
      <c r="C132" s="25" t="s">
        <v>41</v>
      </c>
      <c r="D132" s="25" t="s">
        <v>461</v>
      </c>
      <c r="E132" s="25" t="s">
        <v>361</v>
      </c>
      <c r="F132" s="25" t="s">
        <v>297</v>
      </c>
      <c r="G132" s="25" t="s">
        <v>35</v>
      </c>
      <c r="H132" s="25" t="s">
        <v>63</v>
      </c>
      <c r="I132" s="25" t="s">
        <v>190</v>
      </c>
      <c r="J132" s="25" t="s">
        <v>191</v>
      </c>
      <c r="K132" s="25" t="s">
        <v>298</v>
      </c>
      <c r="L132" s="25" t="s">
        <v>29</v>
      </c>
      <c r="M132" s="25" t="n">
        <v>2409</v>
      </c>
      <c r="N132" s="25" t="n">
        <v>1209</v>
      </c>
      <c r="O132" s="25"/>
      <c r="P132" s="26" t="n">
        <f aca="false">(M132*N132/1000000)*(INDEX(AreaRate_Vals,MATCH(C132,AreaRate_Keys,0))+IFERROR(INDEX(GlazingUpg_Vals,MATCH(H132,GlazingUpg_Keys,0)),0))+INDEX(Hardware_Vals,MATCH("Windows",Hardware_Keys,0))</f>
        <v>6948.7063</v>
      </c>
      <c r="Q132" s="27" t="n">
        <f aca="false">INDEX(Markup_Vals,MATCH("Windows",MarkupCat_Keys,0))</f>
        <v>0.42</v>
      </c>
      <c r="R132" s="28" t="n">
        <f aca="false">P132*(1+Q132)</f>
        <v>9867.162946</v>
      </c>
      <c r="S132" s="28" t="n">
        <f aca="false">R132*(1-TradeDiscount)</f>
        <v>8683.10339248</v>
      </c>
      <c r="T132" s="28" t="n">
        <f aca="false">R132*(1-VolumeDiscount)</f>
        <v>7893.7303568</v>
      </c>
    </row>
    <row r="133" customFormat="false" ht="15" hidden="false" customHeight="false" outlineLevel="0" collapsed="false">
      <c r="A133" s="29" t="s">
        <v>462</v>
      </c>
      <c r="B133" s="29" t="s">
        <v>96</v>
      </c>
      <c r="C133" s="29" t="s">
        <v>41</v>
      </c>
      <c r="D133" s="29" t="s">
        <v>463</v>
      </c>
      <c r="E133" s="29" t="s">
        <v>361</v>
      </c>
      <c r="F133" s="29" t="s">
        <v>297</v>
      </c>
      <c r="G133" s="29" t="s">
        <v>36</v>
      </c>
      <c r="H133" s="29" t="s">
        <v>63</v>
      </c>
      <c r="I133" s="29" t="s">
        <v>190</v>
      </c>
      <c r="J133" s="29" t="s">
        <v>191</v>
      </c>
      <c r="K133" s="29" t="s">
        <v>298</v>
      </c>
      <c r="L133" s="29" t="s">
        <v>29</v>
      </c>
      <c r="M133" s="29" t="n">
        <v>2409</v>
      </c>
      <c r="N133" s="29" t="n">
        <v>1209</v>
      </c>
      <c r="O133" s="29"/>
      <c r="P133" s="30" t="n">
        <f aca="false">(M133*N133/1000000)*(INDEX(AreaRate_Vals,MATCH(C133,AreaRate_Keys,0))+IFERROR(INDEX(GlazingUpg_Vals,MATCH(H133,GlazingUpg_Keys,0)),0))+INDEX(Hardware_Vals,MATCH("Windows",Hardware_Keys,0))</f>
        <v>6948.7063</v>
      </c>
      <c r="Q133" s="31" t="n">
        <f aca="false">INDEX(Markup_Vals,MATCH("Windows",MarkupCat_Keys,0))</f>
        <v>0.42</v>
      </c>
      <c r="R133" s="32" t="n">
        <f aca="false">P133*(1+Q133)</f>
        <v>9867.162946</v>
      </c>
      <c r="S133" s="32" t="n">
        <f aca="false">R133*(1-TradeDiscount)</f>
        <v>8683.10339248</v>
      </c>
      <c r="T133" s="32" t="n">
        <f aca="false">R133*(1-VolumeDiscount)</f>
        <v>7893.7303568</v>
      </c>
    </row>
    <row r="134" customFormat="false" ht="15" hidden="false" customHeight="false" outlineLevel="0" collapsed="false">
      <c r="A134" s="25" t="s">
        <v>464</v>
      </c>
      <c r="B134" s="25" t="s">
        <v>96</v>
      </c>
      <c r="C134" s="25" t="s">
        <v>41</v>
      </c>
      <c r="D134" s="25" t="s">
        <v>465</v>
      </c>
      <c r="E134" s="25" t="s">
        <v>361</v>
      </c>
      <c r="F134" s="25" t="s">
        <v>297</v>
      </c>
      <c r="G134" s="25" t="s">
        <v>37</v>
      </c>
      <c r="H134" s="25" t="s">
        <v>63</v>
      </c>
      <c r="I134" s="25" t="s">
        <v>190</v>
      </c>
      <c r="J134" s="25" t="s">
        <v>191</v>
      </c>
      <c r="K134" s="25" t="s">
        <v>298</v>
      </c>
      <c r="L134" s="25" t="s">
        <v>29</v>
      </c>
      <c r="M134" s="25" t="n">
        <v>2409</v>
      </c>
      <c r="N134" s="25" t="n">
        <v>1209</v>
      </c>
      <c r="O134" s="25"/>
      <c r="P134" s="26" t="n">
        <f aca="false">(M134*N134/1000000)*(INDEX(AreaRate_Vals,MATCH(C134,AreaRate_Keys,0))+IFERROR(INDEX(GlazingUpg_Vals,MATCH(H134,GlazingUpg_Keys,0)),0))+INDEX(Hardware_Vals,MATCH("Windows",Hardware_Keys,0))</f>
        <v>6948.7063</v>
      </c>
      <c r="Q134" s="27" t="n">
        <f aca="false">INDEX(Markup_Vals,MATCH("Windows",MarkupCat_Keys,0))</f>
        <v>0.42</v>
      </c>
      <c r="R134" s="28" t="n">
        <f aca="false">P134*(1+Q134)</f>
        <v>9867.162946</v>
      </c>
      <c r="S134" s="28" t="n">
        <f aca="false">R134*(1-TradeDiscount)</f>
        <v>8683.10339248</v>
      </c>
      <c r="T134" s="28" t="n">
        <f aca="false">R134*(1-VolumeDiscount)</f>
        <v>7893.7303568</v>
      </c>
    </row>
    <row r="135" customFormat="false" ht="15" hidden="false" customHeight="false" outlineLevel="0" collapsed="false">
      <c r="A135" s="29" t="s">
        <v>466</v>
      </c>
      <c r="B135" s="29" t="s">
        <v>96</v>
      </c>
      <c r="C135" s="29" t="s">
        <v>41</v>
      </c>
      <c r="D135" s="29" t="s">
        <v>467</v>
      </c>
      <c r="E135" s="29" t="s">
        <v>361</v>
      </c>
      <c r="F135" s="29" t="s">
        <v>297</v>
      </c>
      <c r="G135" s="29" t="s">
        <v>39</v>
      </c>
      <c r="H135" s="29" t="s">
        <v>63</v>
      </c>
      <c r="I135" s="29" t="s">
        <v>190</v>
      </c>
      <c r="J135" s="29" t="s">
        <v>191</v>
      </c>
      <c r="K135" s="29" t="s">
        <v>298</v>
      </c>
      <c r="L135" s="29" t="s">
        <v>29</v>
      </c>
      <c r="M135" s="29" t="n">
        <v>2409</v>
      </c>
      <c r="N135" s="29" t="n">
        <v>1209</v>
      </c>
      <c r="O135" s="29"/>
      <c r="P135" s="30" t="n">
        <f aca="false">(M135*N135/1000000)*(INDEX(AreaRate_Vals,MATCH(C135,AreaRate_Keys,0))+IFERROR(INDEX(GlazingUpg_Vals,MATCH(H135,GlazingUpg_Keys,0)),0))+INDEX(Hardware_Vals,MATCH("Windows",Hardware_Keys,0))</f>
        <v>6948.7063</v>
      </c>
      <c r="Q135" s="31" t="n">
        <f aca="false">INDEX(Markup_Vals,MATCH("Windows",MarkupCat_Keys,0))</f>
        <v>0.42</v>
      </c>
      <c r="R135" s="32" t="n">
        <f aca="false">P135*(1+Q135)</f>
        <v>9867.162946</v>
      </c>
      <c r="S135" s="32" t="n">
        <f aca="false">R135*(1-TradeDiscount)</f>
        <v>8683.10339248</v>
      </c>
      <c r="T135" s="32" t="n">
        <f aca="false">R135*(1-VolumeDiscount)</f>
        <v>7893.7303568</v>
      </c>
    </row>
    <row r="136" customFormat="false" ht="15" hidden="false" customHeight="false" outlineLevel="0" collapsed="false">
      <c r="A136" s="25" t="s">
        <v>468</v>
      </c>
      <c r="B136" s="25" t="s">
        <v>96</v>
      </c>
      <c r="C136" s="25" t="s">
        <v>41</v>
      </c>
      <c r="D136" s="25" t="s">
        <v>469</v>
      </c>
      <c r="E136" s="25" t="s">
        <v>361</v>
      </c>
      <c r="F136" s="25" t="s">
        <v>297</v>
      </c>
      <c r="G136" s="25" t="s">
        <v>38</v>
      </c>
      <c r="H136" s="25" t="s">
        <v>63</v>
      </c>
      <c r="I136" s="25" t="s">
        <v>190</v>
      </c>
      <c r="J136" s="25" t="s">
        <v>191</v>
      </c>
      <c r="K136" s="25" t="s">
        <v>298</v>
      </c>
      <c r="L136" s="25" t="s">
        <v>29</v>
      </c>
      <c r="M136" s="25" t="n">
        <v>2409</v>
      </c>
      <c r="N136" s="25" t="n">
        <v>1209</v>
      </c>
      <c r="O136" s="25"/>
      <c r="P136" s="26" t="n">
        <f aca="false">(M136*N136/1000000)*(INDEX(AreaRate_Vals,MATCH(C136,AreaRate_Keys,0))+IFERROR(INDEX(GlazingUpg_Vals,MATCH(H136,GlazingUpg_Keys,0)),0))+INDEX(Hardware_Vals,MATCH("Windows",Hardware_Keys,0))</f>
        <v>6948.7063</v>
      </c>
      <c r="Q136" s="27" t="n">
        <f aca="false">INDEX(Markup_Vals,MATCH("Windows",MarkupCat_Keys,0))</f>
        <v>0.42</v>
      </c>
      <c r="R136" s="28" t="n">
        <f aca="false">P136*(1+Q136)</f>
        <v>9867.162946</v>
      </c>
      <c r="S136" s="28" t="n">
        <f aca="false">R136*(1-TradeDiscount)</f>
        <v>8683.10339248</v>
      </c>
      <c r="T136" s="28" t="n">
        <f aca="false">R136*(1-VolumeDiscount)</f>
        <v>7893.7303568</v>
      </c>
    </row>
    <row r="137" customFormat="false" ht="15" hidden="false" customHeight="false" outlineLevel="0" collapsed="false">
      <c r="A137" s="29" t="s">
        <v>470</v>
      </c>
      <c r="B137" s="29" t="s">
        <v>96</v>
      </c>
      <c r="C137" s="29" t="s">
        <v>41</v>
      </c>
      <c r="D137" s="29" t="s">
        <v>471</v>
      </c>
      <c r="E137" s="29" t="s">
        <v>361</v>
      </c>
      <c r="F137" s="29" t="s">
        <v>297</v>
      </c>
      <c r="G137" s="29" t="s">
        <v>35</v>
      </c>
      <c r="H137" s="29" t="s">
        <v>64</v>
      </c>
      <c r="I137" s="29" t="s">
        <v>190</v>
      </c>
      <c r="J137" s="29" t="s">
        <v>191</v>
      </c>
      <c r="K137" s="29" t="s">
        <v>298</v>
      </c>
      <c r="L137" s="29" t="s">
        <v>29</v>
      </c>
      <c r="M137" s="29" t="n">
        <v>2409</v>
      </c>
      <c r="N137" s="29" t="n">
        <v>1209</v>
      </c>
      <c r="O137" s="29"/>
      <c r="P137" s="30" t="n">
        <f aca="false">(M137*N137/1000000)*(INDEX(AreaRate_Vals,MATCH(C137,AreaRate_Keys,0))+IFERROR(INDEX(GlazingUpg_Vals,MATCH(H137,GlazingUpg_Keys,0)),0))+INDEX(Hardware_Vals,MATCH("Windows",Hardware_Keys,0))</f>
        <v>8550.57085</v>
      </c>
      <c r="Q137" s="31" t="n">
        <f aca="false">INDEX(Markup_Vals,MATCH("Windows",MarkupCat_Keys,0))</f>
        <v>0.42</v>
      </c>
      <c r="R137" s="32" t="n">
        <f aca="false">P137*(1+Q137)</f>
        <v>12141.810607</v>
      </c>
      <c r="S137" s="32" t="n">
        <f aca="false">R137*(1-TradeDiscount)</f>
        <v>10684.79333416</v>
      </c>
      <c r="T137" s="32" t="n">
        <f aca="false">R137*(1-VolumeDiscount)</f>
        <v>9713.4484856</v>
      </c>
    </row>
    <row r="138" customFormat="false" ht="15" hidden="false" customHeight="false" outlineLevel="0" collapsed="false">
      <c r="A138" s="25" t="s">
        <v>472</v>
      </c>
      <c r="B138" s="25" t="s">
        <v>96</v>
      </c>
      <c r="C138" s="25" t="s">
        <v>41</v>
      </c>
      <c r="D138" s="25" t="s">
        <v>473</v>
      </c>
      <c r="E138" s="25" t="s">
        <v>361</v>
      </c>
      <c r="F138" s="25" t="s">
        <v>297</v>
      </c>
      <c r="G138" s="25" t="s">
        <v>36</v>
      </c>
      <c r="H138" s="25" t="s">
        <v>64</v>
      </c>
      <c r="I138" s="25" t="s">
        <v>190</v>
      </c>
      <c r="J138" s="25" t="s">
        <v>191</v>
      </c>
      <c r="K138" s="25" t="s">
        <v>298</v>
      </c>
      <c r="L138" s="25" t="s">
        <v>29</v>
      </c>
      <c r="M138" s="25" t="n">
        <v>2409</v>
      </c>
      <c r="N138" s="25" t="n">
        <v>1209</v>
      </c>
      <c r="O138" s="25"/>
      <c r="P138" s="26" t="n">
        <f aca="false">(M138*N138/1000000)*(INDEX(AreaRate_Vals,MATCH(C138,AreaRate_Keys,0))+IFERROR(INDEX(GlazingUpg_Vals,MATCH(H138,GlazingUpg_Keys,0)),0))+INDEX(Hardware_Vals,MATCH("Windows",Hardware_Keys,0))</f>
        <v>8550.57085</v>
      </c>
      <c r="Q138" s="27" t="n">
        <f aca="false">INDEX(Markup_Vals,MATCH("Windows",MarkupCat_Keys,0))</f>
        <v>0.42</v>
      </c>
      <c r="R138" s="28" t="n">
        <f aca="false">P138*(1+Q138)</f>
        <v>12141.810607</v>
      </c>
      <c r="S138" s="28" t="n">
        <f aca="false">R138*(1-TradeDiscount)</f>
        <v>10684.79333416</v>
      </c>
      <c r="T138" s="28" t="n">
        <f aca="false">R138*(1-VolumeDiscount)</f>
        <v>9713.4484856</v>
      </c>
    </row>
    <row r="139" customFormat="false" ht="15" hidden="false" customHeight="false" outlineLevel="0" collapsed="false">
      <c r="A139" s="29" t="s">
        <v>474</v>
      </c>
      <c r="B139" s="29" t="s">
        <v>96</v>
      </c>
      <c r="C139" s="29" t="s">
        <v>41</v>
      </c>
      <c r="D139" s="29" t="s">
        <v>475</v>
      </c>
      <c r="E139" s="29" t="s">
        <v>361</v>
      </c>
      <c r="F139" s="29" t="s">
        <v>297</v>
      </c>
      <c r="G139" s="29" t="s">
        <v>37</v>
      </c>
      <c r="H139" s="29" t="s">
        <v>64</v>
      </c>
      <c r="I139" s="29" t="s">
        <v>190</v>
      </c>
      <c r="J139" s="29" t="s">
        <v>191</v>
      </c>
      <c r="K139" s="29" t="s">
        <v>298</v>
      </c>
      <c r="L139" s="29" t="s">
        <v>29</v>
      </c>
      <c r="M139" s="29" t="n">
        <v>2409</v>
      </c>
      <c r="N139" s="29" t="n">
        <v>1209</v>
      </c>
      <c r="O139" s="29"/>
      <c r="P139" s="30" t="n">
        <f aca="false">(M139*N139/1000000)*(INDEX(AreaRate_Vals,MATCH(C139,AreaRate_Keys,0))+IFERROR(INDEX(GlazingUpg_Vals,MATCH(H139,GlazingUpg_Keys,0)),0))+INDEX(Hardware_Vals,MATCH("Windows",Hardware_Keys,0))</f>
        <v>8550.57085</v>
      </c>
      <c r="Q139" s="31" t="n">
        <f aca="false">INDEX(Markup_Vals,MATCH("Windows",MarkupCat_Keys,0))</f>
        <v>0.42</v>
      </c>
      <c r="R139" s="32" t="n">
        <f aca="false">P139*(1+Q139)</f>
        <v>12141.810607</v>
      </c>
      <c r="S139" s="32" t="n">
        <f aca="false">R139*(1-TradeDiscount)</f>
        <v>10684.79333416</v>
      </c>
      <c r="T139" s="32" t="n">
        <f aca="false">R139*(1-VolumeDiscount)</f>
        <v>9713.4484856</v>
      </c>
    </row>
    <row r="140" customFormat="false" ht="15" hidden="false" customHeight="false" outlineLevel="0" collapsed="false">
      <c r="A140" s="25" t="s">
        <v>476</v>
      </c>
      <c r="B140" s="25" t="s">
        <v>96</v>
      </c>
      <c r="C140" s="25" t="s">
        <v>41</v>
      </c>
      <c r="D140" s="25" t="s">
        <v>477</v>
      </c>
      <c r="E140" s="25" t="s">
        <v>361</v>
      </c>
      <c r="F140" s="25" t="s">
        <v>297</v>
      </c>
      <c r="G140" s="25" t="s">
        <v>39</v>
      </c>
      <c r="H140" s="25" t="s">
        <v>64</v>
      </c>
      <c r="I140" s="25" t="s">
        <v>190</v>
      </c>
      <c r="J140" s="25" t="s">
        <v>191</v>
      </c>
      <c r="K140" s="25" t="s">
        <v>298</v>
      </c>
      <c r="L140" s="25" t="s">
        <v>29</v>
      </c>
      <c r="M140" s="25" t="n">
        <v>2409</v>
      </c>
      <c r="N140" s="25" t="n">
        <v>1209</v>
      </c>
      <c r="O140" s="25"/>
      <c r="P140" s="26" t="n">
        <f aca="false">(M140*N140/1000000)*(INDEX(AreaRate_Vals,MATCH(C140,AreaRate_Keys,0))+IFERROR(INDEX(GlazingUpg_Vals,MATCH(H140,GlazingUpg_Keys,0)),0))+INDEX(Hardware_Vals,MATCH("Windows",Hardware_Keys,0))</f>
        <v>8550.57085</v>
      </c>
      <c r="Q140" s="27" t="n">
        <f aca="false">INDEX(Markup_Vals,MATCH("Windows",MarkupCat_Keys,0))</f>
        <v>0.42</v>
      </c>
      <c r="R140" s="28" t="n">
        <f aca="false">P140*(1+Q140)</f>
        <v>12141.810607</v>
      </c>
      <c r="S140" s="28" t="n">
        <f aca="false">R140*(1-TradeDiscount)</f>
        <v>10684.79333416</v>
      </c>
      <c r="T140" s="28" t="n">
        <f aca="false">R140*(1-VolumeDiscount)</f>
        <v>9713.4484856</v>
      </c>
    </row>
    <row r="141" customFormat="false" ht="15" hidden="false" customHeight="false" outlineLevel="0" collapsed="false">
      <c r="A141" s="29" t="s">
        <v>478</v>
      </c>
      <c r="B141" s="29" t="s">
        <v>96</v>
      </c>
      <c r="C141" s="29" t="s">
        <v>41</v>
      </c>
      <c r="D141" s="29" t="s">
        <v>479</v>
      </c>
      <c r="E141" s="29" t="s">
        <v>361</v>
      </c>
      <c r="F141" s="29" t="s">
        <v>297</v>
      </c>
      <c r="G141" s="29" t="s">
        <v>38</v>
      </c>
      <c r="H141" s="29" t="s">
        <v>64</v>
      </c>
      <c r="I141" s="29" t="s">
        <v>190</v>
      </c>
      <c r="J141" s="29" t="s">
        <v>191</v>
      </c>
      <c r="K141" s="29" t="s">
        <v>298</v>
      </c>
      <c r="L141" s="29" t="s">
        <v>29</v>
      </c>
      <c r="M141" s="29" t="n">
        <v>2409</v>
      </c>
      <c r="N141" s="29" t="n">
        <v>1209</v>
      </c>
      <c r="O141" s="29"/>
      <c r="P141" s="30" t="n">
        <f aca="false">(M141*N141/1000000)*(INDEX(AreaRate_Vals,MATCH(C141,AreaRate_Keys,0))+IFERROR(INDEX(GlazingUpg_Vals,MATCH(H141,GlazingUpg_Keys,0)),0))+INDEX(Hardware_Vals,MATCH("Windows",Hardware_Keys,0))</f>
        <v>8550.57085</v>
      </c>
      <c r="Q141" s="31" t="n">
        <f aca="false">INDEX(Markup_Vals,MATCH("Windows",MarkupCat_Keys,0))</f>
        <v>0.42</v>
      </c>
      <c r="R141" s="32" t="n">
        <f aca="false">P141*(1+Q141)</f>
        <v>12141.810607</v>
      </c>
      <c r="S141" s="32" t="n">
        <f aca="false">R141*(1-TradeDiscount)</f>
        <v>10684.79333416</v>
      </c>
      <c r="T141" s="32" t="n">
        <f aca="false">R141*(1-VolumeDiscount)</f>
        <v>9713.4484856</v>
      </c>
    </row>
    <row r="142" customFormat="false" ht="15" hidden="false" customHeight="false" outlineLevel="0" collapsed="false">
      <c r="A142" s="25" t="s">
        <v>480</v>
      </c>
      <c r="B142" s="25" t="s">
        <v>96</v>
      </c>
      <c r="C142" s="25" t="s">
        <v>41</v>
      </c>
      <c r="D142" s="25" t="s">
        <v>481</v>
      </c>
      <c r="E142" s="25" t="s">
        <v>361</v>
      </c>
      <c r="F142" s="25" t="s">
        <v>319</v>
      </c>
      <c r="G142" s="25" t="s">
        <v>35</v>
      </c>
      <c r="H142" s="25" t="s">
        <v>63</v>
      </c>
      <c r="I142" s="25" t="s">
        <v>190</v>
      </c>
      <c r="J142" s="25" t="s">
        <v>191</v>
      </c>
      <c r="K142" s="25" t="s">
        <v>298</v>
      </c>
      <c r="L142" s="25" t="s">
        <v>29</v>
      </c>
      <c r="M142" s="25" t="n">
        <v>2409</v>
      </c>
      <c r="N142" s="25" t="n">
        <v>1509</v>
      </c>
      <c r="O142" s="25"/>
      <c r="P142" s="26" t="n">
        <f aca="false">(M142*N142/1000000)*(INDEX(AreaRate_Vals,MATCH(C142,AreaRate_Keys,0))+IFERROR(INDEX(GlazingUpg_Vals,MATCH(H142,GlazingUpg_Keys,0)),0))+INDEX(Hardware_Vals,MATCH("Windows",Hardware_Keys,0))</f>
        <v>8610.9163</v>
      </c>
      <c r="Q142" s="27" t="n">
        <f aca="false">INDEX(Markup_Vals,MATCH("Windows",MarkupCat_Keys,0))</f>
        <v>0.42</v>
      </c>
      <c r="R142" s="28" t="n">
        <f aca="false">P142*(1+Q142)</f>
        <v>12227.501146</v>
      </c>
      <c r="S142" s="28" t="n">
        <f aca="false">R142*(1-TradeDiscount)</f>
        <v>10760.20100848</v>
      </c>
      <c r="T142" s="28" t="n">
        <f aca="false">R142*(1-VolumeDiscount)</f>
        <v>9782.0009168</v>
      </c>
    </row>
    <row r="143" customFormat="false" ht="15" hidden="false" customHeight="false" outlineLevel="0" collapsed="false">
      <c r="A143" s="29" t="s">
        <v>482</v>
      </c>
      <c r="B143" s="29" t="s">
        <v>96</v>
      </c>
      <c r="C143" s="29" t="s">
        <v>41</v>
      </c>
      <c r="D143" s="29" t="s">
        <v>483</v>
      </c>
      <c r="E143" s="29" t="s">
        <v>361</v>
      </c>
      <c r="F143" s="29" t="s">
        <v>319</v>
      </c>
      <c r="G143" s="29" t="s">
        <v>36</v>
      </c>
      <c r="H143" s="29" t="s">
        <v>63</v>
      </c>
      <c r="I143" s="29" t="s">
        <v>190</v>
      </c>
      <c r="J143" s="29" t="s">
        <v>191</v>
      </c>
      <c r="K143" s="29" t="s">
        <v>298</v>
      </c>
      <c r="L143" s="29" t="s">
        <v>29</v>
      </c>
      <c r="M143" s="29" t="n">
        <v>2409</v>
      </c>
      <c r="N143" s="29" t="n">
        <v>1509</v>
      </c>
      <c r="O143" s="29"/>
      <c r="P143" s="30" t="n">
        <f aca="false">(M143*N143/1000000)*(INDEX(AreaRate_Vals,MATCH(C143,AreaRate_Keys,0))+IFERROR(INDEX(GlazingUpg_Vals,MATCH(H143,GlazingUpg_Keys,0)),0))+INDEX(Hardware_Vals,MATCH("Windows",Hardware_Keys,0))</f>
        <v>8610.9163</v>
      </c>
      <c r="Q143" s="31" t="n">
        <f aca="false">INDEX(Markup_Vals,MATCH("Windows",MarkupCat_Keys,0))</f>
        <v>0.42</v>
      </c>
      <c r="R143" s="32" t="n">
        <f aca="false">P143*(1+Q143)</f>
        <v>12227.501146</v>
      </c>
      <c r="S143" s="32" t="n">
        <f aca="false">R143*(1-TradeDiscount)</f>
        <v>10760.20100848</v>
      </c>
      <c r="T143" s="32" t="n">
        <f aca="false">R143*(1-VolumeDiscount)</f>
        <v>9782.0009168</v>
      </c>
    </row>
    <row r="144" customFormat="false" ht="15" hidden="false" customHeight="false" outlineLevel="0" collapsed="false">
      <c r="A144" s="25" t="s">
        <v>484</v>
      </c>
      <c r="B144" s="25" t="s">
        <v>96</v>
      </c>
      <c r="C144" s="25" t="s">
        <v>41</v>
      </c>
      <c r="D144" s="25" t="s">
        <v>485</v>
      </c>
      <c r="E144" s="25" t="s">
        <v>361</v>
      </c>
      <c r="F144" s="25" t="s">
        <v>319</v>
      </c>
      <c r="G144" s="25" t="s">
        <v>37</v>
      </c>
      <c r="H144" s="25" t="s">
        <v>63</v>
      </c>
      <c r="I144" s="25" t="s">
        <v>190</v>
      </c>
      <c r="J144" s="25" t="s">
        <v>191</v>
      </c>
      <c r="K144" s="25" t="s">
        <v>298</v>
      </c>
      <c r="L144" s="25" t="s">
        <v>29</v>
      </c>
      <c r="M144" s="25" t="n">
        <v>2409</v>
      </c>
      <c r="N144" s="25" t="n">
        <v>1509</v>
      </c>
      <c r="O144" s="25"/>
      <c r="P144" s="26" t="n">
        <f aca="false">(M144*N144/1000000)*(INDEX(AreaRate_Vals,MATCH(C144,AreaRate_Keys,0))+IFERROR(INDEX(GlazingUpg_Vals,MATCH(H144,GlazingUpg_Keys,0)),0))+INDEX(Hardware_Vals,MATCH("Windows",Hardware_Keys,0))</f>
        <v>8610.9163</v>
      </c>
      <c r="Q144" s="27" t="n">
        <f aca="false">INDEX(Markup_Vals,MATCH("Windows",MarkupCat_Keys,0))</f>
        <v>0.42</v>
      </c>
      <c r="R144" s="28" t="n">
        <f aca="false">P144*(1+Q144)</f>
        <v>12227.501146</v>
      </c>
      <c r="S144" s="28" t="n">
        <f aca="false">R144*(1-TradeDiscount)</f>
        <v>10760.20100848</v>
      </c>
      <c r="T144" s="28" t="n">
        <f aca="false">R144*(1-VolumeDiscount)</f>
        <v>9782.0009168</v>
      </c>
    </row>
    <row r="145" customFormat="false" ht="15" hidden="false" customHeight="false" outlineLevel="0" collapsed="false">
      <c r="A145" s="29" t="s">
        <v>486</v>
      </c>
      <c r="B145" s="29" t="s">
        <v>96</v>
      </c>
      <c r="C145" s="29" t="s">
        <v>41</v>
      </c>
      <c r="D145" s="29" t="s">
        <v>487</v>
      </c>
      <c r="E145" s="29" t="s">
        <v>361</v>
      </c>
      <c r="F145" s="29" t="s">
        <v>319</v>
      </c>
      <c r="G145" s="29" t="s">
        <v>39</v>
      </c>
      <c r="H145" s="29" t="s">
        <v>63</v>
      </c>
      <c r="I145" s="29" t="s">
        <v>190</v>
      </c>
      <c r="J145" s="29" t="s">
        <v>191</v>
      </c>
      <c r="K145" s="29" t="s">
        <v>298</v>
      </c>
      <c r="L145" s="29" t="s">
        <v>29</v>
      </c>
      <c r="M145" s="29" t="n">
        <v>2409</v>
      </c>
      <c r="N145" s="29" t="n">
        <v>1509</v>
      </c>
      <c r="O145" s="29"/>
      <c r="P145" s="30" t="n">
        <f aca="false">(M145*N145/1000000)*(INDEX(AreaRate_Vals,MATCH(C145,AreaRate_Keys,0))+IFERROR(INDEX(GlazingUpg_Vals,MATCH(H145,GlazingUpg_Keys,0)),0))+INDEX(Hardware_Vals,MATCH("Windows",Hardware_Keys,0))</f>
        <v>8610.9163</v>
      </c>
      <c r="Q145" s="31" t="n">
        <f aca="false">INDEX(Markup_Vals,MATCH("Windows",MarkupCat_Keys,0))</f>
        <v>0.42</v>
      </c>
      <c r="R145" s="32" t="n">
        <f aca="false">P145*(1+Q145)</f>
        <v>12227.501146</v>
      </c>
      <c r="S145" s="32" t="n">
        <f aca="false">R145*(1-TradeDiscount)</f>
        <v>10760.20100848</v>
      </c>
      <c r="T145" s="32" t="n">
        <f aca="false">R145*(1-VolumeDiscount)</f>
        <v>9782.0009168</v>
      </c>
    </row>
    <row r="146" customFormat="false" ht="15" hidden="false" customHeight="false" outlineLevel="0" collapsed="false">
      <c r="A146" s="25" t="s">
        <v>488</v>
      </c>
      <c r="B146" s="25" t="s">
        <v>96</v>
      </c>
      <c r="C146" s="25" t="s">
        <v>41</v>
      </c>
      <c r="D146" s="25" t="s">
        <v>489</v>
      </c>
      <c r="E146" s="25" t="s">
        <v>361</v>
      </c>
      <c r="F146" s="25" t="s">
        <v>319</v>
      </c>
      <c r="G146" s="25" t="s">
        <v>38</v>
      </c>
      <c r="H146" s="25" t="s">
        <v>63</v>
      </c>
      <c r="I146" s="25" t="s">
        <v>190</v>
      </c>
      <c r="J146" s="25" t="s">
        <v>191</v>
      </c>
      <c r="K146" s="25" t="s">
        <v>298</v>
      </c>
      <c r="L146" s="25" t="s">
        <v>29</v>
      </c>
      <c r="M146" s="25" t="n">
        <v>2409</v>
      </c>
      <c r="N146" s="25" t="n">
        <v>1509</v>
      </c>
      <c r="O146" s="25"/>
      <c r="P146" s="26" t="n">
        <f aca="false">(M146*N146/1000000)*(INDEX(AreaRate_Vals,MATCH(C146,AreaRate_Keys,0))+IFERROR(INDEX(GlazingUpg_Vals,MATCH(H146,GlazingUpg_Keys,0)),0))+INDEX(Hardware_Vals,MATCH("Windows",Hardware_Keys,0))</f>
        <v>8610.9163</v>
      </c>
      <c r="Q146" s="27" t="n">
        <f aca="false">INDEX(Markup_Vals,MATCH("Windows",MarkupCat_Keys,0))</f>
        <v>0.42</v>
      </c>
      <c r="R146" s="28" t="n">
        <f aca="false">P146*(1+Q146)</f>
        <v>12227.501146</v>
      </c>
      <c r="S146" s="28" t="n">
        <f aca="false">R146*(1-TradeDiscount)</f>
        <v>10760.20100848</v>
      </c>
      <c r="T146" s="28" t="n">
        <f aca="false">R146*(1-VolumeDiscount)</f>
        <v>9782.0009168</v>
      </c>
    </row>
    <row r="147" customFormat="false" ht="15" hidden="false" customHeight="false" outlineLevel="0" collapsed="false">
      <c r="A147" s="29" t="s">
        <v>490</v>
      </c>
      <c r="B147" s="29" t="s">
        <v>96</v>
      </c>
      <c r="C147" s="29" t="s">
        <v>41</v>
      </c>
      <c r="D147" s="29" t="s">
        <v>491</v>
      </c>
      <c r="E147" s="29" t="s">
        <v>361</v>
      </c>
      <c r="F147" s="29" t="s">
        <v>319</v>
      </c>
      <c r="G147" s="29" t="s">
        <v>35</v>
      </c>
      <c r="H147" s="29" t="s">
        <v>64</v>
      </c>
      <c r="I147" s="29" t="s">
        <v>190</v>
      </c>
      <c r="J147" s="29" t="s">
        <v>191</v>
      </c>
      <c r="K147" s="29" t="s">
        <v>298</v>
      </c>
      <c r="L147" s="29" t="s">
        <v>29</v>
      </c>
      <c r="M147" s="29" t="n">
        <v>2409</v>
      </c>
      <c r="N147" s="29" t="n">
        <v>1509</v>
      </c>
      <c r="O147" s="29"/>
      <c r="P147" s="30" t="n">
        <f aca="false">(M147*N147/1000000)*(INDEX(AreaRate_Vals,MATCH(C147,AreaRate_Keys,0))+IFERROR(INDEX(GlazingUpg_Vals,MATCH(H147,GlazingUpg_Keys,0)),0))+INDEX(Hardware_Vals,MATCH("Windows",Hardware_Keys,0))</f>
        <v>10610.26585</v>
      </c>
      <c r="Q147" s="31" t="n">
        <f aca="false">INDEX(Markup_Vals,MATCH("Windows",MarkupCat_Keys,0))</f>
        <v>0.42</v>
      </c>
      <c r="R147" s="32" t="n">
        <f aca="false">P147*(1+Q147)</f>
        <v>15066.577507</v>
      </c>
      <c r="S147" s="32" t="n">
        <f aca="false">R147*(1-TradeDiscount)</f>
        <v>13258.58820616</v>
      </c>
      <c r="T147" s="32" t="n">
        <f aca="false">R147*(1-VolumeDiscount)</f>
        <v>12053.2620056</v>
      </c>
    </row>
    <row r="148" customFormat="false" ht="15" hidden="false" customHeight="false" outlineLevel="0" collapsed="false">
      <c r="A148" s="25" t="s">
        <v>492</v>
      </c>
      <c r="B148" s="25" t="s">
        <v>96</v>
      </c>
      <c r="C148" s="25" t="s">
        <v>41</v>
      </c>
      <c r="D148" s="25" t="s">
        <v>493</v>
      </c>
      <c r="E148" s="25" t="s">
        <v>361</v>
      </c>
      <c r="F148" s="25" t="s">
        <v>319</v>
      </c>
      <c r="G148" s="25" t="s">
        <v>36</v>
      </c>
      <c r="H148" s="25" t="s">
        <v>64</v>
      </c>
      <c r="I148" s="25" t="s">
        <v>190</v>
      </c>
      <c r="J148" s="25" t="s">
        <v>191</v>
      </c>
      <c r="K148" s="25" t="s">
        <v>298</v>
      </c>
      <c r="L148" s="25" t="s">
        <v>29</v>
      </c>
      <c r="M148" s="25" t="n">
        <v>2409</v>
      </c>
      <c r="N148" s="25" t="n">
        <v>1509</v>
      </c>
      <c r="O148" s="25"/>
      <c r="P148" s="26" t="n">
        <f aca="false">(M148*N148/1000000)*(INDEX(AreaRate_Vals,MATCH(C148,AreaRate_Keys,0))+IFERROR(INDEX(GlazingUpg_Vals,MATCH(H148,GlazingUpg_Keys,0)),0))+INDEX(Hardware_Vals,MATCH("Windows",Hardware_Keys,0))</f>
        <v>10610.26585</v>
      </c>
      <c r="Q148" s="27" t="n">
        <f aca="false">INDEX(Markup_Vals,MATCH("Windows",MarkupCat_Keys,0))</f>
        <v>0.42</v>
      </c>
      <c r="R148" s="28" t="n">
        <f aca="false">P148*(1+Q148)</f>
        <v>15066.577507</v>
      </c>
      <c r="S148" s="28" t="n">
        <f aca="false">R148*(1-TradeDiscount)</f>
        <v>13258.58820616</v>
      </c>
      <c r="T148" s="28" t="n">
        <f aca="false">R148*(1-VolumeDiscount)</f>
        <v>12053.2620056</v>
      </c>
    </row>
    <row r="149" customFormat="false" ht="15" hidden="false" customHeight="false" outlineLevel="0" collapsed="false">
      <c r="A149" s="29" t="s">
        <v>494</v>
      </c>
      <c r="B149" s="29" t="s">
        <v>96</v>
      </c>
      <c r="C149" s="29" t="s">
        <v>41</v>
      </c>
      <c r="D149" s="29" t="s">
        <v>495</v>
      </c>
      <c r="E149" s="29" t="s">
        <v>361</v>
      </c>
      <c r="F149" s="29" t="s">
        <v>319</v>
      </c>
      <c r="G149" s="29" t="s">
        <v>37</v>
      </c>
      <c r="H149" s="29" t="s">
        <v>64</v>
      </c>
      <c r="I149" s="29" t="s">
        <v>190</v>
      </c>
      <c r="J149" s="29" t="s">
        <v>191</v>
      </c>
      <c r="K149" s="29" t="s">
        <v>298</v>
      </c>
      <c r="L149" s="29" t="s">
        <v>29</v>
      </c>
      <c r="M149" s="29" t="n">
        <v>2409</v>
      </c>
      <c r="N149" s="29" t="n">
        <v>1509</v>
      </c>
      <c r="O149" s="29"/>
      <c r="P149" s="30" t="n">
        <f aca="false">(M149*N149/1000000)*(INDEX(AreaRate_Vals,MATCH(C149,AreaRate_Keys,0))+IFERROR(INDEX(GlazingUpg_Vals,MATCH(H149,GlazingUpg_Keys,0)),0))+INDEX(Hardware_Vals,MATCH("Windows",Hardware_Keys,0))</f>
        <v>10610.26585</v>
      </c>
      <c r="Q149" s="31" t="n">
        <f aca="false">INDEX(Markup_Vals,MATCH("Windows",MarkupCat_Keys,0))</f>
        <v>0.42</v>
      </c>
      <c r="R149" s="32" t="n">
        <f aca="false">P149*(1+Q149)</f>
        <v>15066.577507</v>
      </c>
      <c r="S149" s="32" t="n">
        <f aca="false">R149*(1-TradeDiscount)</f>
        <v>13258.58820616</v>
      </c>
      <c r="T149" s="32" t="n">
        <f aca="false">R149*(1-VolumeDiscount)</f>
        <v>12053.2620056</v>
      </c>
    </row>
    <row r="150" customFormat="false" ht="15" hidden="false" customHeight="false" outlineLevel="0" collapsed="false">
      <c r="A150" s="25" t="s">
        <v>496</v>
      </c>
      <c r="B150" s="25" t="s">
        <v>96</v>
      </c>
      <c r="C150" s="25" t="s">
        <v>41</v>
      </c>
      <c r="D150" s="25" t="s">
        <v>497</v>
      </c>
      <c r="E150" s="25" t="s">
        <v>361</v>
      </c>
      <c r="F150" s="25" t="s">
        <v>319</v>
      </c>
      <c r="G150" s="25" t="s">
        <v>39</v>
      </c>
      <c r="H150" s="25" t="s">
        <v>64</v>
      </c>
      <c r="I150" s="25" t="s">
        <v>190</v>
      </c>
      <c r="J150" s="25" t="s">
        <v>191</v>
      </c>
      <c r="K150" s="25" t="s">
        <v>298</v>
      </c>
      <c r="L150" s="25" t="s">
        <v>29</v>
      </c>
      <c r="M150" s="25" t="n">
        <v>2409</v>
      </c>
      <c r="N150" s="25" t="n">
        <v>1509</v>
      </c>
      <c r="O150" s="25"/>
      <c r="P150" s="26" t="n">
        <f aca="false">(M150*N150/1000000)*(INDEX(AreaRate_Vals,MATCH(C150,AreaRate_Keys,0))+IFERROR(INDEX(GlazingUpg_Vals,MATCH(H150,GlazingUpg_Keys,0)),0))+INDEX(Hardware_Vals,MATCH("Windows",Hardware_Keys,0))</f>
        <v>10610.26585</v>
      </c>
      <c r="Q150" s="27" t="n">
        <f aca="false">INDEX(Markup_Vals,MATCH("Windows",MarkupCat_Keys,0))</f>
        <v>0.42</v>
      </c>
      <c r="R150" s="28" t="n">
        <f aca="false">P150*(1+Q150)</f>
        <v>15066.577507</v>
      </c>
      <c r="S150" s="28" t="n">
        <f aca="false">R150*(1-TradeDiscount)</f>
        <v>13258.58820616</v>
      </c>
      <c r="T150" s="28" t="n">
        <f aca="false">R150*(1-VolumeDiscount)</f>
        <v>12053.2620056</v>
      </c>
    </row>
    <row r="151" customFormat="false" ht="15" hidden="false" customHeight="false" outlineLevel="0" collapsed="false">
      <c r="A151" s="29" t="s">
        <v>498</v>
      </c>
      <c r="B151" s="29" t="s">
        <v>96</v>
      </c>
      <c r="C151" s="29" t="s">
        <v>41</v>
      </c>
      <c r="D151" s="29" t="s">
        <v>499</v>
      </c>
      <c r="E151" s="29" t="s">
        <v>361</v>
      </c>
      <c r="F151" s="29" t="s">
        <v>319</v>
      </c>
      <c r="G151" s="29" t="s">
        <v>38</v>
      </c>
      <c r="H151" s="29" t="s">
        <v>64</v>
      </c>
      <c r="I151" s="29" t="s">
        <v>190</v>
      </c>
      <c r="J151" s="29" t="s">
        <v>191</v>
      </c>
      <c r="K151" s="29" t="s">
        <v>298</v>
      </c>
      <c r="L151" s="29" t="s">
        <v>29</v>
      </c>
      <c r="M151" s="29" t="n">
        <v>2409</v>
      </c>
      <c r="N151" s="29" t="n">
        <v>1509</v>
      </c>
      <c r="O151" s="29"/>
      <c r="P151" s="30" t="n">
        <f aca="false">(M151*N151/1000000)*(INDEX(AreaRate_Vals,MATCH(C151,AreaRate_Keys,0))+IFERROR(INDEX(GlazingUpg_Vals,MATCH(H151,GlazingUpg_Keys,0)),0))+INDEX(Hardware_Vals,MATCH("Windows",Hardware_Keys,0))</f>
        <v>10610.26585</v>
      </c>
      <c r="Q151" s="31" t="n">
        <f aca="false">INDEX(Markup_Vals,MATCH("Windows",MarkupCat_Keys,0))</f>
        <v>0.42</v>
      </c>
      <c r="R151" s="32" t="n">
        <f aca="false">P151*(1+Q151)</f>
        <v>15066.577507</v>
      </c>
      <c r="S151" s="32" t="n">
        <f aca="false">R151*(1-TradeDiscount)</f>
        <v>13258.58820616</v>
      </c>
      <c r="T151" s="32" t="n">
        <f aca="false">R151*(1-VolumeDiscount)</f>
        <v>12053.2620056</v>
      </c>
    </row>
    <row r="152" customFormat="false" ht="15" hidden="false" customHeight="false" outlineLevel="0" collapsed="false">
      <c r="A152" s="25" t="s">
        <v>500</v>
      </c>
      <c r="B152" s="25" t="s">
        <v>96</v>
      </c>
      <c r="C152" s="25" t="s">
        <v>41</v>
      </c>
      <c r="D152" s="25" t="s">
        <v>501</v>
      </c>
      <c r="E152" s="25" t="s">
        <v>361</v>
      </c>
      <c r="F152" s="25" t="s">
        <v>340</v>
      </c>
      <c r="G152" s="25" t="s">
        <v>35</v>
      </c>
      <c r="H152" s="25" t="s">
        <v>63</v>
      </c>
      <c r="I152" s="25" t="s">
        <v>190</v>
      </c>
      <c r="J152" s="25" t="s">
        <v>191</v>
      </c>
      <c r="K152" s="25" t="s">
        <v>298</v>
      </c>
      <c r="L152" s="25" t="s">
        <v>29</v>
      </c>
      <c r="M152" s="25" t="n">
        <v>3009</v>
      </c>
      <c r="N152" s="25" t="n">
        <v>1509</v>
      </c>
      <c r="O152" s="25"/>
      <c r="P152" s="26" t="n">
        <f aca="false">(M152*N152/1000000)*(INDEX(AreaRate_Vals,MATCH(C152,AreaRate_Keys,0))+IFERROR(INDEX(GlazingUpg_Vals,MATCH(H152,GlazingUpg_Keys,0)),0))+INDEX(Hardware_Vals,MATCH("Windows",Hardware_Keys,0))</f>
        <v>10693.3363</v>
      </c>
      <c r="Q152" s="27" t="n">
        <f aca="false">INDEX(Markup_Vals,MATCH("Windows",MarkupCat_Keys,0))</f>
        <v>0.42</v>
      </c>
      <c r="R152" s="28" t="n">
        <f aca="false">P152*(1+Q152)</f>
        <v>15184.537546</v>
      </c>
      <c r="S152" s="28" t="n">
        <f aca="false">R152*(1-TradeDiscount)</f>
        <v>13362.39304048</v>
      </c>
      <c r="T152" s="28" t="n">
        <f aca="false">R152*(1-VolumeDiscount)</f>
        <v>12147.6300368</v>
      </c>
    </row>
    <row r="153" customFormat="false" ht="15" hidden="false" customHeight="false" outlineLevel="0" collapsed="false">
      <c r="A153" s="29" t="s">
        <v>502</v>
      </c>
      <c r="B153" s="29" t="s">
        <v>96</v>
      </c>
      <c r="C153" s="29" t="s">
        <v>41</v>
      </c>
      <c r="D153" s="29" t="s">
        <v>503</v>
      </c>
      <c r="E153" s="29" t="s">
        <v>361</v>
      </c>
      <c r="F153" s="29" t="s">
        <v>340</v>
      </c>
      <c r="G153" s="29" t="s">
        <v>36</v>
      </c>
      <c r="H153" s="29" t="s">
        <v>63</v>
      </c>
      <c r="I153" s="29" t="s">
        <v>190</v>
      </c>
      <c r="J153" s="29" t="s">
        <v>191</v>
      </c>
      <c r="K153" s="29" t="s">
        <v>298</v>
      </c>
      <c r="L153" s="29" t="s">
        <v>29</v>
      </c>
      <c r="M153" s="29" t="n">
        <v>3009</v>
      </c>
      <c r="N153" s="29" t="n">
        <v>1509</v>
      </c>
      <c r="O153" s="29"/>
      <c r="P153" s="30" t="n">
        <f aca="false">(M153*N153/1000000)*(INDEX(AreaRate_Vals,MATCH(C153,AreaRate_Keys,0))+IFERROR(INDEX(GlazingUpg_Vals,MATCH(H153,GlazingUpg_Keys,0)),0))+INDEX(Hardware_Vals,MATCH("Windows",Hardware_Keys,0))</f>
        <v>10693.3363</v>
      </c>
      <c r="Q153" s="31" t="n">
        <f aca="false">INDEX(Markup_Vals,MATCH("Windows",MarkupCat_Keys,0))</f>
        <v>0.42</v>
      </c>
      <c r="R153" s="32" t="n">
        <f aca="false">P153*(1+Q153)</f>
        <v>15184.537546</v>
      </c>
      <c r="S153" s="32" t="n">
        <f aca="false">R153*(1-TradeDiscount)</f>
        <v>13362.39304048</v>
      </c>
      <c r="T153" s="32" t="n">
        <f aca="false">R153*(1-VolumeDiscount)</f>
        <v>12147.6300368</v>
      </c>
    </row>
    <row r="154" customFormat="false" ht="15" hidden="false" customHeight="false" outlineLevel="0" collapsed="false">
      <c r="A154" s="25" t="s">
        <v>504</v>
      </c>
      <c r="B154" s="25" t="s">
        <v>96</v>
      </c>
      <c r="C154" s="25" t="s">
        <v>41</v>
      </c>
      <c r="D154" s="25" t="s">
        <v>505</v>
      </c>
      <c r="E154" s="25" t="s">
        <v>361</v>
      </c>
      <c r="F154" s="25" t="s">
        <v>340</v>
      </c>
      <c r="G154" s="25" t="s">
        <v>37</v>
      </c>
      <c r="H154" s="25" t="s">
        <v>63</v>
      </c>
      <c r="I154" s="25" t="s">
        <v>190</v>
      </c>
      <c r="J154" s="25" t="s">
        <v>191</v>
      </c>
      <c r="K154" s="25" t="s">
        <v>298</v>
      </c>
      <c r="L154" s="25" t="s">
        <v>29</v>
      </c>
      <c r="M154" s="25" t="n">
        <v>3009</v>
      </c>
      <c r="N154" s="25" t="n">
        <v>1509</v>
      </c>
      <c r="O154" s="25"/>
      <c r="P154" s="26" t="n">
        <f aca="false">(M154*N154/1000000)*(INDEX(AreaRate_Vals,MATCH(C154,AreaRate_Keys,0))+IFERROR(INDEX(GlazingUpg_Vals,MATCH(H154,GlazingUpg_Keys,0)),0))+INDEX(Hardware_Vals,MATCH("Windows",Hardware_Keys,0))</f>
        <v>10693.3363</v>
      </c>
      <c r="Q154" s="27" t="n">
        <f aca="false">INDEX(Markup_Vals,MATCH("Windows",MarkupCat_Keys,0))</f>
        <v>0.42</v>
      </c>
      <c r="R154" s="28" t="n">
        <f aca="false">P154*(1+Q154)</f>
        <v>15184.537546</v>
      </c>
      <c r="S154" s="28" t="n">
        <f aca="false">R154*(1-TradeDiscount)</f>
        <v>13362.39304048</v>
      </c>
      <c r="T154" s="28" t="n">
        <f aca="false">R154*(1-VolumeDiscount)</f>
        <v>12147.6300368</v>
      </c>
    </row>
    <row r="155" customFormat="false" ht="15" hidden="false" customHeight="false" outlineLevel="0" collapsed="false">
      <c r="A155" s="29" t="s">
        <v>506</v>
      </c>
      <c r="B155" s="29" t="s">
        <v>96</v>
      </c>
      <c r="C155" s="29" t="s">
        <v>41</v>
      </c>
      <c r="D155" s="29" t="s">
        <v>507</v>
      </c>
      <c r="E155" s="29" t="s">
        <v>361</v>
      </c>
      <c r="F155" s="29" t="s">
        <v>340</v>
      </c>
      <c r="G155" s="29" t="s">
        <v>39</v>
      </c>
      <c r="H155" s="29" t="s">
        <v>63</v>
      </c>
      <c r="I155" s="29" t="s">
        <v>190</v>
      </c>
      <c r="J155" s="29" t="s">
        <v>191</v>
      </c>
      <c r="K155" s="29" t="s">
        <v>298</v>
      </c>
      <c r="L155" s="29" t="s">
        <v>29</v>
      </c>
      <c r="M155" s="29" t="n">
        <v>3009</v>
      </c>
      <c r="N155" s="29" t="n">
        <v>1509</v>
      </c>
      <c r="O155" s="29"/>
      <c r="P155" s="30" t="n">
        <f aca="false">(M155*N155/1000000)*(INDEX(AreaRate_Vals,MATCH(C155,AreaRate_Keys,0))+IFERROR(INDEX(GlazingUpg_Vals,MATCH(H155,GlazingUpg_Keys,0)),0))+INDEX(Hardware_Vals,MATCH("Windows",Hardware_Keys,0))</f>
        <v>10693.3363</v>
      </c>
      <c r="Q155" s="31" t="n">
        <f aca="false">INDEX(Markup_Vals,MATCH("Windows",MarkupCat_Keys,0))</f>
        <v>0.42</v>
      </c>
      <c r="R155" s="32" t="n">
        <f aca="false">P155*(1+Q155)</f>
        <v>15184.537546</v>
      </c>
      <c r="S155" s="32" t="n">
        <f aca="false">R155*(1-TradeDiscount)</f>
        <v>13362.39304048</v>
      </c>
      <c r="T155" s="32" t="n">
        <f aca="false">R155*(1-VolumeDiscount)</f>
        <v>12147.6300368</v>
      </c>
    </row>
    <row r="156" customFormat="false" ht="15" hidden="false" customHeight="false" outlineLevel="0" collapsed="false">
      <c r="A156" s="25" t="s">
        <v>508</v>
      </c>
      <c r="B156" s="25" t="s">
        <v>96</v>
      </c>
      <c r="C156" s="25" t="s">
        <v>41</v>
      </c>
      <c r="D156" s="25" t="s">
        <v>509</v>
      </c>
      <c r="E156" s="25" t="s">
        <v>361</v>
      </c>
      <c r="F156" s="25" t="s">
        <v>340</v>
      </c>
      <c r="G156" s="25" t="s">
        <v>38</v>
      </c>
      <c r="H156" s="25" t="s">
        <v>63</v>
      </c>
      <c r="I156" s="25" t="s">
        <v>190</v>
      </c>
      <c r="J156" s="25" t="s">
        <v>191</v>
      </c>
      <c r="K156" s="25" t="s">
        <v>298</v>
      </c>
      <c r="L156" s="25" t="s">
        <v>29</v>
      </c>
      <c r="M156" s="25" t="n">
        <v>3009</v>
      </c>
      <c r="N156" s="25" t="n">
        <v>1509</v>
      </c>
      <c r="O156" s="25"/>
      <c r="P156" s="26" t="n">
        <f aca="false">(M156*N156/1000000)*(INDEX(AreaRate_Vals,MATCH(C156,AreaRate_Keys,0))+IFERROR(INDEX(GlazingUpg_Vals,MATCH(H156,GlazingUpg_Keys,0)),0))+INDEX(Hardware_Vals,MATCH("Windows",Hardware_Keys,0))</f>
        <v>10693.3363</v>
      </c>
      <c r="Q156" s="27" t="n">
        <f aca="false">INDEX(Markup_Vals,MATCH("Windows",MarkupCat_Keys,0))</f>
        <v>0.42</v>
      </c>
      <c r="R156" s="28" t="n">
        <f aca="false">P156*(1+Q156)</f>
        <v>15184.537546</v>
      </c>
      <c r="S156" s="28" t="n">
        <f aca="false">R156*(1-TradeDiscount)</f>
        <v>13362.39304048</v>
      </c>
      <c r="T156" s="28" t="n">
        <f aca="false">R156*(1-VolumeDiscount)</f>
        <v>12147.6300368</v>
      </c>
    </row>
    <row r="157" customFormat="false" ht="15" hidden="false" customHeight="false" outlineLevel="0" collapsed="false">
      <c r="A157" s="29" t="s">
        <v>510</v>
      </c>
      <c r="B157" s="29" t="s">
        <v>96</v>
      </c>
      <c r="C157" s="29" t="s">
        <v>41</v>
      </c>
      <c r="D157" s="29" t="s">
        <v>511</v>
      </c>
      <c r="E157" s="29" t="s">
        <v>361</v>
      </c>
      <c r="F157" s="29" t="s">
        <v>340</v>
      </c>
      <c r="G157" s="29" t="s">
        <v>35</v>
      </c>
      <c r="H157" s="29" t="s">
        <v>64</v>
      </c>
      <c r="I157" s="29" t="s">
        <v>190</v>
      </c>
      <c r="J157" s="29" t="s">
        <v>191</v>
      </c>
      <c r="K157" s="29" t="s">
        <v>298</v>
      </c>
      <c r="L157" s="29" t="s">
        <v>29</v>
      </c>
      <c r="M157" s="29" t="n">
        <v>3009</v>
      </c>
      <c r="N157" s="29" t="n">
        <v>1509</v>
      </c>
      <c r="O157" s="29"/>
      <c r="P157" s="30" t="n">
        <f aca="false">(M157*N157/1000000)*(INDEX(AreaRate_Vals,MATCH(C157,AreaRate_Keys,0))+IFERROR(INDEX(GlazingUpg_Vals,MATCH(H157,GlazingUpg_Keys,0)),0))+INDEX(Hardware_Vals,MATCH("Windows",Hardware_Keys,0))</f>
        <v>13190.65585</v>
      </c>
      <c r="Q157" s="31" t="n">
        <f aca="false">INDEX(Markup_Vals,MATCH("Windows",MarkupCat_Keys,0))</f>
        <v>0.42</v>
      </c>
      <c r="R157" s="32" t="n">
        <f aca="false">P157*(1+Q157)</f>
        <v>18730.731307</v>
      </c>
      <c r="S157" s="32" t="n">
        <f aca="false">R157*(1-TradeDiscount)</f>
        <v>16483.04355016</v>
      </c>
      <c r="T157" s="32" t="n">
        <f aca="false">R157*(1-VolumeDiscount)</f>
        <v>14984.5850456</v>
      </c>
    </row>
    <row r="158" customFormat="false" ht="15" hidden="false" customHeight="false" outlineLevel="0" collapsed="false">
      <c r="A158" s="25" t="s">
        <v>512</v>
      </c>
      <c r="B158" s="25" t="s">
        <v>96</v>
      </c>
      <c r="C158" s="25" t="s">
        <v>41</v>
      </c>
      <c r="D158" s="25" t="s">
        <v>513</v>
      </c>
      <c r="E158" s="25" t="s">
        <v>361</v>
      </c>
      <c r="F158" s="25" t="s">
        <v>340</v>
      </c>
      <c r="G158" s="25" t="s">
        <v>36</v>
      </c>
      <c r="H158" s="25" t="s">
        <v>64</v>
      </c>
      <c r="I158" s="25" t="s">
        <v>190</v>
      </c>
      <c r="J158" s="25" t="s">
        <v>191</v>
      </c>
      <c r="K158" s="25" t="s">
        <v>298</v>
      </c>
      <c r="L158" s="25" t="s">
        <v>29</v>
      </c>
      <c r="M158" s="25" t="n">
        <v>3009</v>
      </c>
      <c r="N158" s="25" t="n">
        <v>1509</v>
      </c>
      <c r="O158" s="25"/>
      <c r="P158" s="26" t="n">
        <f aca="false">(M158*N158/1000000)*(INDEX(AreaRate_Vals,MATCH(C158,AreaRate_Keys,0))+IFERROR(INDEX(GlazingUpg_Vals,MATCH(H158,GlazingUpg_Keys,0)),0))+INDEX(Hardware_Vals,MATCH("Windows",Hardware_Keys,0))</f>
        <v>13190.65585</v>
      </c>
      <c r="Q158" s="27" t="n">
        <f aca="false">INDEX(Markup_Vals,MATCH("Windows",MarkupCat_Keys,0))</f>
        <v>0.42</v>
      </c>
      <c r="R158" s="28" t="n">
        <f aca="false">P158*(1+Q158)</f>
        <v>18730.731307</v>
      </c>
      <c r="S158" s="28" t="n">
        <f aca="false">R158*(1-TradeDiscount)</f>
        <v>16483.04355016</v>
      </c>
      <c r="T158" s="28" t="n">
        <f aca="false">R158*(1-VolumeDiscount)</f>
        <v>14984.5850456</v>
      </c>
    </row>
    <row r="159" customFormat="false" ht="15" hidden="false" customHeight="false" outlineLevel="0" collapsed="false">
      <c r="A159" s="29" t="s">
        <v>514</v>
      </c>
      <c r="B159" s="29" t="s">
        <v>96</v>
      </c>
      <c r="C159" s="29" t="s">
        <v>41</v>
      </c>
      <c r="D159" s="29" t="s">
        <v>515</v>
      </c>
      <c r="E159" s="29" t="s">
        <v>361</v>
      </c>
      <c r="F159" s="29" t="s">
        <v>340</v>
      </c>
      <c r="G159" s="29" t="s">
        <v>37</v>
      </c>
      <c r="H159" s="29" t="s">
        <v>64</v>
      </c>
      <c r="I159" s="29" t="s">
        <v>190</v>
      </c>
      <c r="J159" s="29" t="s">
        <v>191</v>
      </c>
      <c r="K159" s="29" t="s">
        <v>298</v>
      </c>
      <c r="L159" s="29" t="s">
        <v>29</v>
      </c>
      <c r="M159" s="29" t="n">
        <v>3009</v>
      </c>
      <c r="N159" s="29" t="n">
        <v>1509</v>
      </c>
      <c r="O159" s="29"/>
      <c r="P159" s="30" t="n">
        <f aca="false">(M159*N159/1000000)*(INDEX(AreaRate_Vals,MATCH(C159,AreaRate_Keys,0))+IFERROR(INDEX(GlazingUpg_Vals,MATCH(H159,GlazingUpg_Keys,0)),0))+INDEX(Hardware_Vals,MATCH("Windows",Hardware_Keys,0))</f>
        <v>13190.65585</v>
      </c>
      <c r="Q159" s="31" t="n">
        <f aca="false">INDEX(Markup_Vals,MATCH("Windows",MarkupCat_Keys,0))</f>
        <v>0.42</v>
      </c>
      <c r="R159" s="32" t="n">
        <f aca="false">P159*(1+Q159)</f>
        <v>18730.731307</v>
      </c>
      <c r="S159" s="32" t="n">
        <f aca="false">R159*(1-TradeDiscount)</f>
        <v>16483.04355016</v>
      </c>
      <c r="T159" s="32" t="n">
        <f aca="false">R159*(1-VolumeDiscount)</f>
        <v>14984.5850456</v>
      </c>
    </row>
    <row r="160" customFormat="false" ht="15" hidden="false" customHeight="false" outlineLevel="0" collapsed="false">
      <c r="A160" s="25" t="s">
        <v>516</v>
      </c>
      <c r="B160" s="25" t="s">
        <v>96</v>
      </c>
      <c r="C160" s="25" t="s">
        <v>41</v>
      </c>
      <c r="D160" s="25" t="s">
        <v>517</v>
      </c>
      <c r="E160" s="25" t="s">
        <v>361</v>
      </c>
      <c r="F160" s="25" t="s">
        <v>340</v>
      </c>
      <c r="G160" s="25" t="s">
        <v>39</v>
      </c>
      <c r="H160" s="25" t="s">
        <v>64</v>
      </c>
      <c r="I160" s="25" t="s">
        <v>190</v>
      </c>
      <c r="J160" s="25" t="s">
        <v>191</v>
      </c>
      <c r="K160" s="25" t="s">
        <v>298</v>
      </c>
      <c r="L160" s="25" t="s">
        <v>29</v>
      </c>
      <c r="M160" s="25" t="n">
        <v>3009</v>
      </c>
      <c r="N160" s="25" t="n">
        <v>1509</v>
      </c>
      <c r="O160" s="25"/>
      <c r="P160" s="26" t="n">
        <f aca="false">(M160*N160/1000000)*(INDEX(AreaRate_Vals,MATCH(C160,AreaRate_Keys,0))+IFERROR(INDEX(GlazingUpg_Vals,MATCH(H160,GlazingUpg_Keys,0)),0))+INDEX(Hardware_Vals,MATCH("Windows",Hardware_Keys,0))</f>
        <v>13190.65585</v>
      </c>
      <c r="Q160" s="27" t="n">
        <f aca="false">INDEX(Markup_Vals,MATCH("Windows",MarkupCat_Keys,0))</f>
        <v>0.42</v>
      </c>
      <c r="R160" s="28" t="n">
        <f aca="false">P160*(1+Q160)</f>
        <v>18730.731307</v>
      </c>
      <c r="S160" s="28" t="n">
        <f aca="false">R160*(1-TradeDiscount)</f>
        <v>16483.04355016</v>
      </c>
      <c r="T160" s="28" t="n">
        <f aca="false">R160*(1-VolumeDiscount)</f>
        <v>14984.5850456</v>
      </c>
    </row>
    <row r="161" customFormat="false" ht="15" hidden="false" customHeight="false" outlineLevel="0" collapsed="false">
      <c r="A161" s="29" t="s">
        <v>518</v>
      </c>
      <c r="B161" s="29" t="s">
        <v>96</v>
      </c>
      <c r="C161" s="29" t="s">
        <v>41</v>
      </c>
      <c r="D161" s="29" t="s">
        <v>519</v>
      </c>
      <c r="E161" s="29" t="s">
        <v>361</v>
      </c>
      <c r="F161" s="29" t="s">
        <v>340</v>
      </c>
      <c r="G161" s="29" t="s">
        <v>38</v>
      </c>
      <c r="H161" s="29" t="s">
        <v>64</v>
      </c>
      <c r="I161" s="29" t="s">
        <v>190</v>
      </c>
      <c r="J161" s="29" t="s">
        <v>191</v>
      </c>
      <c r="K161" s="29" t="s">
        <v>298</v>
      </c>
      <c r="L161" s="29" t="s">
        <v>29</v>
      </c>
      <c r="M161" s="29" t="n">
        <v>3009</v>
      </c>
      <c r="N161" s="29" t="n">
        <v>1509</v>
      </c>
      <c r="O161" s="29"/>
      <c r="P161" s="30" t="n">
        <f aca="false">(M161*N161/1000000)*(INDEX(AreaRate_Vals,MATCH(C161,AreaRate_Keys,0))+IFERROR(INDEX(GlazingUpg_Vals,MATCH(H161,GlazingUpg_Keys,0)),0))+INDEX(Hardware_Vals,MATCH("Windows",Hardware_Keys,0))</f>
        <v>13190.65585</v>
      </c>
      <c r="Q161" s="31" t="n">
        <f aca="false">INDEX(Markup_Vals,MATCH("Windows",MarkupCat_Keys,0))</f>
        <v>0.42</v>
      </c>
      <c r="R161" s="32" t="n">
        <f aca="false">P161*(1+Q161)</f>
        <v>18730.731307</v>
      </c>
      <c r="S161" s="32" t="n">
        <f aca="false">R161*(1-TradeDiscount)</f>
        <v>16483.04355016</v>
      </c>
      <c r="T161" s="32" t="n">
        <f aca="false">R161*(1-VolumeDiscount)</f>
        <v>14984.5850456</v>
      </c>
    </row>
    <row r="162" customFormat="false" ht="15" hidden="false" customHeight="false" outlineLevel="0" collapsed="false">
      <c r="A162" s="25" t="s">
        <v>520</v>
      </c>
      <c r="B162" s="25" t="s">
        <v>96</v>
      </c>
      <c r="C162" s="25" t="s">
        <v>41</v>
      </c>
      <c r="D162" s="25" t="s">
        <v>521</v>
      </c>
      <c r="E162" s="25" t="s">
        <v>522</v>
      </c>
      <c r="F162" s="25" t="s">
        <v>189</v>
      </c>
      <c r="G162" s="25" t="s">
        <v>35</v>
      </c>
      <c r="H162" s="25" t="s">
        <v>63</v>
      </c>
      <c r="I162" s="25" t="s">
        <v>190</v>
      </c>
      <c r="J162" s="25" t="s">
        <v>191</v>
      </c>
      <c r="K162" s="25" t="s">
        <v>192</v>
      </c>
      <c r="L162" s="25" t="s">
        <v>29</v>
      </c>
      <c r="M162" s="25" t="n">
        <v>609</v>
      </c>
      <c r="N162" s="25" t="n">
        <v>609</v>
      </c>
      <c r="O162" s="25"/>
      <c r="P162" s="26" t="n">
        <f aca="false">(M162*N162/1000000)*(INDEX(AreaRate_Vals,MATCH(C162,AreaRate_Keys,0))+IFERROR(INDEX(GlazingUpg_Vals,MATCH(H162,GlazingUpg_Keys,0)),0))+INDEX(Hardware_Vals,MATCH("Windows",Hardware_Keys,0))</f>
        <v>1103.0263</v>
      </c>
      <c r="Q162" s="27" t="n">
        <f aca="false">INDEX(Markup_Vals,MATCH("Windows",MarkupCat_Keys,0))</f>
        <v>0.42</v>
      </c>
      <c r="R162" s="28" t="n">
        <f aca="false">P162*(1+Q162)</f>
        <v>1566.297346</v>
      </c>
      <c r="S162" s="28" t="n">
        <f aca="false">R162*(1-TradeDiscount)</f>
        <v>1378.34166448</v>
      </c>
      <c r="T162" s="28" t="n">
        <f aca="false">R162*(1-VolumeDiscount)</f>
        <v>1253.0378768</v>
      </c>
    </row>
    <row r="163" customFormat="false" ht="15" hidden="false" customHeight="false" outlineLevel="0" collapsed="false">
      <c r="A163" s="29" t="s">
        <v>523</v>
      </c>
      <c r="B163" s="29" t="s">
        <v>96</v>
      </c>
      <c r="C163" s="29" t="s">
        <v>41</v>
      </c>
      <c r="D163" s="29" t="s">
        <v>524</v>
      </c>
      <c r="E163" s="29" t="s">
        <v>522</v>
      </c>
      <c r="F163" s="29" t="s">
        <v>189</v>
      </c>
      <c r="G163" s="29" t="s">
        <v>36</v>
      </c>
      <c r="H163" s="29" t="s">
        <v>63</v>
      </c>
      <c r="I163" s="29" t="s">
        <v>190</v>
      </c>
      <c r="J163" s="29" t="s">
        <v>191</v>
      </c>
      <c r="K163" s="29" t="s">
        <v>192</v>
      </c>
      <c r="L163" s="29" t="s">
        <v>29</v>
      </c>
      <c r="M163" s="29" t="n">
        <v>609</v>
      </c>
      <c r="N163" s="29" t="n">
        <v>609</v>
      </c>
      <c r="O163" s="29"/>
      <c r="P163" s="30" t="n">
        <f aca="false">(M163*N163/1000000)*(INDEX(AreaRate_Vals,MATCH(C163,AreaRate_Keys,0))+IFERROR(INDEX(GlazingUpg_Vals,MATCH(H163,GlazingUpg_Keys,0)),0))+INDEX(Hardware_Vals,MATCH("Windows",Hardware_Keys,0))</f>
        <v>1103.0263</v>
      </c>
      <c r="Q163" s="31" t="n">
        <f aca="false">INDEX(Markup_Vals,MATCH("Windows",MarkupCat_Keys,0))</f>
        <v>0.42</v>
      </c>
      <c r="R163" s="32" t="n">
        <f aca="false">P163*(1+Q163)</f>
        <v>1566.297346</v>
      </c>
      <c r="S163" s="32" t="n">
        <f aca="false">R163*(1-TradeDiscount)</f>
        <v>1378.34166448</v>
      </c>
      <c r="T163" s="32" t="n">
        <f aca="false">R163*(1-VolumeDiscount)</f>
        <v>1253.0378768</v>
      </c>
    </row>
    <row r="164" customFormat="false" ht="15" hidden="false" customHeight="false" outlineLevel="0" collapsed="false">
      <c r="A164" s="25" t="s">
        <v>525</v>
      </c>
      <c r="B164" s="25" t="s">
        <v>96</v>
      </c>
      <c r="C164" s="25" t="s">
        <v>41</v>
      </c>
      <c r="D164" s="25" t="s">
        <v>526</v>
      </c>
      <c r="E164" s="25" t="s">
        <v>522</v>
      </c>
      <c r="F164" s="25" t="s">
        <v>189</v>
      </c>
      <c r="G164" s="25" t="s">
        <v>37</v>
      </c>
      <c r="H164" s="25" t="s">
        <v>63</v>
      </c>
      <c r="I164" s="25" t="s">
        <v>190</v>
      </c>
      <c r="J164" s="25" t="s">
        <v>191</v>
      </c>
      <c r="K164" s="25" t="s">
        <v>192</v>
      </c>
      <c r="L164" s="25" t="s">
        <v>29</v>
      </c>
      <c r="M164" s="25" t="n">
        <v>609</v>
      </c>
      <c r="N164" s="25" t="n">
        <v>609</v>
      </c>
      <c r="O164" s="25"/>
      <c r="P164" s="26" t="n">
        <f aca="false">(M164*N164/1000000)*(INDEX(AreaRate_Vals,MATCH(C164,AreaRate_Keys,0))+IFERROR(INDEX(GlazingUpg_Vals,MATCH(H164,GlazingUpg_Keys,0)),0))+INDEX(Hardware_Vals,MATCH("Windows",Hardware_Keys,0))</f>
        <v>1103.0263</v>
      </c>
      <c r="Q164" s="27" t="n">
        <f aca="false">INDEX(Markup_Vals,MATCH("Windows",MarkupCat_Keys,0))</f>
        <v>0.42</v>
      </c>
      <c r="R164" s="28" t="n">
        <f aca="false">P164*(1+Q164)</f>
        <v>1566.297346</v>
      </c>
      <c r="S164" s="28" t="n">
        <f aca="false">R164*(1-TradeDiscount)</f>
        <v>1378.34166448</v>
      </c>
      <c r="T164" s="28" t="n">
        <f aca="false">R164*(1-VolumeDiscount)</f>
        <v>1253.0378768</v>
      </c>
    </row>
    <row r="165" customFormat="false" ht="15" hidden="false" customHeight="false" outlineLevel="0" collapsed="false">
      <c r="A165" s="29" t="s">
        <v>527</v>
      </c>
      <c r="B165" s="29" t="s">
        <v>96</v>
      </c>
      <c r="C165" s="29" t="s">
        <v>41</v>
      </c>
      <c r="D165" s="29" t="s">
        <v>528</v>
      </c>
      <c r="E165" s="29" t="s">
        <v>522</v>
      </c>
      <c r="F165" s="29" t="s">
        <v>189</v>
      </c>
      <c r="G165" s="29" t="s">
        <v>39</v>
      </c>
      <c r="H165" s="29" t="s">
        <v>63</v>
      </c>
      <c r="I165" s="29" t="s">
        <v>190</v>
      </c>
      <c r="J165" s="29" t="s">
        <v>191</v>
      </c>
      <c r="K165" s="29" t="s">
        <v>192</v>
      </c>
      <c r="L165" s="29" t="s">
        <v>29</v>
      </c>
      <c r="M165" s="29" t="n">
        <v>609</v>
      </c>
      <c r="N165" s="29" t="n">
        <v>609</v>
      </c>
      <c r="O165" s="29"/>
      <c r="P165" s="30" t="n">
        <f aca="false">(M165*N165/1000000)*(INDEX(AreaRate_Vals,MATCH(C165,AreaRate_Keys,0))+IFERROR(INDEX(GlazingUpg_Vals,MATCH(H165,GlazingUpg_Keys,0)),0))+INDEX(Hardware_Vals,MATCH("Windows",Hardware_Keys,0))</f>
        <v>1103.0263</v>
      </c>
      <c r="Q165" s="31" t="n">
        <f aca="false">INDEX(Markup_Vals,MATCH("Windows",MarkupCat_Keys,0))</f>
        <v>0.42</v>
      </c>
      <c r="R165" s="32" t="n">
        <f aca="false">P165*(1+Q165)</f>
        <v>1566.297346</v>
      </c>
      <c r="S165" s="32" t="n">
        <f aca="false">R165*(1-TradeDiscount)</f>
        <v>1378.34166448</v>
      </c>
      <c r="T165" s="32" t="n">
        <f aca="false">R165*(1-VolumeDiscount)</f>
        <v>1253.0378768</v>
      </c>
    </row>
    <row r="166" customFormat="false" ht="15" hidden="false" customHeight="false" outlineLevel="0" collapsed="false">
      <c r="A166" s="25" t="s">
        <v>529</v>
      </c>
      <c r="B166" s="25" t="s">
        <v>96</v>
      </c>
      <c r="C166" s="25" t="s">
        <v>41</v>
      </c>
      <c r="D166" s="25" t="s">
        <v>530</v>
      </c>
      <c r="E166" s="25" t="s">
        <v>522</v>
      </c>
      <c r="F166" s="25" t="s">
        <v>189</v>
      </c>
      <c r="G166" s="25" t="s">
        <v>38</v>
      </c>
      <c r="H166" s="25" t="s">
        <v>63</v>
      </c>
      <c r="I166" s="25" t="s">
        <v>190</v>
      </c>
      <c r="J166" s="25" t="s">
        <v>191</v>
      </c>
      <c r="K166" s="25" t="s">
        <v>192</v>
      </c>
      <c r="L166" s="25" t="s">
        <v>29</v>
      </c>
      <c r="M166" s="25" t="n">
        <v>609</v>
      </c>
      <c r="N166" s="25" t="n">
        <v>609</v>
      </c>
      <c r="O166" s="25"/>
      <c r="P166" s="26" t="n">
        <f aca="false">(M166*N166/1000000)*(INDEX(AreaRate_Vals,MATCH(C166,AreaRate_Keys,0))+IFERROR(INDEX(GlazingUpg_Vals,MATCH(H166,GlazingUpg_Keys,0)),0))+INDEX(Hardware_Vals,MATCH("Windows",Hardware_Keys,0))</f>
        <v>1103.0263</v>
      </c>
      <c r="Q166" s="27" t="n">
        <f aca="false">INDEX(Markup_Vals,MATCH("Windows",MarkupCat_Keys,0))</f>
        <v>0.42</v>
      </c>
      <c r="R166" s="28" t="n">
        <f aca="false">P166*(1+Q166)</f>
        <v>1566.297346</v>
      </c>
      <c r="S166" s="28" t="n">
        <f aca="false">R166*(1-TradeDiscount)</f>
        <v>1378.34166448</v>
      </c>
      <c r="T166" s="28" t="n">
        <f aca="false">R166*(1-VolumeDiscount)</f>
        <v>1253.0378768</v>
      </c>
    </row>
    <row r="167" customFormat="false" ht="15" hidden="false" customHeight="false" outlineLevel="0" collapsed="false">
      <c r="A167" s="29" t="s">
        <v>531</v>
      </c>
      <c r="B167" s="29" t="s">
        <v>96</v>
      </c>
      <c r="C167" s="29" t="s">
        <v>41</v>
      </c>
      <c r="D167" s="29" t="s">
        <v>532</v>
      </c>
      <c r="E167" s="29" t="s">
        <v>522</v>
      </c>
      <c r="F167" s="29" t="s">
        <v>189</v>
      </c>
      <c r="G167" s="29" t="s">
        <v>35</v>
      </c>
      <c r="H167" s="29" t="s">
        <v>64</v>
      </c>
      <c r="I167" s="29" t="s">
        <v>190</v>
      </c>
      <c r="J167" s="29" t="s">
        <v>191</v>
      </c>
      <c r="K167" s="29" t="s">
        <v>192</v>
      </c>
      <c r="L167" s="29" t="s">
        <v>29</v>
      </c>
      <c r="M167" s="29" t="n">
        <v>609</v>
      </c>
      <c r="N167" s="29" t="n">
        <v>609</v>
      </c>
      <c r="O167" s="29"/>
      <c r="P167" s="30" t="n">
        <f aca="false">(M167*N167/1000000)*(INDEX(AreaRate_Vals,MATCH(C167,AreaRate_Keys,0))+IFERROR(INDEX(GlazingUpg_Vals,MATCH(H167,GlazingUpg_Keys,0)),0))+INDEX(Hardware_Vals,MATCH("Windows",Hardware_Keys,0))</f>
        <v>1307.01085</v>
      </c>
      <c r="Q167" s="31" t="n">
        <f aca="false">INDEX(Markup_Vals,MATCH("Windows",MarkupCat_Keys,0))</f>
        <v>0.42</v>
      </c>
      <c r="R167" s="32" t="n">
        <f aca="false">P167*(1+Q167)</f>
        <v>1855.955407</v>
      </c>
      <c r="S167" s="32" t="n">
        <f aca="false">R167*(1-TradeDiscount)</f>
        <v>1633.24075816</v>
      </c>
      <c r="T167" s="32" t="n">
        <f aca="false">R167*(1-VolumeDiscount)</f>
        <v>1484.7643256</v>
      </c>
    </row>
    <row r="168" customFormat="false" ht="15" hidden="false" customHeight="false" outlineLevel="0" collapsed="false">
      <c r="A168" s="25" t="s">
        <v>533</v>
      </c>
      <c r="B168" s="25" t="s">
        <v>96</v>
      </c>
      <c r="C168" s="25" t="s">
        <v>41</v>
      </c>
      <c r="D168" s="25" t="s">
        <v>534</v>
      </c>
      <c r="E168" s="25" t="s">
        <v>522</v>
      </c>
      <c r="F168" s="25" t="s">
        <v>189</v>
      </c>
      <c r="G168" s="25" t="s">
        <v>36</v>
      </c>
      <c r="H168" s="25" t="s">
        <v>64</v>
      </c>
      <c r="I168" s="25" t="s">
        <v>190</v>
      </c>
      <c r="J168" s="25" t="s">
        <v>191</v>
      </c>
      <c r="K168" s="25" t="s">
        <v>192</v>
      </c>
      <c r="L168" s="25" t="s">
        <v>29</v>
      </c>
      <c r="M168" s="25" t="n">
        <v>609</v>
      </c>
      <c r="N168" s="25" t="n">
        <v>609</v>
      </c>
      <c r="O168" s="25"/>
      <c r="P168" s="26" t="n">
        <f aca="false">(M168*N168/1000000)*(INDEX(AreaRate_Vals,MATCH(C168,AreaRate_Keys,0))+IFERROR(INDEX(GlazingUpg_Vals,MATCH(H168,GlazingUpg_Keys,0)),0))+INDEX(Hardware_Vals,MATCH("Windows",Hardware_Keys,0))</f>
        <v>1307.01085</v>
      </c>
      <c r="Q168" s="27" t="n">
        <f aca="false">INDEX(Markup_Vals,MATCH("Windows",MarkupCat_Keys,0))</f>
        <v>0.42</v>
      </c>
      <c r="R168" s="28" t="n">
        <f aca="false">P168*(1+Q168)</f>
        <v>1855.955407</v>
      </c>
      <c r="S168" s="28" t="n">
        <f aca="false">R168*(1-TradeDiscount)</f>
        <v>1633.24075816</v>
      </c>
      <c r="T168" s="28" t="n">
        <f aca="false">R168*(1-VolumeDiscount)</f>
        <v>1484.7643256</v>
      </c>
    </row>
    <row r="169" customFormat="false" ht="15" hidden="false" customHeight="false" outlineLevel="0" collapsed="false">
      <c r="A169" s="29" t="s">
        <v>535</v>
      </c>
      <c r="B169" s="29" t="s">
        <v>96</v>
      </c>
      <c r="C169" s="29" t="s">
        <v>41</v>
      </c>
      <c r="D169" s="29" t="s">
        <v>536</v>
      </c>
      <c r="E169" s="29" t="s">
        <v>522</v>
      </c>
      <c r="F169" s="29" t="s">
        <v>189</v>
      </c>
      <c r="G169" s="29" t="s">
        <v>37</v>
      </c>
      <c r="H169" s="29" t="s">
        <v>64</v>
      </c>
      <c r="I169" s="29" t="s">
        <v>190</v>
      </c>
      <c r="J169" s="29" t="s">
        <v>191</v>
      </c>
      <c r="K169" s="29" t="s">
        <v>192</v>
      </c>
      <c r="L169" s="29" t="s">
        <v>29</v>
      </c>
      <c r="M169" s="29" t="n">
        <v>609</v>
      </c>
      <c r="N169" s="29" t="n">
        <v>609</v>
      </c>
      <c r="O169" s="29"/>
      <c r="P169" s="30" t="n">
        <f aca="false">(M169*N169/1000000)*(INDEX(AreaRate_Vals,MATCH(C169,AreaRate_Keys,0))+IFERROR(INDEX(GlazingUpg_Vals,MATCH(H169,GlazingUpg_Keys,0)),0))+INDEX(Hardware_Vals,MATCH("Windows",Hardware_Keys,0))</f>
        <v>1307.01085</v>
      </c>
      <c r="Q169" s="31" t="n">
        <f aca="false">INDEX(Markup_Vals,MATCH("Windows",MarkupCat_Keys,0))</f>
        <v>0.42</v>
      </c>
      <c r="R169" s="32" t="n">
        <f aca="false">P169*(1+Q169)</f>
        <v>1855.955407</v>
      </c>
      <c r="S169" s="32" t="n">
        <f aca="false">R169*(1-TradeDiscount)</f>
        <v>1633.24075816</v>
      </c>
      <c r="T169" s="32" t="n">
        <f aca="false">R169*(1-VolumeDiscount)</f>
        <v>1484.7643256</v>
      </c>
    </row>
    <row r="170" customFormat="false" ht="15" hidden="false" customHeight="false" outlineLevel="0" collapsed="false">
      <c r="A170" s="25" t="s">
        <v>537</v>
      </c>
      <c r="B170" s="25" t="s">
        <v>96</v>
      </c>
      <c r="C170" s="25" t="s">
        <v>41</v>
      </c>
      <c r="D170" s="25" t="s">
        <v>538</v>
      </c>
      <c r="E170" s="25" t="s">
        <v>522</v>
      </c>
      <c r="F170" s="25" t="s">
        <v>189</v>
      </c>
      <c r="G170" s="25" t="s">
        <v>39</v>
      </c>
      <c r="H170" s="25" t="s">
        <v>64</v>
      </c>
      <c r="I170" s="25" t="s">
        <v>190</v>
      </c>
      <c r="J170" s="25" t="s">
        <v>191</v>
      </c>
      <c r="K170" s="25" t="s">
        <v>192</v>
      </c>
      <c r="L170" s="25" t="s">
        <v>29</v>
      </c>
      <c r="M170" s="25" t="n">
        <v>609</v>
      </c>
      <c r="N170" s="25" t="n">
        <v>609</v>
      </c>
      <c r="O170" s="25"/>
      <c r="P170" s="26" t="n">
        <f aca="false">(M170*N170/1000000)*(INDEX(AreaRate_Vals,MATCH(C170,AreaRate_Keys,0))+IFERROR(INDEX(GlazingUpg_Vals,MATCH(H170,GlazingUpg_Keys,0)),0))+INDEX(Hardware_Vals,MATCH("Windows",Hardware_Keys,0))</f>
        <v>1307.01085</v>
      </c>
      <c r="Q170" s="27" t="n">
        <f aca="false">INDEX(Markup_Vals,MATCH("Windows",MarkupCat_Keys,0))</f>
        <v>0.42</v>
      </c>
      <c r="R170" s="28" t="n">
        <f aca="false">P170*(1+Q170)</f>
        <v>1855.955407</v>
      </c>
      <c r="S170" s="28" t="n">
        <f aca="false">R170*(1-TradeDiscount)</f>
        <v>1633.24075816</v>
      </c>
      <c r="T170" s="28" t="n">
        <f aca="false">R170*(1-VolumeDiscount)</f>
        <v>1484.7643256</v>
      </c>
    </row>
    <row r="171" customFormat="false" ht="15" hidden="false" customHeight="false" outlineLevel="0" collapsed="false">
      <c r="A171" s="29" t="s">
        <v>539</v>
      </c>
      <c r="B171" s="29" t="s">
        <v>96</v>
      </c>
      <c r="C171" s="29" t="s">
        <v>41</v>
      </c>
      <c r="D171" s="29" t="s">
        <v>540</v>
      </c>
      <c r="E171" s="29" t="s">
        <v>522</v>
      </c>
      <c r="F171" s="29" t="s">
        <v>189</v>
      </c>
      <c r="G171" s="29" t="s">
        <v>38</v>
      </c>
      <c r="H171" s="29" t="s">
        <v>64</v>
      </c>
      <c r="I171" s="29" t="s">
        <v>190</v>
      </c>
      <c r="J171" s="29" t="s">
        <v>191</v>
      </c>
      <c r="K171" s="29" t="s">
        <v>192</v>
      </c>
      <c r="L171" s="29" t="s">
        <v>29</v>
      </c>
      <c r="M171" s="29" t="n">
        <v>609</v>
      </c>
      <c r="N171" s="29" t="n">
        <v>609</v>
      </c>
      <c r="O171" s="29"/>
      <c r="P171" s="30" t="n">
        <f aca="false">(M171*N171/1000000)*(INDEX(AreaRate_Vals,MATCH(C171,AreaRate_Keys,0))+IFERROR(INDEX(GlazingUpg_Vals,MATCH(H171,GlazingUpg_Keys,0)),0))+INDEX(Hardware_Vals,MATCH("Windows",Hardware_Keys,0))</f>
        <v>1307.01085</v>
      </c>
      <c r="Q171" s="31" t="n">
        <f aca="false">INDEX(Markup_Vals,MATCH("Windows",MarkupCat_Keys,0))</f>
        <v>0.42</v>
      </c>
      <c r="R171" s="32" t="n">
        <f aca="false">P171*(1+Q171)</f>
        <v>1855.955407</v>
      </c>
      <c r="S171" s="32" t="n">
        <f aca="false">R171*(1-TradeDiscount)</f>
        <v>1633.24075816</v>
      </c>
      <c r="T171" s="32" t="n">
        <f aca="false">R171*(1-VolumeDiscount)</f>
        <v>1484.7643256</v>
      </c>
    </row>
    <row r="172" customFormat="false" ht="15" hidden="false" customHeight="false" outlineLevel="0" collapsed="false">
      <c r="A172" s="25" t="s">
        <v>541</v>
      </c>
      <c r="B172" s="25" t="s">
        <v>96</v>
      </c>
      <c r="C172" s="25" t="s">
        <v>41</v>
      </c>
      <c r="D172" s="25" t="s">
        <v>542</v>
      </c>
      <c r="E172" s="25" t="s">
        <v>522</v>
      </c>
      <c r="F172" s="25" t="s">
        <v>213</v>
      </c>
      <c r="G172" s="25" t="s">
        <v>35</v>
      </c>
      <c r="H172" s="25" t="s">
        <v>63</v>
      </c>
      <c r="I172" s="25" t="s">
        <v>190</v>
      </c>
      <c r="J172" s="25" t="s">
        <v>191</v>
      </c>
      <c r="K172" s="25" t="s">
        <v>192</v>
      </c>
      <c r="L172" s="25" t="s">
        <v>29</v>
      </c>
      <c r="M172" s="25" t="n">
        <v>1209</v>
      </c>
      <c r="N172" s="25" t="n">
        <v>609</v>
      </c>
      <c r="O172" s="25"/>
      <c r="P172" s="26" t="n">
        <f aca="false">(M172*N172/1000000)*(INDEX(AreaRate_Vals,MATCH(C172,AreaRate_Keys,0))+IFERROR(INDEX(GlazingUpg_Vals,MATCH(H172,GlazingUpg_Keys,0)),0))+INDEX(Hardware_Vals,MATCH("Windows",Hardware_Keys,0))</f>
        <v>1943.4463</v>
      </c>
      <c r="Q172" s="27" t="n">
        <f aca="false">INDEX(Markup_Vals,MATCH("Windows",MarkupCat_Keys,0))</f>
        <v>0.42</v>
      </c>
      <c r="R172" s="28" t="n">
        <f aca="false">P172*(1+Q172)</f>
        <v>2759.693746</v>
      </c>
      <c r="S172" s="28" t="n">
        <f aca="false">R172*(1-TradeDiscount)</f>
        <v>2428.53049648</v>
      </c>
      <c r="T172" s="28" t="n">
        <f aca="false">R172*(1-VolumeDiscount)</f>
        <v>2207.7549968</v>
      </c>
    </row>
    <row r="173" customFormat="false" ht="15" hidden="false" customHeight="false" outlineLevel="0" collapsed="false">
      <c r="A173" s="29" t="s">
        <v>543</v>
      </c>
      <c r="B173" s="29" t="s">
        <v>96</v>
      </c>
      <c r="C173" s="29" t="s">
        <v>41</v>
      </c>
      <c r="D173" s="29" t="s">
        <v>544</v>
      </c>
      <c r="E173" s="29" t="s">
        <v>522</v>
      </c>
      <c r="F173" s="29" t="s">
        <v>213</v>
      </c>
      <c r="G173" s="29" t="s">
        <v>36</v>
      </c>
      <c r="H173" s="29" t="s">
        <v>63</v>
      </c>
      <c r="I173" s="29" t="s">
        <v>190</v>
      </c>
      <c r="J173" s="29" t="s">
        <v>191</v>
      </c>
      <c r="K173" s="29" t="s">
        <v>192</v>
      </c>
      <c r="L173" s="29" t="s">
        <v>29</v>
      </c>
      <c r="M173" s="29" t="n">
        <v>1209</v>
      </c>
      <c r="N173" s="29" t="n">
        <v>609</v>
      </c>
      <c r="O173" s="29"/>
      <c r="P173" s="30" t="n">
        <f aca="false">(M173*N173/1000000)*(INDEX(AreaRate_Vals,MATCH(C173,AreaRate_Keys,0))+IFERROR(INDEX(GlazingUpg_Vals,MATCH(H173,GlazingUpg_Keys,0)),0))+INDEX(Hardware_Vals,MATCH("Windows",Hardware_Keys,0))</f>
        <v>1943.4463</v>
      </c>
      <c r="Q173" s="31" t="n">
        <f aca="false">INDEX(Markup_Vals,MATCH("Windows",MarkupCat_Keys,0))</f>
        <v>0.42</v>
      </c>
      <c r="R173" s="32" t="n">
        <f aca="false">P173*(1+Q173)</f>
        <v>2759.693746</v>
      </c>
      <c r="S173" s="32" t="n">
        <f aca="false">R173*(1-TradeDiscount)</f>
        <v>2428.53049648</v>
      </c>
      <c r="T173" s="32" t="n">
        <f aca="false">R173*(1-VolumeDiscount)</f>
        <v>2207.7549968</v>
      </c>
    </row>
    <row r="174" customFormat="false" ht="15" hidden="false" customHeight="false" outlineLevel="0" collapsed="false">
      <c r="A174" s="25" t="s">
        <v>545</v>
      </c>
      <c r="B174" s="25" t="s">
        <v>96</v>
      </c>
      <c r="C174" s="25" t="s">
        <v>41</v>
      </c>
      <c r="D174" s="25" t="s">
        <v>546</v>
      </c>
      <c r="E174" s="25" t="s">
        <v>522</v>
      </c>
      <c r="F174" s="25" t="s">
        <v>213</v>
      </c>
      <c r="G174" s="25" t="s">
        <v>37</v>
      </c>
      <c r="H174" s="25" t="s">
        <v>63</v>
      </c>
      <c r="I174" s="25" t="s">
        <v>190</v>
      </c>
      <c r="J174" s="25" t="s">
        <v>191</v>
      </c>
      <c r="K174" s="25" t="s">
        <v>192</v>
      </c>
      <c r="L174" s="25" t="s">
        <v>29</v>
      </c>
      <c r="M174" s="25" t="n">
        <v>1209</v>
      </c>
      <c r="N174" s="25" t="n">
        <v>609</v>
      </c>
      <c r="O174" s="25"/>
      <c r="P174" s="26" t="n">
        <f aca="false">(M174*N174/1000000)*(INDEX(AreaRate_Vals,MATCH(C174,AreaRate_Keys,0))+IFERROR(INDEX(GlazingUpg_Vals,MATCH(H174,GlazingUpg_Keys,0)),0))+INDEX(Hardware_Vals,MATCH("Windows",Hardware_Keys,0))</f>
        <v>1943.4463</v>
      </c>
      <c r="Q174" s="27" t="n">
        <f aca="false">INDEX(Markup_Vals,MATCH("Windows",MarkupCat_Keys,0))</f>
        <v>0.42</v>
      </c>
      <c r="R174" s="28" t="n">
        <f aca="false">P174*(1+Q174)</f>
        <v>2759.693746</v>
      </c>
      <c r="S174" s="28" t="n">
        <f aca="false">R174*(1-TradeDiscount)</f>
        <v>2428.53049648</v>
      </c>
      <c r="T174" s="28" t="n">
        <f aca="false">R174*(1-VolumeDiscount)</f>
        <v>2207.7549968</v>
      </c>
    </row>
    <row r="175" customFormat="false" ht="15" hidden="false" customHeight="false" outlineLevel="0" collapsed="false">
      <c r="A175" s="29" t="s">
        <v>547</v>
      </c>
      <c r="B175" s="29" t="s">
        <v>96</v>
      </c>
      <c r="C175" s="29" t="s">
        <v>41</v>
      </c>
      <c r="D175" s="29" t="s">
        <v>548</v>
      </c>
      <c r="E175" s="29" t="s">
        <v>522</v>
      </c>
      <c r="F175" s="29" t="s">
        <v>213</v>
      </c>
      <c r="G175" s="29" t="s">
        <v>39</v>
      </c>
      <c r="H175" s="29" t="s">
        <v>63</v>
      </c>
      <c r="I175" s="29" t="s">
        <v>190</v>
      </c>
      <c r="J175" s="29" t="s">
        <v>191</v>
      </c>
      <c r="K175" s="29" t="s">
        <v>192</v>
      </c>
      <c r="L175" s="29" t="s">
        <v>29</v>
      </c>
      <c r="M175" s="29" t="n">
        <v>1209</v>
      </c>
      <c r="N175" s="29" t="n">
        <v>609</v>
      </c>
      <c r="O175" s="29"/>
      <c r="P175" s="30" t="n">
        <f aca="false">(M175*N175/1000000)*(INDEX(AreaRate_Vals,MATCH(C175,AreaRate_Keys,0))+IFERROR(INDEX(GlazingUpg_Vals,MATCH(H175,GlazingUpg_Keys,0)),0))+INDEX(Hardware_Vals,MATCH("Windows",Hardware_Keys,0))</f>
        <v>1943.4463</v>
      </c>
      <c r="Q175" s="31" t="n">
        <f aca="false">INDEX(Markup_Vals,MATCH("Windows",MarkupCat_Keys,0))</f>
        <v>0.42</v>
      </c>
      <c r="R175" s="32" t="n">
        <f aca="false">P175*(1+Q175)</f>
        <v>2759.693746</v>
      </c>
      <c r="S175" s="32" t="n">
        <f aca="false">R175*(1-TradeDiscount)</f>
        <v>2428.53049648</v>
      </c>
      <c r="T175" s="32" t="n">
        <f aca="false">R175*(1-VolumeDiscount)</f>
        <v>2207.7549968</v>
      </c>
    </row>
    <row r="176" customFormat="false" ht="15" hidden="false" customHeight="false" outlineLevel="0" collapsed="false">
      <c r="A176" s="25" t="s">
        <v>549</v>
      </c>
      <c r="B176" s="25" t="s">
        <v>96</v>
      </c>
      <c r="C176" s="25" t="s">
        <v>41</v>
      </c>
      <c r="D176" s="25" t="s">
        <v>550</v>
      </c>
      <c r="E176" s="25" t="s">
        <v>522</v>
      </c>
      <c r="F176" s="25" t="s">
        <v>213</v>
      </c>
      <c r="G176" s="25" t="s">
        <v>38</v>
      </c>
      <c r="H176" s="25" t="s">
        <v>63</v>
      </c>
      <c r="I176" s="25" t="s">
        <v>190</v>
      </c>
      <c r="J176" s="25" t="s">
        <v>191</v>
      </c>
      <c r="K176" s="25" t="s">
        <v>192</v>
      </c>
      <c r="L176" s="25" t="s">
        <v>29</v>
      </c>
      <c r="M176" s="25" t="n">
        <v>1209</v>
      </c>
      <c r="N176" s="25" t="n">
        <v>609</v>
      </c>
      <c r="O176" s="25"/>
      <c r="P176" s="26" t="n">
        <f aca="false">(M176*N176/1000000)*(INDEX(AreaRate_Vals,MATCH(C176,AreaRate_Keys,0))+IFERROR(INDEX(GlazingUpg_Vals,MATCH(H176,GlazingUpg_Keys,0)),0))+INDEX(Hardware_Vals,MATCH("Windows",Hardware_Keys,0))</f>
        <v>1943.4463</v>
      </c>
      <c r="Q176" s="27" t="n">
        <f aca="false">INDEX(Markup_Vals,MATCH("Windows",MarkupCat_Keys,0))</f>
        <v>0.42</v>
      </c>
      <c r="R176" s="28" t="n">
        <f aca="false">P176*(1+Q176)</f>
        <v>2759.693746</v>
      </c>
      <c r="S176" s="28" t="n">
        <f aca="false">R176*(1-TradeDiscount)</f>
        <v>2428.53049648</v>
      </c>
      <c r="T176" s="28" t="n">
        <f aca="false">R176*(1-VolumeDiscount)</f>
        <v>2207.7549968</v>
      </c>
    </row>
    <row r="177" customFormat="false" ht="15" hidden="false" customHeight="false" outlineLevel="0" collapsed="false">
      <c r="A177" s="29" t="s">
        <v>551</v>
      </c>
      <c r="B177" s="29" t="s">
        <v>96</v>
      </c>
      <c r="C177" s="29" t="s">
        <v>41</v>
      </c>
      <c r="D177" s="29" t="s">
        <v>552</v>
      </c>
      <c r="E177" s="29" t="s">
        <v>522</v>
      </c>
      <c r="F177" s="29" t="s">
        <v>213</v>
      </c>
      <c r="G177" s="29" t="s">
        <v>35</v>
      </c>
      <c r="H177" s="29" t="s">
        <v>64</v>
      </c>
      <c r="I177" s="29" t="s">
        <v>190</v>
      </c>
      <c r="J177" s="29" t="s">
        <v>191</v>
      </c>
      <c r="K177" s="29" t="s">
        <v>192</v>
      </c>
      <c r="L177" s="29" t="s">
        <v>29</v>
      </c>
      <c r="M177" s="29" t="n">
        <v>1209</v>
      </c>
      <c r="N177" s="29" t="n">
        <v>609</v>
      </c>
      <c r="O177" s="29"/>
      <c r="P177" s="30" t="n">
        <f aca="false">(M177*N177/1000000)*(INDEX(AreaRate_Vals,MATCH(C177,AreaRate_Keys,0))+IFERROR(INDEX(GlazingUpg_Vals,MATCH(H177,GlazingUpg_Keys,0)),0))+INDEX(Hardware_Vals,MATCH("Windows",Hardware_Keys,0))</f>
        <v>2348.40085</v>
      </c>
      <c r="Q177" s="31" t="n">
        <f aca="false">INDEX(Markup_Vals,MATCH("Windows",MarkupCat_Keys,0))</f>
        <v>0.42</v>
      </c>
      <c r="R177" s="32" t="n">
        <f aca="false">P177*(1+Q177)</f>
        <v>3334.729207</v>
      </c>
      <c r="S177" s="32" t="n">
        <f aca="false">R177*(1-TradeDiscount)</f>
        <v>2934.56170216</v>
      </c>
      <c r="T177" s="32" t="n">
        <f aca="false">R177*(1-VolumeDiscount)</f>
        <v>2667.7833656</v>
      </c>
    </row>
    <row r="178" customFormat="false" ht="15" hidden="false" customHeight="false" outlineLevel="0" collapsed="false">
      <c r="A178" s="25" t="s">
        <v>553</v>
      </c>
      <c r="B178" s="25" t="s">
        <v>96</v>
      </c>
      <c r="C178" s="25" t="s">
        <v>41</v>
      </c>
      <c r="D178" s="25" t="s">
        <v>554</v>
      </c>
      <c r="E178" s="25" t="s">
        <v>522</v>
      </c>
      <c r="F178" s="25" t="s">
        <v>213</v>
      </c>
      <c r="G178" s="25" t="s">
        <v>36</v>
      </c>
      <c r="H178" s="25" t="s">
        <v>64</v>
      </c>
      <c r="I178" s="25" t="s">
        <v>190</v>
      </c>
      <c r="J178" s="25" t="s">
        <v>191</v>
      </c>
      <c r="K178" s="25" t="s">
        <v>192</v>
      </c>
      <c r="L178" s="25" t="s">
        <v>29</v>
      </c>
      <c r="M178" s="25" t="n">
        <v>1209</v>
      </c>
      <c r="N178" s="25" t="n">
        <v>609</v>
      </c>
      <c r="O178" s="25"/>
      <c r="P178" s="26" t="n">
        <f aca="false">(M178*N178/1000000)*(INDEX(AreaRate_Vals,MATCH(C178,AreaRate_Keys,0))+IFERROR(INDEX(GlazingUpg_Vals,MATCH(H178,GlazingUpg_Keys,0)),0))+INDEX(Hardware_Vals,MATCH("Windows",Hardware_Keys,0))</f>
        <v>2348.40085</v>
      </c>
      <c r="Q178" s="27" t="n">
        <f aca="false">INDEX(Markup_Vals,MATCH("Windows",MarkupCat_Keys,0))</f>
        <v>0.42</v>
      </c>
      <c r="R178" s="28" t="n">
        <f aca="false">P178*(1+Q178)</f>
        <v>3334.729207</v>
      </c>
      <c r="S178" s="28" t="n">
        <f aca="false">R178*(1-TradeDiscount)</f>
        <v>2934.56170216</v>
      </c>
      <c r="T178" s="28" t="n">
        <f aca="false">R178*(1-VolumeDiscount)</f>
        <v>2667.7833656</v>
      </c>
    </row>
    <row r="179" customFormat="false" ht="15" hidden="false" customHeight="false" outlineLevel="0" collapsed="false">
      <c r="A179" s="29" t="s">
        <v>555</v>
      </c>
      <c r="B179" s="29" t="s">
        <v>96</v>
      </c>
      <c r="C179" s="29" t="s">
        <v>41</v>
      </c>
      <c r="D179" s="29" t="s">
        <v>556</v>
      </c>
      <c r="E179" s="29" t="s">
        <v>522</v>
      </c>
      <c r="F179" s="29" t="s">
        <v>213</v>
      </c>
      <c r="G179" s="29" t="s">
        <v>37</v>
      </c>
      <c r="H179" s="29" t="s">
        <v>64</v>
      </c>
      <c r="I179" s="29" t="s">
        <v>190</v>
      </c>
      <c r="J179" s="29" t="s">
        <v>191</v>
      </c>
      <c r="K179" s="29" t="s">
        <v>192</v>
      </c>
      <c r="L179" s="29" t="s">
        <v>29</v>
      </c>
      <c r="M179" s="29" t="n">
        <v>1209</v>
      </c>
      <c r="N179" s="29" t="n">
        <v>609</v>
      </c>
      <c r="O179" s="29"/>
      <c r="P179" s="30" t="n">
        <f aca="false">(M179*N179/1000000)*(INDEX(AreaRate_Vals,MATCH(C179,AreaRate_Keys,0))+IFERROR(INDEX(GlazingUpg_Vals,MATCH(H179,GlazingUpg_Keys,0)),0))+INDEX(Hardware_Vals,MATCH("Windows",Hardware_Keys,0))</f>
        <v>2348.40085</v>
      </c>
      <c r="Q179" s="31" t="n">
        <f aca="false">INDEX(Markup_Vals,MATCH("Windows",MarkupCat_Keys,0))</f>
        <v>0.42</v>
      </c>
      <c r="R179" s="32" t="n">
        <f aca="false">P179*(1+Q179)</f>
        <v>3334.729207</v>
      </c>
      <c r="S179" s="32" t="n">
        <f aca="false">R179*(1-TradeDiscount)</f>
        <v>2934.56170216</v>
      </c>
      <c r="T179" s="32" t="n">
        <f aca="false">R179*(1-VolumeDiscount)</f>
        <v>2667.7833656</v>
      </c>
    </row>
    <row r="180" customFormat="false" ht="15" hidden="false" customHeight="false" outlineLevel="0" collapsed="false">
      <c r="A180" s="25" t="s">
        <v>557</v>
      </c>
      <c r="B180" s="25" t="s">
        <v>96</v>
      </c>
      <c r="C180" s="25" t="s">
        <v>41</v>
      </c>
      <c r="D180" s="25" t="s">
        <v>558</v>
      </c>
      <c r="E180" s="25" t="s">
        <v>522</v>
      </c>
      <c r="F180" s="25" t="s">
        <v>213</v>
      </c>
      <c r="G180" s="25" t="s">
        <v>39</v>
      </c>
      <c r="H180" s="25" t="s">
        <v>64</v>
      </c>
      <c r="I180" s="25" t="s">
        <v>190</v>
      </c>
      <c r="J180" s="25" t="s">
        <v>191</v>
      </c>
      <c r="K180" s="25" t="s">
        <v>192</v>
      </c>
      <c r="L180" s="25" t="s">
        <v>29</v>
      </c>
      <c r="M180" s="25" t="n">
        <v>1209</v>
      </c>
      <c r="N180" s="25" t="n">
        <v>609</v>
      </c>
      <c r="O180" s="25"/>
      <c r="P180" s="26" t="n">
        <f aca="false">(M180*N180/1000000)*(INDEX(AreaRate_Vals,MATCH(C180,AreaRate_Keys,0))+IFERROR(INDEX(GlazingUpg_Vals,MATCH(H180,GlazingUpg_Keys,0)),0))+INDEX(Hardware_Vals,MATCH("Windows",Hardware_Keys,0))</f>
        <v>2348.40085</v>
      </c>
      <c r="Q180" s="27" t="n">
        <f aca="false">INDEX(Markup_Vals,MATCH("Windows",MarkupCat_Keys,0))</f>
        <v>0.42</v>
      </c>
      <c r="R180" s="28" t="n">
        <f aca="false">P180*(1+Q180)</f>
        <v>3334.729207</v>
      </c>
      <c r="S180" s="28" t="n">
        <f aca="false">R180*(1-TradeDiscount)</f>
        <v>2934.56170216</v>
      </c>
      <c r="T180" s="28" t="n">
        <f aca="false">R180*(1-VolumeDiscount)</f>
        <v>2667.7833656</v>
      </c>
    </row>
    <row r="181" customFormat="false" ht="15" hidden="false" customHeight="false" outlineLevel="0" collapsed="false">
      <c r="A181" s="29" t="s">
        <v>559</v>
      </c>
      <c r="B181" s="29" t="s">
        <v>96</v>
      </c>
      <c r="C181" s="29" t="s">
        <v>41</v>
      </c>
      <c r="D181" s="29" t="s">
        <v>560</v>
      </c>
      <c r="E181" s="29" t="s">
        <v>522</v>
      </c>
      <c r="F181" s="29" t="s">
        <v>213</v>
      </c>
      <c r="G181" s="29" t="s">
        <v>38</v>
      </c>
      <c r="H181" s="29" t="s">
        <v>64</v>
      </c>
      <c r="I181" s="29" t="s">
        <v>190</v>
      </c>
      <c r="J181" s="29" t="s">
        <v>191</v>
      </c>
      <c r="K181" s="29" t="s">
        <v>192</v>
      </c>
      <c r="L181" s="29" t="s">
        <v>29</v>
      </c>
      <c r="M181" s="29" t="n">
        <v>1209</v>
      </c>
      <c r="N181" s="29" t="n">
        <v>609</v>
      </c>
      <c r="O181" s="29"/>
      <c r="P181" s="30" t="n">
        <f aca="false">(M181*N181/1000000)*(INDEX(AreaRate_Vals,MATCH(C181,AreaRate_Keys,0))+IFERROR(INDEX(GlazingUpg_Vals,MATCH(H181,GlazingUpg_Keys,0)),0))+INDEX(Hardware_Vals,MATCH("Windows",Hardware_Keys,0))</f>
        <v>2348.40085</v>
      </c>
      <c r="Q181" s="31" t="n">
        <f aca="false">INDEX(Markup_Vals,MATCH("Windows",MarkupCat_Keys,0))</f>
        <v>0.42</v>
      </c>
      <c r="R181" s="32" t="n">
        <f aca="false">P181*(1+Q181)</f>
        <v>3334.729207</v>
      </c>
      <c r="S181" s="32" t="n">
        <f aca="false">R181*(1-TradeDiscount)</f>
        <v>2934.56170216</v>
      </c>
      <c r="T181" s="32" t="n">
        <f aca="false">R181*(1-VolumeDiscount)</f>
        <v>2667.7833656</v>
      </c>
    </row>
    <row r="182" customFormat="false" ht="15" hidden="false" customHeight="false" outlineLevel="0" collapsed="false">
      <c r="A182" s="25" t="s">
        <v>561</v>
      </c>
      <c r="B182" s="25" t="s">
        <v>96</v>
      </c>
      <c r="C182" s="25" t="s">
        <v>41</v>
      </c>
      <c r="D182" s="25" t="s">
        <v>562</v>
      </c>
      <c r="E182" s="25" t="s">
        <v>522</v>
      </c>
      <c r="F182" s="25" t="s">
        <v>234</v>
      </c>
      <c r="G182" s="25" t="s">
        <v>35</v>
      </c>
      <c r="H182" s="25" t="s">
        <v>63</v>
      </c>
      <c r="I182" s="25" t="s">
        <v>190</v>
      </c>
      <c r="J182" s="25" t="s">
        <v>191</v>
      </c>
      <c r="K182" s="25" t="s">
        <v>192</v>
      </c>
      <c r="L182" s="25" t="s">
        <v>29</v>
      </c>
      <c r="M182" s="25" t="n">
        <v>1209</v>
      </c>
      <c r="N182" s="25" t="n">
        <v>909</v>
      </c>
      <c r="O182" s="25"/>
      <c r="P182" s="26" t="n">
        <f aca="false">(M182*N182/1000000)*(INDEX(AreaRate_Vals,MATCH(C182,AreaRate_Keys,0))+IFERROR(INDEX(GlazingUpg_Vals,MATCH(H182,GlazingUpg_Keys,0)),0))+INDEX(Hardware_Vals,MATCH("Windows",Hardware_Keys,0))</f>
        <v>2777.6563</v>
      </c>
      <c r="Q182" s="27" t="n">
        <f aca="false">INDEX(Markup_Vals,MATCH("Windows",MarkupCat_Keys,0))</f>
        <v>0.42</v>
      </c>
      <c r="R182" s="28" t="n">
        <f aca="false">P182*(1+Q182)</f>
        <v>3944.271946</v>
      </c>
      <c r="S182" s="28" t="n">
        <f aca="false">R182*(1-TradeDiscount)</f>
        <v>3470.95931248</v>
      </c>
      <c r="T182" s="28" t="n">
        <f aca="false">R182*(1-VolumeDiscount)</f>
        <v>3155.4175568</v>
      </c>
    </row>
    <row r="183" customFormat="false" ht="15" hidden="false" customHeight="false" outlineLevel="0" collapsed="false">
      <c r="A183" s="29" t="s">
        <v>563</v>
      </c>
      <c r="B183" s="29" t="s">
        <v>96</v>
      </c>
      <c r="C183" s="29" t="s">
        <v>41</v>
      </c>
      <c r="D183" s="29" t="s">
        <v>564</v>
      </c>
      <c r="E183" s="29" t="s">
        <v>522</v>
      </c>
      <c r="F183" s="29" t="s">
        <v>234</v>
      </c>
      <c r="G183" s="29" t="s">
        <v>36</v>
      </c>
      <c r="H183" s="29" t="s">
        <v>63</v>
      </c>
      <c r="I183" s="29" t="s">
        <v>190</v>
      </c>
      <c r="J183" s="29" t="s">
        <v>191</v>
      </c>
      <c r="K183" s="29" t="s">
        <v>192</v>
      </c>
      <c r="L183" s="29" t="s">
        <v>29</v>
      </c>
      <c r="M183" s="29" t="n">
        <v>1209</v>
      </c>
      <c r="N183" s="29" t="n">
        <v>909</v>
      </c>
      <c r="O183" s="29"/>
      <c r="P183" s="30" t="n">
        <f aca="false">(M183*N183/1000000)*(INDEX(AreaRate_Vals,MATCH(C183,AreaRate_Keys,0))+IFERROR(INDEX(GlazingUpg_Vals,MATCH(H183,GlazingUpg_Keys,0)),0))+INDEX(Hardware_Vals,MATCH("Windows",Hardware_Keys,0))</f>
        <v>2777.6563</v>
      </c>
      <c r="Q183" s="31" t="n">
        <f aca="false">INDEX(Markup_Vals,MATCH("Windows",MarkupCat_Keys,0))</f>
        <v>0.42</v>
      </c>
      <c r="R183" s="32" t="n">
        <f aca="false">P183*(1+Q183)</f>
        <v>3944.271946</v>
      </c>
      <c r="S183" s="32" t="n">
        <f aca="false">R183*(1-TradeDiscount)</f>
        <v>3470.95931248</v>
      </c>
      <c r="T183" s="32" t="n">
        <f aca="false">R183*(1-VolumeDiscount)</f>
        <v>3155.4175568</v>
      </c>
    </row>
    <row r="184" customFormat="false" ht="15" hidden="false" customHeight="false" outlineLevel="0" collapsed="false">
      <c r="A184" s="25" t="s">
        <v>565</v>
      </c>
      <c r="B184" s="25" t="s">
        <v>96</v>
      </c>
      <c r="C184" s="25" t="s">
        <v>41</v>
      </c>
      <c r="D184" s="25" t="s">
        <v>566</v>
      </c>
      <c r="E184" s="25" t="s">
        <v>522</v>
      </c>
      <c r="F184" s="25" t="s">
        <v>234</v>
      </c>
      <c r="G184" s="25" t="s">
        <v>37</v>
      </c>
      <c r="H184" s="25" t="s">
        <v>63</v>
      </c>
      <c r="I184" s="25" t="s">
        <v>190</v>
      </c>
      <c r="J184" s="25" t="s">
        <v>191</v>
      </c>
      <c r="K184" s="25" t="s">
        <v>192</v>
      </c>
      <c r="L184" s="25" t="s">
        <v>29</v>
      </c>
      <c r="M184" s="25" t="n">
        <v>1209</v>
      </c>
      <c r="N184" s="25" t="n">
        <v>909</v>
      </c>
      <c r="O184" s="25"/>
      <c r="P184" s="26" t="n">
        <f aca="false">(M184*N184/1000000)*(INDEX(AreaRate_Vals,MATCH(C184,AreaRate_Keys,0))+IFERROR(INDEX(GlazingUpg_Vals,MATCH(H184,GlazingUpg_Keys,0)),0))+INDEX(Hardware_Vals,MATCH("Windows",Hardware_Keys,0))</f>
        <v>2777.6563</v>
      </c>
      <c r="Q184" s="27" t="n">
        <f aca="false">INDEX(Markup_Vals,MATCH("Windows",MarkupCat_Keys,0))</f>
        <v>0.42</v>
      </c>
      <c r="R184" s="28" t="n">
        <f aca="false">P184*(1+Q184)</f>
        <v>3944.271946</v>
      </c>
      <c r="S184" s="28" t="n">
        <f aca="false">R184*(1-TradeDiscount)</f>
        <v>3470.95931248</v>
      </c>
      <c r="T184" s="28" t="n">
        <f aca="false">R184*(1-VolumeDiscount)</f>
        <v>3155.4175568</v>
      </c>
    </row>
    <row r="185" customFormat="false" ht="15" hidden="false" customHeight="false" outlineLevel="0" collapsed="false">
      <c r="A185" s="29" t="s">
        <v>567</v>
      </c>
      <c r="B185" s="29" t="s">
        <v>96</v>
      </c>
      <c r="C185" s="29" t="s">
        <v>41</v>
      </c>
      <c r="D185" s="29" t="s">
        <v>568</v>
      </c>
      <c r="E185" s="29" t="s">
        <v>522</v>
      </c>
      <c r="F185" s="29" t="s">
        <v>234</v>
      </c>
      <c r="G185" s="29" t="s">
        <v>39</v>
      </c>
      <c r="H185" s="29" t="s">
        <v>63</v>
      </c>
      <c r="I185" s="29" t="s">
        <v>190</v>
      </c>
      <c r="J185" s="29" t="s">
        <v>191</v>
      </c>
      <c r="K185" s="29" t="s">
        <v>192</v>
      </c>
      <c r="L185" s="29" t="s">
        <v>29</v>
      </c>
      <c r="M185" s="29" t="n">
        <v>1209</v>
      </c>
      <c r="N185" s="29" t="n">
        <v>909</v>
      </c>
      <c r="O185" s="29"/>
      <c r="P185" s="30" t="n">
        <f aca="false">(M185*N185/1000000)*(INDEX(AreaRate_Vals,MATCH(C185,AreaRate_Keys,0))+IFERROR(INDEX(GlazingUpg_Vals,MATCH(H185,GlazingUpg_Keys,0)),0))+INDEX(Hardware_Vals,MATCH("Windows",Hardware_Keys,0))</f>
        <v>2777.6563</v>
      </c>
      <c r="Q185" s="31" t="n">
        <f aca="false">INDEX(Markup_Vals,MATCH("Windows",MarkupCat_Keys,0))</f>
        <v>0.42</v>
      </c>
      <c r="R185" s="32" t="n">
        <f aca="false">P185*(1+Q185)</f>
        <v>3944.271946</v>
      </c>
      <c r="S185" s="32" t="n">
        <f aca="false">R185*(1-TradeDiscount)</f>
        <v>3470.95931248</v>
      </c>
      <c r="T185" s="32" t="n">
        <f aca="false">R185*(1-VolumeDiscount)</f>
        <v>3155.4175568</v>
      </c>
    </row>
    <row r="186" customFormat="false" ht="15" hidden="false" customHeight="false" outlineLevel="0" collapsed="false">
      <c r="A186" s="25" t="s">
        <v>569</v>
      </c>
      <c r="B186" s="25" t="s">
        <v>96</v>
      </c>
      <c r="C186" s="25" t="s">
        <v>41</v>
      </c>
      <c r="D186" s="25" t="s">
        <v>570</v>
      </c>
      <c r="E186" s="25" t="s">
        <v>522</v>
      </c>
      <c r="F186" s="25" t="s">
        <v>234</v>
      </c>
      <c r="G186" s="25" t="s">
        <v>38</v>
      </c>
      <c r="H186" s="25" t="s">
        <v>63</v>
      </c>
      <c r="I186" s="25" t="s">
        <v>190</v>
      </c>
      <c r="J186" s="25" t="s">
        <v>191</v>
      </c>
      <c r="K186" s="25" t="s">
        <v>192</v>
      </c>
      <c r="L186" s="25" t="s">
        <v>29</v>
      </c>
      <c r="M186" s="25" t="n">
        <v>1209</v>
      </c>
      <c r="N186" s="25" t="n">
        <v>909</v>
      </c>
      <c r="O186" s="25"/>
      <c r="P186" s="26" t="n">
        <f aca="false">(M186*N186/1000000)*(INDEX(AreaRate_Vals,MATCH(C186,AreaRate_Keys,0))+IFERROR(INDEX(GlazingUpg_Vals,MATCH(H186,GlazingUpg_Keys,0)),0))+INDEX(Hardware_Vals,MATCH("Windows",Hardware_Keys,0))</f>
        <v>2777.6563</v>
      </c>
      <c r="Q186" s="27" t="n">
        <f aca="false">INDEX(Markup_Vals,MATCH("Windows",MarkupCat_Keys,0))</f>
        <v>0.42</v>
      </c>
      <c r="R186" s="28" t="n">
        <f aca="false">P186*(1+Q186)</f>
        <v>3944.271946</v>
      </c>
      <c r="S186" s="28" t="n">
        <f aca="false">R186*(1-TradeDiscount)</f>
        <v>3470.95931248</v>
      </c>
      <c r="T186" s="28" t="n">
        <f aca="false">R186*(1-VolumeDiscount)</f>
        <v>3155.4175568</v>
      </c>
    </row>
    <row r="187" customFormat="false" ht="15" hidden="false" customHeight="false" outlineLevel="0" collapsed="false">
      <c r="A187" s="29" t="s">
        <v>571</v>
      </c>
      <c r="B187" s="29" t="s">
        <v>96</v>
      </c>
      <c r="C187" s="29" t="s">
        <v>41</v>
      </c>
      <c r="D187" s="29" t="s">
        <v>572</v>
      </c>
      <c r="E187" s="29" t="s">
        <v>522</v>
      </c>
      <c r="F187" s="29" t="s">
        <v>234</v>
      </c>
      <c r="G187" s="29" t="s">
        <v>35</v>
      </c>
      <c r="H187" s="29" t="s">
        <v>64</v>
      </c>
      <c r="I187" s="29" t="s">
        <v>190</v>
      </c>
      <c r="J187" s="29" t="s">
        <v>191</v>
      </c>
      <c r="K187" s="29" t="s">
        <v>192</v>
      </c>
      <c r="L187" s="29" t="s">
        <v>29</v>
      </c>
      <c r="M187" s="29" t="n">
        <v>1209</v>
      </c>
      <c r="N187" s="29" t="n">
        <v>909</v>
      </c>
      <c r="O187" s="29"/>
      <c r="P187" s="30" t="n">
        <f aca="false">(M187*N187/1000000)*(INDEX(AreaRate_Vals,MATCH(C187,AreaRate_Keys,0))+IFERROR(INDEX(GlazingUpg_Vals,MATCH(H187,GlazingUpg_Keys,0)),0))+INDEX(Hardware_Vals,MATCH("Windows",Hardware_Keys,0))</f>
        <v>3382.09585</v>
      </c>
      <c r="Q187" s="31" t="n">
        <f aca="false">INDEX(Markup_Vals,MATCH("Windows",MarkupCat_Keys,0))</f>
        <v>0.42</v>
      </c>
      <c r="R187" s="32" t="n">
        <f aca="false">P187*(1+Q187)</f>
        <v>4802.576107</v>
      </c>
      <c r="S187" s="32" t="n">
        <f aca="false">R187*(1-TradeDiscount)</f>
        <v>4226.26697416</v>
      </c>
      <c r="T187" s="32" t="n">
        <f aca="false">R187*(1-VolumeDiscount)</f>
        <v>3842.0608856</v>
      </c>
    </row>
    <row r="188" customFormat="false" ht="15" hidden="false" customHeight="false" outlineLevel="0" collapsed="false">
      <c r="A188" s="25" t="s">
        <v>573</v>
      </c>
      <c r="B188" s="25" t="s">
        <v>96</v>
      </c>
      <c r="C188" s="25" t="s">
        <v>41</v>
      </c>
      <c r="D188" s="25" t="s">
        <v>574</v>
      </c>
      <c r="E188" s="25" t="s">
        <v>522</v>
      </c>
      <c r="F188" s="25" t="s">
        <v>234</v>
      </c>
      <c r="G188" s="25" t="s">
        <v>36</v>
      </c>
      <c r="H188" s="25" t="s">
        <v>64</v>
      </c>
      <c r="I188" s="25" t="s">
        <v>190</v>
      </c>
      <c r="J188" s="25" t="s">
        <v>191</v>
      </c>
      <c r="K188" s="25" t="s">
        <v>192</v>
      </c>
      <c r="L188" s="25" t="s">
        <v>29</v>
      </c>
      <c r="M188" s="25" t="n">
        <v>1209</v>
      </c>
      <c r="N188" s="25" t="n">
        <v>909</v>
      </c>
      <c r="O188" s="25"/>
      <c r="P188" s="26" t="n">
        <f aca="false">(M188*N188/1000000)*(INDEX(AreaRate_Vals,MATCH(C188,AreaRate_Keys,0))+IFERROR(INDEX(GlazingUpg_Vals,MATCH(H188,GlazingUpg_Keys,0)),0))+INDEX(Hardware_Vals,MATCH("Windows",Hardware_Keys,0))</f>
        <v>3382.09585</v>
      </c>
      <c r="Q188" s="27" t="n">
        <f aca="false">INDEX(Markup_Vals,MATCH("Windows",MarkupCat_Keys,0))</f>
        <v>0.42</v>
      </c>
      <c r="R188" s="28" t="n">
        <f aca="false">P188*(1+Q188)</f>
        <v>4802.576107</v>
      </c>
      <c r="S188" s="28" t="n">
        <f aca="false">R188*(1-TradeDiscount)</f>
        <v>4226.26697416</v>
      </c>
      <c r="T188" s="28" t="n">
        <f aca="false">R188*(1-VolumeDiscount)</f>
        <v>3842.0608856</v>
      </c>
    </row>
    <row r="189" customFormat="false" ht="15" hidden="false" customHeight="false" outlineLevel="0" collapsed="false">
      <c r="A189" s="29" t="s">
        <v>575</v>
      </c>
      <c r="B189" s="29" t="s">
        <v>96</v>
      </c>
      <c r="C189" s="29" t="s">
        <v>41</v>
      </c>
      <c r="D189" s="29" t="s">
        <v>576</v>
      </c>
      <c r="E189" s="29" t="s">
        <v>522</v>
      </c>
      <c r="F189" s="29" t="s">
        <v>234</v>
      </c>
      <c r="G189" s="29" t="s">
        <v>37</v>
      </c>
      <c r="H189" s="29" t="s">
        <v>64</v>
      </c>
      <c r="I189" s="29" t="s">
        <v>190</v>
      </c>
      <c r="J189" s="29" t="s">
        <v>191</v>
      </c>
      <c r="K189" s="29" t="s">
        <v>192</v>
      </c>
      <c r="L189" s="29" t="s">
        <v>29</v>
      </c>
      <c r="M189" s="29" t="n">
        <v>1209</v>
      </c>
      <c r="N189" s="29" t="n">
        <v>909</v>
      </c>
      <c r="O189" s="29"/>
      <c r="P189" s="30" t="n">
        <f aca="false">(M189*N189/1000000)*(INDEX(AreaRate_Vals,MATCH(C189,AreaRate_Keys,0))+IFERROR(INDEX(GlazingUpg_Vals,MATCH(H189,GlazingUpg_Keys,0)),0))+INDEX(Hardware_Vals,MATCH("Windows",Hardware_Keys,0))</f>
        <v>3382.09585</v>
      </c>
      <c r="Q189" s="31" t="n">
        <f aca="false">INDEX(Markup_Vals,MATCH("Windows",MarkupCat_Keys,0))</f>
        <v>0.42</v>
      </c>
      <c r="R189" s="32" t="n">
        <f aca="false">P189*(1+Q189)</f>
        <v>4802.576107</v>
      </c>
      <c r="S189" s="32" t="n">
        <f aca="false">R189*(1-TradeDiscount)</f>
        <v>4226.26697416</v>
      </c>
      <c r="T189" s="32" t="n">
        <f aca="false">R189*(1-VolumeDiscount)</f>
        <v>3842.0608856</v>
      </c>
    </row>
    <row r="190" customFormat="false" ht="15" hidden="false" customHeight="false" outlineLevel="0" collapsed="false">
      <c r="A190" s="25" t="s">
        <v>577</v>
      </c>
      <c r="B190" s="25" t="s">
        <v>96</v>
      </c>
      <c r="C190" s="25" t="s">
        <v>41</v>
      </c>
      <c r="D190" s="25" t="s">
        <v>578</v>
      </c>
      <c r="E190" s="25" t="s">
        <v>522</v>
      </c>
      <c r="F190" s="25" t="s">
        <v>234</v>
      </c>
      <c r="G190" s="25" t="s">
        <v>39</v>
      </c>
      <c r="H190" s="25" t="s">
        <v>64</v>
      </c>
      <c r="I190" s="25" t="s">
        <v>190</v>
      </c>
      <c r="J190" s="25" t="s">
        <v>191</v>
      </c>
      <c r="K190" s="25" t="s">
        <v>192</v>
      </c>
      <c r="L190" s="25" t="s">
        <v>29</v>
      </c>
      <c r="M190" s="25" t="n">
        <v>1209</v>
      </c>
      <c r="N190" s="25" t="n">
        <v>909</v>
      </c>
      <c r="O190" s="25"/>
      <c r="P190" s="26" t="n">
        <f aca="false">(M190*N190/1000000)*(INDEX(AreaRate_Vals,MATCH(C190,AreaRate_Keys,0))+IFERROR(INDEX(GlazingUpg_Vals,MATCH(H190,GlazingUpg_Keys,0)),0))+INDEX(Hardware_Vals,MATCH("Windows",Hardware_Keys,0))</f>
        <v>3382.09585</v>
      </c>
      <c r="Q190" s="27" t="n">
        <f aca="false">INDEX(Markup_Vals,MATCH("Windows",MarkupCat_Keys,0))</f>
        <v>0.42</v>
      </c>
      <c r="R190" s="28" t="n">
        <f aca="false">P190*(1+Q190)</f>
        <v>4802.576107</v>
      </c>
      <c r="S190" s="28" t="n">
        <f aca="false">R190*(1-TradeDiscount)</f>
        <v>4226.26697416</v>
      </c>
      <c r="T190" s="28" t="n">
        <f aca="false">R190*(1-VolumeDiscount)</f>
        <v>3842.0608856</v>
      </c>
    </row>
    <row r="191" customFormat="false" ht="15" hidden="false" customHeight="false" outlineLevel="0" collapsed="false">
      <c r="A191" s="29" t="s">
        <v>579</v>
      </c>
      <c r="B191" s="29" t="s">
        <v>96</v>
      </c>
      <c r="C191" s="29" t="s">
        <v>41</v>
      </c>
      <c r="D191" s="29" t="s">
        <v>580</v>
      </c>
      <c r="E191" s="29" t="s">
        <v>522</v>
      </c>
      <c r="F191" s="29" t="s">
        <v>234</v>
      </c>
      <c r="G191" s="29" t="s">
        <v>38</v>
      </c>
      <c r="H191" s="29" t="s">
        <v>64</v>
      </c>
      <c r="I191" s="29" t="s">
        <v>190</v>
      </c>
      <c r="J191" s="29" t="s">
        <v>191</v>
      </c>
      <c r="K191" s="29" t="s">
        <v>192</v>
      </c>
      <c r="L191" s="29" t="s">
        <v>29</v>
      </c>
      <c r="M191" s="29" t="n">
        <v>1209</v>
      </c>
      <c r="N191" s="29" t="n">
        <v>909</v>
      </c>
      <c r="O191" s="29"/>
      <c r="P191" s="30" t="n">
        <f aca="false">(M191*N191/1000000)*(INDEX(AreaRate_Vals,MATCH(C191,AreaRate_Keys,0))+IFERROR(INDEX(GlazingUpg_Vals,MATCH(H191,GlazingUpg_Keys,0)),0))+INDEX(Hardware_Vals,MATCH("Windows",Hardware_Keys,0))</f>
        <v>3382.09585</v>
      </c>
      <c r="Q191" s="31" t="n">
        <f aca="false">INDEX(Markup_Vals,MATCH("Windows",MarkupCat_Keys,0))</f>
        <v>0.42</v>
      </c>
      <c r="R191" s="32" t="n">
        <f aca="false">P191*(1+Q191)</f>
        <v>4802.576107</v>
      </c>
      <c r="S191" s="32" t="n">
        <f aca="false">R191*(1-TradeDiscount)</f>
        <v>4226.26697416</v>
      </c>
      <c r="T191" s="32" t="n">
        <f aca="false">R191*(1-VolumeDiscount)</f>
        <v>3842.0608856</v>
      </c>
    </row>
    <row r="192" customFormat="false" ht="15" hidden="false" customHeight="false" outlineLevel="0" collapsed="false">
      <c r="A192" s="25" t="s">
        <v>581</v>
      </c>
      <c r="B192" s="25" t="s">
        <v>96</v>
      </c>
      <c r="C192" s="25" t="s">
        <v>41</v>
      </c>
      <c r="D192" s="25" t="s">
        <v>582</v>
      </c>
      <c r="E192" s="25" t="s">
        <v>522</v>
      </c>
      <c r="F192" s="25" t="s">
        <v>255</v>
      </c>
      <c r="G192" s="25" t="s">
        <v>35</v>
      </c>
      <c r="H192" s="25" t="s">
        <v>63</v>
      </c>
      <c r="I192" s="25" t="s">
        <v>190</v>
      </c>
      <c r="J192" s="25" t="s">
        <v>191</v>
      </c>
      <c r="K192" s="25" t="s">
        <v>192</v>
      </c>
      <c r="L192" s="25" t="s">
        <v>29</v>
      </c>
      <c r="M192" s="25" t="n">
        <v>1809</v>
      </c>
      <c r="N192" s="25" t="n">
        <v>909</v>
      </c>
      <c r="O192" s="25"/>
      <c r="P192" s="26" t="n">
        <f aca="false">(M192*N192/1000000)*(INDEX(AreaRate_Vals,MATCH(C192,AreaRate_Keys,0))+IFERROR(INDEX(GlazingUpg_Vals,MATCH(H192,GlazingUpg_Keys,0)),0))+INDEX(Hardware_Vals,MATCH("Windows",Hardware_Keys,0))</f>
        <v>4032.0763</v>
      </c>
      <c r="Q192" s="27" t="n">
        <f aca="false">INDEX(Markup_Vals,MATCH("Windows",MarkupCat_Keys,0))</f>
        <v>0.42</v>
      </c>
      <c r="R192" s="28" t="n">
        <f aca="false">P192*(1+Q192)</f>
        <v>5725.548346</v>
      </c>
      <c r="S192" s="28" t="n">
        <f aca="false">R192*(1-TradeDiscount)</f>
        <v>5038.48254448</v>
      </c>
      <c r="T192" s="28" t="n">
        <f aca="false">R192*(1-VolumeDiscount)</f>
        <v>4580.4386768</v>
      </c>
    </row>
    <row r="193" customFormat="false" ht="15" hidden="false" customHeight="false" outlineLevel="0" collapsed="false">
      <c r="A193" s="29" t="s">
        <v>583</v>
      </c>
      <c r="B193" s="29" t="s">
        <v>96</v>
      </c>
      <c r="C193" s="29" t="s">
        <v>41</v>
      </c>
      <c r="D193" s="29" t="s">
        <v>584</v>
      </c>
      <c r="E193" s="29" t="s">
        <v>522</v>
      </c>
      <c r="F193" s="29" t="s">
        <v>255</v>
      </c>
      <c r="G193" s="29" t="s">
        <v>36</v>
      </c>
      <c r="H193" s="29" t="s">
        <v>63</v>
      </c>
      <c r="I193" s="29" t="s">
        <v>190</v>
      </c>
      <c r="J193" s="29" t="s">
        <v>191</v>
      </c>
      <c r="K193" s="29" t="s">
        <v>192</v>
      </c>
      <c r="L193" s="29" t="s">
        <v>29</v>
      </c>
      <c r="M193" s="29" t="n">
        <v>1809</v>
      </c>
      <c r="N193" s="29" t="n">
        <v>909</v>
      </c>
      <c r="O193" s="29"/>
      <c r="P193" s="30" t="n">
        <f aca="false">(M193*N193/1000000)*(INDEX(AreaRate_Vals,MATCH(C193,AreaRate_Keys,0))+IFERROR(INDEX(GlazingUpg_Vals,MATCH(H193,GlazingUpg_Keys,0)),0))+INDEX(Hardware_Vals,MATCH("Windows",Hardware_Keys,0))</f>
        <v>4032.0763</v>
      </c>
      <c r="Q193" s="31" t="n">
        <f aca="false">INDEX(Markup_Vals,MATCH("Windows",MarkupCat_Keys,0))</f>
        <v>0.42</v>
      </c>
      <c r="R193" s="32" t="n">
        <f aca="false">P193*(1+Q193)</f>
        <v>5725.548346</v>
      </c>
      <c r="S193" s="32" t="n">
        <f aca="false">R193*(1-TradeDiscount)</f>
        <v>5038.48254448</v>
      </c>
      <c r="T193" s="32" t="n">
        <f aca="false">R193*(1-VolumeDiscount)</f>
        <v>4580.4386768</v>
      </c>
    </row>
    <row r="194" customFormat="false" ht="15" hidden="false" customHeight="false" outlineLevel="0" collapsed="false">
      <c r="A194" s="25" t="s">
        <v>585</v>
      </c>
      <c r="B194" s="25" t="s">
        <v>96</v>
      </c>
      <c r="C194" s="25" t="s">
        <v>41</v>
      </c>
      <c r="D194" s="25" t="s">
        <v>586</v>
      </c>
      <c r="E194" s="25" t="s">
        <v>522</v>
      </c>
      <c r="F194" s="25" t="s">
        <v>255</v>
      </c>
      <c r="G194" s="25" t="s">
        <v>37</v>
      </c>
      <c r="H194" s="25" t="s">
        <v>63</v>
      </c>
      <c r="I194" s="25" t="s">
        <v>190</v>
      </c>
      <c r="J194" s="25" t="s">
        <v>191</v>
      </c>
      <c r="K194" s="25" t="s">
        <v>192</v>
      </c>
      <c r="L194" s="25" t="s">
        <v>29</v>
      </c>
      <c r="M194" s="25" t="n">
        <v>1809</v>
      </c>
      <c r="N194" s="25" t="n">
        <v>909</v>
      </c>
      <c r="O194" s="25"/>
      <c r="P194" s="26" t="n">
        <f aca="false">(M194*N194/1000000)*(INDEX(AreaRate_Vals,MATCH(C194,AreaRate_Keys,0))+IFERROR(INDEX(GlazingUpg_Vals,MATCH(H194,GlazingUpg_Keys,0)),0))+INDEX(Hardware_Vals,MATCH("Windows",Hardware_Keys,0))</f>
        <v>4032.0763</v>
      </c>
      <c r="Q194" s="27" t="n">
        <f aca="false">INDEX(Markup_Vals,MATCH("Windows",MarkupCat_Keys,0))</f>
        <v>0.42</v>
      </c>
      <c r="R194" s="28" t="n">
        <f aca="false">P194*(1+Q194)</f>
        <v>5725.548346</v>
      </c>
      <c r="S194" s="28" t="n">
        <f aca="false">R194*(1-TradeDiscount)</f>
        <v>5038.48254448</v>
      </c>
      <c r="T194" s="28" t="n">
        <f aca="false">R194*(1-VolumeDiscount)</f>
        <v>4580.4386768</v>
      </c>
    </row>
    <row r="195" customFormat="false" ht="15" hidden="false" customHeight="false" outlineLevel="0" collapsed="false">
      <c r="A195" s="29" t="s">
        <v>587</v>
      </c>
      <c r="B195" s="29" t="s">
        <v>96</v>
      </c>
      <c r="C195" s="29" t="s">
        <v>41</v>
      </c>
      <c r="D195" s="29" t="s">
        <v>588</v>
      </c>
      <c r="E195" s="29" t="s">
        <v>522</v>
      </c>
      <c r="F195" s="29" t="s">
        <v>255</v>
      </c>
      <c r="G195" s="29" t="s">
        <v>39</v>
      </c>
      <c r="H195" s="29" t="s">
        <v>63</v>
      </c>
      <c r="I195" s="29" t="s">
        <v>190</v>
      </c>
      <c r="J195" s="29" t="s">
        <v>191</v>
      </c>
      <c r="K195" s="29" t="s">
        <v>192</v>
      </c>
      <c r="L195" s="29" t="s">
        <v>29</v>
      </c>
      <c r="M195" s="29" t="n">
        <v>1809</v>
      </c>
      <c r="N195" s="29" t="n">
        <v>909</v>
      </c>
      <c r="O195" s="29"/>
      <c r="P195" s="30" t="n">
        <f aca="false">(M195*N195/1000000)*(INDEX(AreaRate_Vals,MATCH(C195,AreaRate_Keys,0))+IFERROR(INDEX(GlazingUpg_Vals,MATCH(H195,GlazingUpg_Keys,0)),0))+INDEX(Hardware_Vals,MATCH("Windows",Hardware_Keys,0))</f>
        <v>4032.0763</v>
      </c>
      <c r="Q195" s="31" t="n">
        <f aca="false">INDEX(Markup_Vals,MATCH("Windows",MarkupCat_Keys,0))</f>
        <v>0.42</v>
      </c>
      <c r="R195" s="32" t="n">
        <f aca="false">P195*(1+Q195)</f>
        <v>5725.548346</v>
      </c>
      <c r="S195" s="32" t="n">
        <f aca="false">R195*(1-TradeDiscount)</f>
        <v>5038.48254448</v>
      </c>
      <c r="T195" s="32" t="n">
        <f aca="false">R195*(1-VolumeDiscount)</f>
        <v>4580.4386768</v>
      </c>
    </row>
    <row r="196" customFormat="false" ht="15" hidden="false" customHeight="false" outlineLevel="0" collapsed="false">
      <c r="A196" s="25" t="s">
        <v>589</v>
      </c>
      <c r="B196" s="25" t="s">
        <v>96</v>
      </c>
      <c r="C196" s="25" t="s">
        <v>41</v>
      </c>
      <c r="D196" s="25" t="s">
        <v>590</v>
      </c>
      <c r="E196" s="25" t="s">
        <v>522</v>
      </c>
      <c r="F196" s="25" t="s">
        <v>255</v>
      </c>
      <c r="G196" s="25" t="s">
        <v>38</v>
      </c>
      <c r="H196" s="25" t="s">
        <v>63</v>
      </c>
      <c r="I196" s="25" t="s">
        <v>190</v>
      </c>
      <c r="J196" s="25" t="s">
        <v>191</v>
      </c>
      <c r="K196" s="25" t="s">
        <v>192</v>
      </c>
      <c r="L196" s="25" t="s">
        <v>29</v>
      </c>
      <c r="M196" s="25" t="n">
        <v>1809</v>
      </c>
      <c r="N196" s="25" t="n">
        <v>909</v>
      </c>
      <c r="O196" s="25"/>
      <c r="P196" s="26" t="n">
        <f aca="false">(M196*N196/1000000)*(INDEX(AreaRate_Vals,MATCH(C196,AreaRate_Keys,0))+IFERROR(INDEX(GlazingUpg_Vals,MATCH(H196,GlazingUpg_Keys,0)),0))+INDEX(Hardware_Vals,MATCH("Windows",Hardware_Keys,0))</f>
        <v>4032.0763</v>
      </c>
      <c r="Q196" s="27" t="n">
        <f aca="false">INDEX(Markup_Vals,MATCH("Windows",MarkupCat_Keys,0))</f>
        <v>0.42</v>
      </c>
      <c r="R196" s="28" t="n">
        <f aca="false">P196*(1+Q196)</f>
        <v>5725.548346</v>
      </c>
      <c r="S196" s="28" t="n">
        <f aca="false">R196*(1-TradeDiscount)</f>
        <v>5038.48254448</v>
      </c>
      <c r="T196" s="28" t="n">
        <f aca="false">R196*(1-VolumeDiscount)</f>
        <v>4580.4386768</v>
      </c>
    </row>
    <row r="197" customFormat="false" ht="15" hidden="false" customHeight="false" outlineLevel="0" collapsed="false">
      <c r="A197" s="29" t="s">
        <v>591</v>
      </c>
      <c r="B197" s="29" t="s">
        <v>96</v>
      </c>
      <c r="C197" s="29" t="s">
        <v>41</v>
      </c>
      <c r="D197" s="29" t="s">
        <v>592</v>
      </c>
      <c r="E197" s="29" t="s">
        <v>522</v>
      </c>
      <c r="F197" s="29" t="s">
        <v>255</v>
      </c>
      <c r="G197" s="29" t="s">
        <v>35</v>
      </c>
      <c r="H197" s="29" t="s">
        <v>64</v>
      </c>
      <c r="I197" s="29" t="s">
        <v>190</v>
      </c>
      <c r="J197" s="29" t="s">
        <v>191</v>
      </c>
      <c r="K197" s="29" t="s">
        <v>192</v>
      </c>
      <c r="L197" s="29" t="s">
        <v>29</v>
      </c>
      <c r="M197" s="29" t="n">
        <v>1809</v>
      </c>
      <c r="N197" s="29" t="n">
        <v>909</v>
      </c>
      <c r="O197" s="29"/>
      <c r="P197" s="30" t="n">
        <f aca="false">(M197*N197/1000000)*(INDEX(AreaRate_Vals,MATCH(C197,AreaRate_Keys,0))+IFERROR(INDEX(GlazingUpg_Vals,MATCH(H197,GlazingUpg_Keys,0)),0))+INDEX(Hardware_Vals,MATCH("Windows",Hardware_Keys,0))</f>
        <v>4936.48585</v>
      </c>
      <c r="Q197" s="31" t="n">
        <f aca="false">INDEX(Markup_Vals,MATCH("Windows",MarkupCat_Keys,0))</f>
        <v>0.42</v>
      </c>
      <c r="R197" s="32" t="n">
        <f aca="false">P197*(1+Q197)</f>
        <v>7009.809907</v>
      </c>
      <c r="S197" s="32" t="n">
        <f aca="false">R197*(1-TradeDiscount)</f>
        <v>6168.63271816</v>
      </c>
      <c r="T197" s="32" t="n">
        <f aca="false">R197*(1-VolumeDiscount)</f>
        <v>5607.8479256</v>
      </c>
    </row>
    <row r="198" customFormat="false" ht="15" hidden="false" customHeight="false" outlineLevel="0" collapsed="false">
      <c r="A198" s="25" t="s">
        <v>593</v>
      </c>
      <c r="B198" s="25" t="s">
        <v>96</v>
      </c>
      <c r="C198" s="25" t="s">
        <v>41</v>
      </c>
      <c r="D198" s="25" t="s">
        <v>594</v>
      </c>
      <c r="E198" s="25" t="s">
        <v>522</v>
      </c>
      <c r="F198" s="25" t="s">
        <v>255</v>
      </c>
      <c r="G198" s="25" t="s">
        <v>36</v>
      </c>
      <c r="H198" s="25" t="s">
        <v>64</v>
      </c>
      <c r="I198" s="25" t="s">
        <v>190</v>
      </c>
      <c r="J198" s="25" t="s">
        <v>191</v>
      </c>
      <c r="K198" s="25" t="s">
        <v>192</v>
      </c>
      <c r="L198" s="25" t="s">
        <v>29</v>
      </c>
      <c r="M198" s="25" t="n">
        <v>1809</v>
      </c>
      <c r="N198" s="25" t="n">
        <v>909</v>
      </c>
      <c r="O198" s="25"/>
      <c r="P198" s="26" t="n">
        <f aca="false">(M198*N198/1000000)*(INDEX(AreaRate_Vals,MATCH(C198,AreaRate_Keys,0))+IFERROR(INDEX(GlazingUpg_Vals,MATCH(H198,GlazingUpg_Keys,0)),0))+INDEX(Hardware_Vals,MATCH("Windows",Hardware_Keys,0))</f>
        <v>4936.48585</v>
      </c>
      <c r="Q198" s="27" t="n">
        <f aca="false">INDEX(Markup_Vals,MATCH("Windows",MarkupCat_Keys,0))</f>
        <v>0.42</v>
      </c>
      <c r="R198" s="28" t="n">
        <f aca="false">P198*(1+Q198)</f>
        <v>7009.809907</v>
      </c>
      <c r="S198" s="28" t="n">
        <f aca="false">R198*(1-TradeDiscount)</f>
        <v>6168.63271816</v>
      </c>
      <c r="T198" s="28" t="n">
        <f aca="false">R198*(1-VolumeDiscount)</f>
        <v>5607.8479256</v>
      </c>
    </row>
    <row r="199" customFormat="false" ht="15" hidden="false" customHeight="false" outlineLevel="0" collapsed="false">
      <c r="A199" s="29" t="s">
        <v>595</v>
      </c>
      <c r="B199" s="29" t="s">
        <v>96</v>
      </c>
      <c r="C199" s="29" t="s">
        <v>41</v>
      </c>
      <c r="D199" s="29" t="s">
        <v>596</v>
      </c>
      <c r="E199" s="29" t="s">
        <v>522</v>
      </c>
      <c r="F199" s="29" t="s">
        <v>255</v>
      </c>
      <c r="G199" s="29" t="s">
        <v>37</v>
      </c>
      <c r="H199" s="29" t="s">
        <v>64</v>
      </c>
      <c r="I199" s="29" t="s">
        <v>190</v>
      </c>
      <c r="J199" s="29" t="s">
        <v>191</v>
      </c>
      <c r="K199" s="29" t="s">
        <v>192</v>
      </c>
      <c r="L199" s="29" t="s">
        <v>29</v>
      </c>
      <c r="M199" s="29" t="n">
        <v>1809</v>
      </c>
      <c r="N199" s="29" t="n">
        <v>909</v>
      </c>
      <c r="O199" s="29"/>
      <c r="P199" s="30" t="n">
        <f aca="false">(M199*N199/1000000)*(INDEX(AreaRate_Vals,MATCH(C199,AreaRate_Keys,0))+IFERROR(INDEX(GlazingUpg_Vals,MATCH(H199,GlazingUpg_Keys,0)),0))+INDEX(Hardware_Vals,MATCH("Windows",Hardware_Keys,0))</f>
        <v>4936.48585</v>
      </c>
      <c r="Q199" s="31" t="n">
        <f aca="false">INDEX(Markup_Vals,MATCH("Windows",MarkupCat_Keys,0))</f>
        <v>0.42</v>
      </c>
      <c r="R199" s="32" t="n">
        <f aca="false">P199*(1+Q199)</f>
        <v>7009.809907</v>
      </c>
      <c r="S199" s="32" t="n">
        <f aca="false">R199*(1-TradeDiscount)</f>
        <v>6168.63271816</v>
      </c>
      <c r="T199" s="32" t="n">
        <f aca="false">R199*(1-VolumeDiscount)</f>
        <v>5607.8479256</v>
      </c>
    </row>
    <row r="200" customFormat="false" ht="15" hidden="false" customHeight="false" outlineLevel="0" collapsed="false">
      <c r="A200" s="25" t="s">
        <v>597</v>
      </c>
      <c r="B200" s="25" t="s">
        <v>96</v>
      </c>
      <c r="C200" s="25" t="s">
        <v>41</v>
      </c>
      <c r="D200" s="25" t="s">
        <v>598</v>
      </c>
      <c r="E200" s="25" t="s">
        <v>522</v>
      </c>
      <c r="F200" s="25" t="s">
        <v>255</v>
      </c>
      <c r="G200" s="25" t="s">
        <v>39</v>
      </c>
      <c r="H200" s="25" t="s">
        <v>64</v>
      </c>
      <c r="I200" s="25" t="s">
        <v>190</v>
      </c>
      <c r="J200" s="25" t="s">
        <v>191</v>
      </c>
      <c r="K200" s="25" t="s">
        <v>192</v>
      </c>
      <c r="L200" s="25" t="s">
        <v>29</v>
      </c>
      <c r="M200" s="25" t="n">
        <v>1809</v>
      </c>
      <c r="N200" s="25" t="n">
        <v>909</v>
      </c>
      <c r="O200" s="25"/>
      <c r="P200" s="26" t="n">
        <f aca="false">(M200*N200/1000000)*(INDEX(AreaRate_Vals,MATCH(C200,AreaRate_Keys,0))+IFERROR(INDEX(GlazingUpg_Vals,MATCH(H200,GlazingUpg_Keys,0)),0))+INDEX(Hardware_Vals,MATCH("Windows",Hardware_Keys,0))</f>
        <v>4936.48585</v>
      </c>
      <c r="Q200" s="27" t="n">
        <f aca="false">INDEX(Markup_Vals,MATCH("Windows",MarkupCat_Keys,0))</f>
        <v>0.42</v>
      </c>
      <c r="R200" s="28" t="n">
        <f aca="false">P200*(1+Q200)</f>
        <v>7009.809907</v>
      </c>
      <c r="S200" s="28" t="n">
        <f aca="false">R200*(1-TradeDiscount)</f>
        <v>6168.63271816</v>
      </c>
      <c r="T200" s="28" t="n">
        <f aca="false">R200*(1-VolumeDiscount)</f>
        <v>5607.8479256</v>
      </c>
    </row>
    <row r="201" customFormat="false" ht="15" hidden="false" customHeight="false" outlineLevel="0" collapsed="false">
      <c r="A201" s="29" t="s">
        <v>599</v>
      </c>
      <c r="B201" s="29" t="s">
        <v>96</v>
      </c>
      <c r="C201" s="29" t="s">
        <v>41</v>
      </c>
      <c r="D201" s="29" t="s">
        <v>600</v>
      </c>
      <c r="E201" s="29" t="s">
        <v>522</v>
      </c>
      <c r="F201" s="29" t="s">
        <v>255</v>
      </c>
      <c r="G201" s="29" t="s">
        <v>38</v>
      </c>
      <c r="H201" s="29" t="s">
        <v>64</v>
      </c>
      <c r="I201" s="29" t="s">
        <v>190</v>
      </c>
      <c r="J201" s="29" t="s">
        <v>191</v>
      </c>
      <c r="K201" s="29" t="s">
        <v>192</v>
      </c>
      <c r="L201" s="29" t="s">
        <v>29</v>
      </c>
      <c r="M201" s="29" t="n">
        <v>1809</v>
      </c>
      <c r="N201" s="29" t="n">
        <v>909</v>
      </c>
      <c r="O201" s="29"/>
      <c r="P201" s="30" t="n">
        <f aca="false">(M201*N201/1000000)*(INDEX(AreaRate_Vals,MATCH(C201,AreaRate_Keys,0))+IFERROR(INDEX(GlazingUpg_Vals,MATCH(H201,GlazingUpg_Keys,0)),0))+INDEX(Hardware_Vals,MATCH("Windows",Hardware_Keys,0))</f>
        <v>4936.48585</v>
      </c>
      <c r="Q201" s="31" t="n">
        <f aca="false">INDEX(Markup_Vals,MATCH("Windows",MarkupCat_Keys,0))</f>
        <v>0.42</v>
      </c>
      <c r="R201" s="32" t="n">
        <f aca="false">P201*(1+Q201)</f>
        <v>7009.809907</v>
      </c>
      <c r="S201" s="32" t="n">
        <f aca="false">R201*(1-TradeDiscount)</f>
        <v>6168.63271816</v>
      </c>
      <c r="T201" s="32" t="n">
        <f aca="false">R201*(1-VolumeDiscount)</f>
        <v>5607.8479256</v>
      </c>
    </row>
    <row r="202" customFormat="false" ht="15" hidden="false" customHeight="false" outlineLevel="0" collapsed="false">
      <c r="A202" s="25" t="s">
        <v>601</v>
      </c>
      <c r="B202" s="25" t="s">
        <v>96</v>
      </c>
      <c r="C202" s="25" t="s">
        <v>41</v>
      </c>
      <c r="D202" s="25" t="s">
        <v>602</v>
      </c>
      <c r="E202" s="25" t="s">
        <v>522</v>
      </c>
      <c r="F202" s="25" t="s">
        <v>276</v>
      </c>
      <c r="G202" s="25" t="s">
        <v>35</v>
      </c>
      <c r="H202" s="25" t="s">
        <v>63</v>
      </c>
      <c r="I202" s="25" t="s">
        <v>190</v>
      </c>
      <c r="J202" s="25" t="s">
        <v>191</v>
      </c>
      <c r="K202" s="25" t="s">
        <v>192</v>
      </c>
      <c r="L202" s="25" t="s">
        <v>29</v>
      </c>
      <c r="M202" s="25" t="n">
        <v>1809</v>
      </c>
      <c r="N202" s="25" t="n">
        <v>1209</v>
      </c>
      <c r="O202" s="25"/>
      <c r="P202" s="26" t="n">
        <f aca="false">(M202*N202/1000000)*(INDEX(AreaRate_Vals,MATCH(C202,AreaRate_Keys,0))+IFERROR(INDEX(GlazingUpg_Vals,MATCH(H202,GlazingUpg_Keys,0)),0))+INDEX(Hardware_Vals,MATCH("Windows",Hardware_Keys,0))</f>
        <v>5280.2863</v>
      </c>
      <c r="Q202" s="27" t="n">
        <f aca="false">INDEX(Markup_Vals,MATCH("Windows",MarkupCat_Keys,0))</f>
        <v>0.42</v>
      </c>
      <c r="R202" s="28" t="n">
        <f aca="false">P202*(1+Q202)</f>
        <v>7498.006546</v>
      </c>
      <c r="S202" s="28" t="n">
        <f aca="false">R202*(1-TradeDiscount)</f>
        <v>6598.24576048</v>
      </c>
      <c r="T202" s="28" t="n">
        <f aca="false">R202*(1-VolumeDiscount)</f>
        <v>5998.4052368</v>
      </c>
    </row>
    <row r="203" customFormat="false" ht="15" hidden="false" customHeight="false" outlineLevel="0" collapsed="false">
      <c r="A203" s="29" t="s">
        <v>603</v>
      </c>
      <c r="B203" s="29" t="s">
        <v>96</v>
      </c>
      <c r="C203" s="29" t="s">
        <v>41</v>
      </c>
      <c r="D203" s="29" t="s">
        <v>604</v>
      </c>
      <c r="E203" s="29" t="s">
        <v>522</v>
      </c>
      <c r="F203" s="29" t="s">
        <v>276</v>
      </c>
      <c r="G203" s="29" t="s">
        <v>36</v>
      </c>
      <c r="H203" s="29" t="s">
        <v>63</v>
      </c>
      <c r="I203" s="29" t="s">
        <v>190</v>
      </c>
      <c r="J203" s="29" t="s">
        <v>191</v>
      </c>
      <c r="K203" s="29" t="s">
        <v>192</v>
      </c>
      <c r="L203" s="29" t="s">
        <v>29</v>
      </c>
      <c r="M203" s="29" t="n">
        <v>1809</v>
      </c>
      <c r="N203" s="29" t="n">
        <v>1209</v>
      </c>
      <c r="O203" s="29"/>
      <c r="P203" s="30" t="n">
        <f aca="false">(M203*N203/1000000)*(INDEX(AreaRate_Vals,MATCH(C203,AreaRate_Keys,0))+IFERROR(INDEX(GlazingUpg_Vals,MATCH(H203,GlazingUpg_Keys,0)),0))+INDEX(Hardware_Vals,MATCH("Windows",Hardware_Keys,0))</f>
        <v>5280.2863</v>
      </c>
      <c r="Q203" s="31" t="n">
        <f aca="false">INDEX(Markup_Vals,MATCH("Windows",MarkupCat_Keys,0))</f>
        <v>0.42</v>
      </c>
      <c r="R203" s="32" t="n">
        <f aca="false">P203*(1+Q203)</f>
        <v>7498.006546</v>
      </c>
      <c r="S203" s="32" t="n">
        <f aca="false">R203*(1-TradeDiscount)</f>
        <v>6598.24576048</v>
      </c>
      <c r="T203" s="32" t="n">
        <f aca="false">R203*(1-VolumeDiscount)</f>
        <v>5998.4052368</v>
      </c>
    </row>
    <row r="204" customFormat="false" ht="15" hidden="false" customHeight="false" outlineLevel="0" collapsed="false">
      <c r="A204" s="25" t="s">
        <v>605</v>
      </c>
      <c r="B204" s="25" t="s">
        <v>96</v>
      </c>
      <c r="C204" s="25" t="s">
        <v>41</v>
      </c>
      <c r="D204" s="25" t="s">
        <v>606</v>
      </c>
      <c r="E204" s="25" t="s">
        <v>522</v>
      </c>
      <c r="F204" s="25" t="s">
        <v>276</v>
      </c>
      <c r="G204" s="25" t="s">
        <v>37</v>
      </c>
      <c r="H204" s="25" t="s">
        <v>63</v>
      </c>
      <c r="I204" s="25" t="s">
        <v>190</v>
      </c>
      <c r="J204" s="25" t="s">
        <v>191</v>
      </c>
      <c r="K204" s="25" t="s">
        <v>192</v>
      </c>
      <c r="L204" s="25" t="s">
        <v>29</v>
      </c>
      <c r="M204" s="25" t="n">
        <v>1809</v>
      </c>
      <c r="N204" s="25" t="n">
        <v>1209</v>
      </c>
      <c r="O204" s="25"/>
      <c r="P204" s="26" t="n">
        <f aca="false">(M204*N204/1000000)*(INDEX(AreaRate_Vals,MATCH(C204,AreaRate_Keys,0))+IFERROR(INDEX(GlazingUpg_Vals,MATCH(H204,GlazingUpg_Keys,0)),0))+INDEX(Hardware_Vals,MATCH("Windows",Hardware_Keys,0))</f>
        <v>5280.2863</v>
      </c>
      <c r="Q204" s="27" t="n">
        <f aca="false">INDEX(Markup_Vals,MATCH("Windows",MarkupCat_Keys,0))</f>
        <v>0.42</v>
      </c>
      <c r="R204" s="28" t="n">
        <f aca="false">P204*(1+Q204)</f>
        <v>7498.006546</v>
      </c>
      <c r="S204" s="28" t="n">
        <f aca="false">R204*(1-TradeDiscount)</f>
        <v>6598.24576048</v>
      </c>
      <c r="T204" s="28" t="n">
        <f aca="false">R204*(1-VolumeDiscount)</f>
        <v>5998.4052368</v>
      </c>
    </row>
    <row r="205" customFormat="false" ht="15" hidden="false" customHeight="false" outlineLevel="0" collapsed="false">
      <c r="A205" s="29" t="s">
        <v>607</v>
      </c>
      <c r="B205" s="29" t="s">
        <v>96</v>
      </c>
      <c r="C205" s="29" t="s">
        <v>41</v>
      </c>
      <c r="D205" s="29" t="s">
        <v>608</v>
      </c>
      <c r="E205" s="29" t="s">
        <v>522</v>
      </c>
      <c r="F205" s="29" t="s">
        <v>276</v>
      </c>
      <c r="G205" s="29" t="s">
        <v>39</v>
      </c>
      <c r="H205" s="29" t="s">
        <v>63</v>
      </c>
      <c r="I205" s="29" t="s">
        <v>190</v>
      </c>
      <c r="J205" s="29" t="s">
        <v>191</v>
      </c>
      <c r="K205" s="29" t="s">
        <v>192</v>
      </c>
      <c r="L205" s="29" t="s">
        <v>29</v>
      </c>
      <c r="M205" s="29" t="n">
        <v>1809</v>
      </c>
      <c r="N205" s="29" t="n">
        <v>1209</v>
      </c>
      <c r="O205" s="29"/>
      <c r="P205" s="30" t="n">
        <f aca="false">(M205*N205/1000000)*(INDEX(AreaRate_Vals,MATCH(C205,AreaRate_Keys,0))+IFERROR(INDEX(GlazingUpg_Vals,MATCH(H205,GlazingUpg_Keys,0)),0))+INDEX(Hardware_Vals,MATCH("Windows",Hardware_Keys,0))</f>
        <v>5280.2863</v>
      </c>
      <c r="Q205" s="31" t="n">
        <f aca="false">INDEX(Markup_Vals,MATCH("Windows",MarkupCat_Keys,0))</f>
        <v>0.42</v>
      </c>
      <c r="R205" s="32" t="n">
        <f aca="false">P205*(1+Q205)</f>
        <v>7498.006546</v>
      </c>
      <c r="S205" s="32" t="n">
        <f aca="false">R205*(1-TradeDiscount)</f>
        <v>6598.24576048</v>
      </c>
      <c r="T205" s="32" t="n">
        <f aca="false">R205*(1-VolumeDiscount)</f>
        <v>5998.4052368</v>
      </c>
    </row>
    <row r="206" customFormat="false" ht="15" hidden="false" customHeight="false" outlineLevel="0" collapsed="false">
      <c r="A206" s="25" t="s">
        <v>609</v>
      </c>
      <c r="B206" s="25" t="s">
        <v>96</v>
      </c>
      <c r="C206" s="25" t="s">
        <v>41</v>
      </c>
      <c r="D206" s="25" t="s">
        <v>610</v>
      </c>
      <c r="E206" s="25" t="s">
        <v>522</v>
      </c>
      <c r="F206" s="25" t="s">
        <v>276</v>
      </c>
      <c r="G206" s="25" t="s">
        <v>38</v>
      </c>
      <c r="H206" s="25" t="s">
        <v>63</v>
      </c>
      <c r="I206" s="25" t="s">
        <v>190</v>
      </c>
      <c r="J206" s="25" t="s">
        <v>191</v>
      </c>
      <c r="K206" s="25" t="s">
        <v>192</v>
      </c>
      <c r="L206" s="25" t="s">
        <v>29</v>
      </c>
      <c r="M206" s="25" t="n">
        <v>1809</v>
      </c>
      <c r="N206" s="25" t="n">
        <v>1209</v>
      </c>
      <c r="O206" s="25"/>
      <c r="P206" s="26" t="n">
        <f aca="false">(M206*N206/1000000)*(INDEX(AreaRate_Vals,MATCH(C206,AreaRate_Keys,0))+IFERROR(INDEX(GlazingUpg_Vals,MATCH(H206,GlazingUpg_Keys,0)),0))+INDEX(Hardware_Vals,MATCH("Windows",Hardware_Keys,0))</f>
        <v>5280.2863</v>
      </c>
      <c r="Q206" s="27" t="n">
        <f aca="false">INDEX(Markup_Vals,MATCH("Windows",MarkupCat_Keys,0))</f>
        <v>0.42</v>
      </c>
      <c r="R206" s="28" t="n">
        <f aca="false">P206*(1+Q206)</f>
        <v>7498.006546</v>
      </c>
      <c r="S206" s="28" t="n">
        <f aca="false">R206*(1-TradeDiscount)</f>
        <v>6598.24576048</v>
      </c>
      <c r="T206" s="28" t="n">
        <f aca="false">R206*(1-VolumeDiscount)</f>
        <v>5998.4052368</v>
      </c>
    </row>
    <row r="207" customFormat="false" ht="15" hidden="false" customHeight="false" outlineLevel="0" collapsed="false">
      <c r="A207" s="29" t="s">
        <v>611</v>
      </c>
      <c r="B207" s="29" t="s">
        <v>96</v>
      </c>
      <c r="C207" s="29" t="s">
        <v>41</v>
      </c>
      <c r="D207" s="29" t="s">
        <v>612</v>
      </c>
      <c r="E207" s="29" t="s">
        <v>522</v>
      </c>
      <c r="F207" s="29" t="s">
        <v>276</v>
      </c>
      <c r="G207" s="29" t="s">
        <v>35</v>
      </c>
      <c r="H207" s="29" t="s">
        <v>64</v>
      </c>
      <c r="I207" s="29" t="s">
        <v>190</v>
      </c>
      <c r="J207" s="29" t="s">
        <v>191</v>
      </c>
      <c r="K207" s="29" t="s">
        <v>192</v>
      </c>
      <c r="L207" s="29" t="s">
        <v>29</v>
      </c>
      <c r="M207" s="29" t="n">
        <v>1809</v>
      </c>
      <c r="N207" s="29" t="n">
        <v>1209</v>
      </c>
      <c r="O207" s="29"/>
      <c r="P207" s="30" t="n">
        <f aca="false">(M207*N207/1000000)*(INDEX(AreaRate_Vals,MATCH(C207,AreaRate_Keys,0))+IFERROR(INDEX(GlazingUpg_Vals,MATCH(H207,GlazingUpg_Keys,0)),0))+INDEX(Hardware_Vals,MATCH("Windows",Hardware_Keys,0))</f>
        <v>6483.18085</v>
      </c>
      <c r="Q207" s="31" t="n">
        <f aca="false">INDEX(Markup_Vals,MATCH("Windows",MarkupCat_Keys,0))</f>
        <v>0.42</v>
      </c>
      <c r="R207" s="32" t="n">
        <f aca="false">P207*(1+Q207)</f>
        <v>9206.116807</v>
      </c>
      <c r="S207" s="32" t="n">
        <f aca="false">R207*(1-TradeDiscount)</f>
        <v>8101.38279016</v>
      </c>
      <c r="T207" s="32" t="n">
        <f aca="false">R207*(1-VolumeDiscount)</f>
        <v>7364.8934456</v>
      </c>
    </row>
    <row r="208" customFormat="false" ht="15" hidden="false" customHeight="false" outlineLevel="0" collapsed="false">
      <c r="A208" s="25" t="s">
        <v>613</v>
      </c>
      <c r="B208" s="25" t="s">
        <v>96</v>
      </c>
      <c r="C208" s="25" t="s">
        <v>41</v>
      </c>
      <c r="D208" s="25" t="s">
        <v>614</v>
      </c>
      <c r="E208" s="25" t="s">
        <v>522</v>
      </c>
      <c r="F208" s="25" t="s">
        <v>276</v>
      </c>
      <c r="G208" s="25" t="s">
        <v>36</v>
      </c>
      <c r="H208" s="25" t="s">
        <v>64</v>
      </c>
      <c r="I208" s="25" t="s">
        <v>190</v>
      </c>
      <c r="J208" s="25" t="s">
        <v>191</v>
      </c>
      <c r="K208" s="25" t="s">
        <v>192</v>
      </c>
      <c r="L208" s="25" t="s">
        <v>29</v>
      </c>
      <c r="M208" s="25" t="n">
        <v>1809</v>
      </c>
      <c r="N208" s="25" t="n">
        <v>1209</v>
      </c>
      <c r="O208" s="25"/>
      <c r="P208" s="26" t="n">
        <f aca="false">(M208*N208/1000000)*(INDEX(AreaRate_Vals,MATCH(C208,AreaRate_Keys,0))+IFERROR(INDEX(GlazingUpg_Vals,MATCH(H208,GlazingUpg_Keys,0)),0))+INDEX(Hardware_Vals,MATCH("Windows",Hardware_Keys,0))</f>
        <v>6483.18085</v>
      </c>
      <c r="Q208" s="27" t="n">
        <f aca="false">INDEX(Markup_Vals,MATCH("Windows",MarkupCat_Keys,0))</f>
        <v>0.42</v>
      </c>
      <c r="R208" s="28" t="n">
        <f aca="false">P208*(1+Q208)</f>
        <v>9206.116807</v>
      </c>
      <c r="S208" s="28" t="n">
        <f aca="false">R208*(1-TradeDiscount)</f>
        <v>8101.38279016</v>
      </c>
      <c r="T208" s="28" t="n">
        <f aca="false">R208*(1-VolumeDiscount)</f>
        <v>7364.8934456</v>
      </c>
    </row>
    <row r="209" customFormat="false" ht="15" hidden="false" customHeight="false" outlineLevel="0" collapsed="false">
      <c r="A209" s="29" t="s">
        <v>615</v>
      </c>
      <c r="B209" s="29" t="s">
        <v>96</v>
      </c>
      <c r="C209" s="29" t="s">
        <v>41</v>
      </c>
      <c r="D209" s="29" t="s">
        <v>616</v>
      </c>
      <c r="E209" s="29" t="s">
        <v>522</v>
      </c>
      <c r="F209" s="29" t="s">
        <v>276</v>
      </c>
      <c r="G209" s="29" t="s">
        <v>37</v>
      </c>
      <c r="H209" s="29" t="s">
        <v>64</v>
      </c>
      <c r="I209" s="29" t="s">
        <v>190</v>
      </c>
      <c r="J209" s="29" t="s">
        <v>191</v>
      </c>
      <c r="K209" s="29" t="s">
        <v>192</v>
      </c>
      <c r="L209" s="29" t="s">
        <v>29</v>
      </c>
      <c r="M209" s="29" t="n">
        <v>1809</v>
      </c>
      <c r="N209" s="29" t="n">
        <v>1209</v>
      </c>
      <c r="O209" s="29"/>
      <c r="P209" s="30" t="n">
        <f aca="false">(M209*N209/1000000)*(INDEX(AreaRate_Vals,MATCH(C209,AreaRate_Keys,0))+IFERROR(INDEX(GlazingUpg_Vals,MATCH(H209,GlazingUpg_Keys,0)),0))+INDEX(Hardware_Vals,MATCH("Windows",Hardware_Keys,0))</f>
        <v>6483.18085</v>
      </c>
      <c r="Q209" s="31" t="n">
        <f aca="false">INDEX(Markup_Vals,MATCH("Windows",MarkupCat_Keys,0))</f>
        <v>0.42</v>
      </c>
      <c r="R209" s="32" t="n">
        <f aca="false">P209*(1+Q209)</f>
        <v>9206.116807</v>
      </c>
      <c r="S209" s="32" t="n">
        <f aca="false">R209*(1-TradeDiscount)</f>
        <v>8101.38279016</v>
      </c>
      <c r="T209" s="32" t="n">
        <f aca="false">R209*(1-VolumeDiscount)</f>
        <v>7364.8934456</v>
      </c>
    </row>
    <row r="210" customFormat="false" ht="15" hidden="false" customHeight="false" outlineLevel="0" collapsed="false">
      <c r="A210" s="25" t="s">
        <v>617</v>
      </c>
      <c r="B210" s="25" t="s">
        <v>96</v>
      </c>
      <c r="C210" s="25" t="s">
        <v>41</v>
      </c>
      <c r="D210" s="25" t="s">
        <v>618</v>
      </c>
      <c r="E210" s="25" t="s">
        <v>522</v>
      </c>
      <c r="F210" s="25" t="s">
        <v>276</v>
      </c>
      <c r="G210" s="25" t="s">
        <v>39</v>
      </c>
      <c r="H210" s="25" t="s">
        <v>64</v>
      </c>
      <c r="I210" s="25" t="s">
        <v>190</v>
      </c>
      <c r="J210" s="25" t="s">
        <v>191</v>
      </c>
      <c r="K210" s="25" t="s">
        <v>192</v>
      </c>
      <c r="L210" s="25" t="s">
        <v>29</v>
      </c>
      <c r="M210" s="25" t="n">
        <v>1809</v>
      </c>
      <c r="N210" s="25" t="n">
        <v>1209</v>
      </c>
      <c r="O210" s="25"/>
      <c r="P210" s="26" t="n">
        <f aca="false">(M210*N210/1000000)*(INDEX(AreaRate_Vals,MATCH(C210,AreaRate_Keys,0))+IFERROR(INDEX(GlazingUpg_Vals,MATCH(H210,GlazingUpg_Keys,0)),0))+INDEX(Hardware_Vals,MATCH("Windows",Hardware_Keys,0))</f>
        <v>6483.18085</v>
      </c>
      <c r="Q210" s="27" t="n">
        <f aca="false">INDEX(Markup_Vals,MATCH("Windows",MarkupCat_Keys,0))</f>
        <v>0.42</v>
      </c>
      <c r="R210" s="28" t="n">
        <f aca="false">P210*(1+Q210)</f>
        <v>9206.116807</v>
      </c>
      <c r="S210" s="28" t="n">
        <f aca="false">R210*(1-TradeDiscount)</f>
        <v>8101.38279016</v>
      </c>
      <c r="T210" s="28" t="n">
        <f aca="false">R210*(1-VolumeDiscount)</f>
        <v>7364.8934456</v>
      </c>
    </row>
    <row r="211" customFormat="false" ht="15" hidden="false" customHeight="false" outlineLevel="0" collapsed="false">
      <c r="A211" s="29" t="s">
        <v>619</v>
      </c>
      <c r="B211" s="29" t="s">
        <v>96</v>
      </c>
      <c r="C211" s="29" t="s">
        <v>41</v>
      </c>
      <c r="D211" s="29" t="s">
        <v>620</v>
      </c>
      <c r="E211" s="29" t="s">
        <v>522</v>
      </c>
      <c r="F211" s="29" t="s">
        <v>276</v>
      </c>
      <c r="G211" s="29" t="s">
        <v>38</v>
      </c>
      <c r="H211" s="29" t="s">
        <v>64</v>
      </c>
      <c r="I211" s="29" t="s">
        <v>190</v>
      </c>
      <c r="J211" s="29" t="s">
        <v>191</v>
      </c>
      <c r="K211" s="29" t="s">
        <v>192</v>
      </c>
      <c r="L211" s="29" t="s">
        <v>29</v>
      </c>
      <c r="M211" s="29" t="n">
        <v>1809</v>
      </c>
      <c r="N211" s="29" t="n">
        <v>1209</v>
      </c>
      <c r="O211" s="29"/>
      <c r="P211" s="30" t="n">
        <f aca="false">(M211*N211/1000000)*(INDEX(AreaRate_Vals,MATCH(C211,AreaRate_Keys,0))+IFERROR(INDEX(GlazingUpg_Vals,MATCH(H211,GlazingUpg_Keys,0)),0))+INDEX(Hardware_Vals,MATCH("Windows",Hardware_Keys,0))</f>
        <v>6483.18085</v>
      </c>
      <c r="Q211" s="31" t="n">
        <f aca="false">INDEX(Markup_Vals,MATCH("Windows",MarkupCat_Keys,0))</f>
        <v>0.42</v>
      </c>
      <c r="R211" s="32" t="n">
        <f aca="false">P211*(1+Q211)</f>
        <v>9206.116807</v>
      </c>
      <c r="S211" s="32" t="n">
        <f aca="false">R211*(1-TradeDiscount)</f>
        <v>8101.38279016</v>
      </c>
      <c r="T211" s="32" t="n">
        <f aca="false">R211*(1-VolumeDiscount)</f>
        <v>7364.8934456</v>
      </c>
    </row>
    <row r="212" customFormat="false" ht="15" hidden="false" customHeight="false" outlineLevel="0" collapsed="false">
      <c r="A212" s="25" t="s">
        <v>621</v>
      </c>
      <c r="B212" s="25" t="s">
        <v>96</v>
      </c>
      <c r="C212" s="25" t="s">
        <v>41</v>
      </c>
      <c r="D212" s="25" t="s">
        <v>622</v>
      </c>
      <c r="E212" s="25" t="s">
        <v>522</v>
      </c>
      <c r="F212" s="25" t="s">
        <v>297</v>
      </c>
      <c r="G212" s="25" t="s">
        <v>35</v>
      </c>
      <c r="H212" s="25" t="s">
        <v>63</v>
      </c>
      <c r="I212" s="25" t="s">
        <v>190</v>
      </c>
      <c r="J212" s="25" t="s">
        <v>191</v>
      </c>
      <c r="K212" s="25" t="s">
        <v>298</v>
      </c>
      <c r="L212" s="25" t="s">
        <v>29</v>
      </c>
      <c r="M212" s="25" t="n">
        <v>2409</v>
      </c>
      <c r="N212" s="25" t="n">
        <v>1209</v>
      </c>
      <c r="O212" s="25"/>
      <c r="P212" s="26" t="n">
        <f aca="false">(M212*N212/1000000)*(INDEX(AreaRate_Vals,MATCH(C212,AreaRate_Keys,0))+IFERROR(INDEX(GlazingUpg_Vals,MATCH(H212,GlazingUpg_Keys,0)),0))+INDEX(Hardware_Vals,MATCH("Windows",Hardware_Keys,0))</f>
        <v>6948.7063</v>
      </c>
      <c r="Q212" s="27" t="n">
        <f aca="false">INDEX(Markup_Vals,MATCH("Windows",MarkupCat_Keys,0))</f>
        <v>0.42</v>
      </c>
      <c r="R212" s="28" t="n">
        <f aca="false">P212*(1+Q212)</f>
        <v>9867.162946</v>
      </c>
      <c r="S212" s="28" t="n">
        <f aca="false">R212*(1-TradeDiscount)</f>
        <v>8683.10339248</v>
      </c>
      <c r="T212" s="28" t="n">
        <f aca="false">R212*(1-VolumeDiscount)</f>
        <v>7893.7303568</v>
      </c>
    </row>
    <row r="213" customFormat="false" ht="15" hidden="false" customHeight="false" outlineLevel="0" collapsed="false">
      <c r="A213" s="29" t="s">
        <v>623</v>
      </c>
      <c r="B213" s="29" t="s">
        <v>96</v>
      </c>
      <c r="C213" s="29" t="s">
        <v>41</v>
      </c>
      <c r="D213" s="29" t="s">
        <v>624</v>
      </c>
      <c r="E213" s="29" t="s">
        <v>522</v>
      </c>
      <c r="F213" s="29" t="s">
        <v>297</v>
      </c>
      <c r="G213" s="29" t="s">
        <v>36</v>
      </c>
      <c r="H213" s="29" t="s">
        <v>63</v>
      </c>
      <c r="I213" s="29" t="s">
        <v>190</v>
      </c>
      <c r="J213" s="29" t="s">
        <v>191</v>
      </c>
      <c r="K213" s="29" t="s">
        <v>298</v>
      </c>
      <c r="L213" s="29" t="s">
        <v>29</v>
      </c>
      <c r="M213" s="29" t="n">
        <v>2409</v>
      </c>
      <c r="N213" s="29" t="n">
        <v>1209</v>
      </c>
      <c r="O213" s="29"/>
      <c r="P213" s="30" t="n">
        <f aca="false">(M213*N213/1000000)*(INDEX(AreaRate_Vals,MATCH(C213,AreaRate_Keys,0))+IFERROR(INDEX(GlazingUpg_Vals,MATCH(H213,GlazingUpg_Keys,0)),0))+INDEX(Hardware_Vals,MATCH("Windows",Hardware_Keys,0))</f>
        <v>6948.7063</v>
      </c>
      <c r="Q213" s="31" t="n">
        <f aca="false">INDEX(Markup_Vals,MATCH("Windows",MarkupCat_Keys,0))</f>
        <v>0.42</v>
      </c>
      <c r="R213" s="32" t="n">
        <f aca="false">P213*(1+Q213)</f>
        <v>9867.162946</v>
      </c>
      <c r="S213" s="32" t="n">
        <f aca="false">R213*(1-TradeDiscount)</f>
        <v>8683.10339248</v>
      </c>
      <c r="T213" s="32" t="n">
        <f aca="false">R213*(1-VolumeDiscount)</f>
        <v>7893.7303568</v>
      </c>
    </row>
    <row r="214" customFormat="false" ht="15" hidden="false" customHeight="false" outlineLevel="0" collapsed="false">
      <c r="A214" s="25" t="s">
        <v>625</v>
      </c>
      <c r="B214" s="25" t="s">
        <v>96</v>
      </c>
      <c r="C214" s="25" t="s">
        <v>41</v>
      </c>
      <c r="D214" s="25" t="s">
        <v>626</v>
      </c>
      <c r="E214" s="25" t="s">
        <v>522</v>
      </c>
      <c r="F214" s="25" t="s">
        <v>297</v>
      </c>
      <c r="G214" s="25" t="s">
        <v>37</v>
      </c>
      <c r="H214" s="25" t="s">
        <v>63</v>
      </c>
      <c r="I214" s="25" t="s">
        <v>190</v>
      </c>
      <c r="J214" s="25" t="s">
        <v>191</v>
      </c>
      <c r="K214" s="25" t="s">
        <v>298</v>
      </c>
      <c r="L214" s="25" t="s">
        <v>29</v>
      </c>
      <c r="M214" s="25" t="n">
        <v>2409</v>
      </c>
      <c r="N214" s="25" t="n">
        <v>1209</v>
      </c>
      <c r="O214" s="25"/>
      <c r="P214" s="26" t="n">
        <f aca="false">(M214*N214/1000000)*(INDEX(AreaRate_Vals,MATCH(C214,AreaRate_Keys,0))+IFERROR(INDEX(GlazingUpg_Vals,MATCH(H214,GlazingUpg_Keys,0)),0))+INDEX(Hardware_Vals,MATCH("Windows",Hardware_Keys,0))</f>
        <v>6948.7063</v>
      </c>
      <c r="Q214" s="27" t="n">
        <f aca="false">INDEX(Markup_Vals,MATCH("Windows",MarkupCat_Keys,0))</f>
        <v>0.42</v>
      </c>
      <c r="R214" s="28" t="n">
        <f aca="false">P214*(1+Q214)</f>
        <v>9867.162946</v>
      </c>
      <c r="S214" s="28" t="n">
        <f aca="false">R214*(1-TradeDiscount)</f>
        <v>8683.10339248</v>
      </c>
      <c r="T214" s="28" t="n">
        <f aca="false">R214*(1-VolumeDiscount)</f>
        <v>7893.7303568</v>
      </c>
    </row>
    <row r="215" customFormat="false" ht="15" hidden="false" customHeight="false" outlineLevel="0" collapsed="false">
      <c r="A215" s="29" t="s">
        <v>627</v>
      </c>
      <c r="B215" s="29" t="s">
        <v>96</v>
      </c>
      <c r="C215" s="29" t="s">
        <v>41</v>
      </c>
      <c r="D215" s="29" t="s">
        <v>628</v>
      </c>
      <c r="E215" s="29" t="s">
        <v>522</v>
      </c>
      <c r="F215" s="29" t="s">
        <v>297</v>
      </c>
      <c r="G215" s="29" t="s">
        <v>39</v>
      </c>
      <c r="H215" s="29" t="s">
        <v>63</v>
      </c>
      <c r="I215" s="29" t="s">
        <v>190</v>
      </c>
      <c r="J215" s="29" t="s">
        <v>191</v>
      </c>
      <c r="K215" s="29" t="s">
        <v>298</v>
      </c>
      <c r="L215" s="29" t="s">
        <v>29</v>
      </c>
      <c r="M215" s="29" t="n">
        <v>2409</v>
      </c>
      <c r="N215" s="29" t="n">
        <v>1209</v>
      </c>
      <c r="O215" s="29"/>
      <c r="P215" s="30" t="n">
        <f aca="false">(M215*N215/1000000)*(INDEX(AreaRate_Vals,MATCH(C215,AreaRate_Keys,0))+IFERROR(INDEX(GlazingUpg_Vals,MATCH(H215,GlazingUpg_Keys,0)),0))+INDEX(Hardware_Vals,MATCH("Windows",Hardware_Keys,0))</f>
        <v>6948.7063</v>
      </c>
      <c r="Q215" s="31" t="n">
        <f aca="false">INDEX(Markup_Vals,MATCH("Windows",MarkupCat_Keys,0))</f>
        <v>0.42</v>
      </c>
      <c r="R215" s="32" t="n">
        <f aca="false">P215*(1+Q215)</f>
        <v>9867.162946</v>
      </c>
      <c r="S215" s="32" t="n">
        <f aca="false">R215*(1-TradeDiscount)</f>
        <v>8683.10339248</v>
      </c>
      <c r="T215" s="32" t="n">
        <f aca="false">R215*(1-VolumeDiscount)</f>
        <v>7893.7303568</v>
      </c>
    </row>
    <row r="216" customFormat="false" ht="15" hidden="false" customHeight="false" outlineLevel="0" collapsed="false">
      <c r="A216" s="25" t="s">
        <v>629</v>
      </c>
      <c r="B216" s="25" t="s">
        <v>96</v>
      </c>
      <c r="C216" s="25" t="s">
        <v>41</v>
      </c>
      <c r="D216" s="25" t="s">
        <v>630</v>
      </c>
      <c r="E216" s="25" t="s">
        <v>522</v>
      </c>
      <c r="F216" s="25" t="s">
        <v>297</v>
      </c>
      <c r="G216" s="25" t="s">
        <v>38</v>
      </c>
      <c r="H216" s="25" t="s">
        <v>63</v>
      </c>
      <c r="I216" s="25" t="s">
        <v>190</v>
      </c>
      <c r="J216" s="25" t="s">
        <v>191</v>
      </c>
      <c r="K216" s="25" t="s">
        <v>298</v>
      </c>
      <c r="L216" s="25" t="s">
        <v>29</v>
      </c>
      <c r="M216" s="25" t="n">
        <v>2409</v>
      </c>
      <c r="N216" s="25" t="n">
        <v>1209</v>
      </c>
      <c r="O216" s="25"/>
      <c r="P216" s="26" t="n">
        <f aca="false">(M216*N216/1000000)*(INDEX(AreaRate_Vals,MATCH(C216,AreaRate_Keys,0))+IFERROR(INDEX(GlazingUpg_Vals,MATCH(H216,GlazingUpg_Keys,0)),0))+INDEX(Hardware_Vals,MATCH("Windows",Hardware_Keys,0))</f>
        <v>6948.7063</v>
      </c>
      <c r="Q216" s="27" t="n">
        <f aca="false">INDEX(Markup_Vals,MATCH("Windows",MarkupCat_Keys,0))</f>
        <v>0.42</v>
      </c>
      <c r="R216" s="28" t="n">
        <f aca="false">P216*(1+Q216)</f>
        <v>9867.162946</v>
      </c>
      <c r="S216" s="28" t="n">
        <f aca="false">R216*(1-TradeDiscount)</f>
        <v>8683.10339248</v>
      </c>
      <c r="T216" s="28" t="n">
        <f aca="false">R216*(1-VolumeDiscount)</f>
        <v>7893.7303568</v>
      </c>
    </row>
    <row r="217" customFormat="false" ht="15" hidden="false" customHeight="false" outlineLevel="0" collapsed="false">
      <c r="A217" s="29" t="s">
        <v>631</v>
      </c>
      <c r="B217" s="29" t="s">
        <v>96</v>
      </c>
      <c r="C217" s="29" t="s">
        <v>41</v>
      </c>
      <c r="D217" s="29" t="s">
        <v>632</v>
      </c>
      <c r="E217" s="29" t="s">
        <v>522</v>
      </c>
      <c r="F217" s="29" t="s">
        <v>297</v>
      </c>
      <c r="G217" s="29" t="s">
        <v>35</v>
      </c>
      <c r="H217" s="29" t="s">
        <v>64</v>
      </c>
      <c r="I217" s="29" t="s">
        <v>190</v>
      </c>
      <c r="J217" s="29" t="s">
        <v>191</v>
      </c>
      <c r="K217" s="29" t="s">
        <v>298</v>
      </c>
      <c r="L217" s="29" t="s">
        <v>29</v>
      </c>
      <c r="M217" s="29" t="n">
        <v>2409</v>
      </c>
      <c r="N217" s="29" t="n">
        <v>1209</v>
      </c>
      <c r="O217" s="29"/>
      <c r="P217" s="30" t="n">
        <f aca="false">(M217*N217/1000000)*(INDEX(AreaRate_Vals,MATCH(C217,AreaRate_Keys,0))+IFERROR(INDEX(GlazingUpg_Vals,MATCH(H217,GlazingUpg_Keys,0)),0))+INDEX(Hardware_Vals,MATCH("Windows",Hardware_Keys,0))</f>
        <v>8550.57085</v>
      </c>
      <c r="Q217" s="31" t="n">
        <f aca="false">INDEX(Markup_Vals,MATCH("Windows",MarkupCat_Keys,0))</f>
        <v>0.42</v>
      </c>
      <c r="R217" s="32" t="n">
        <f aca="false">P217*(1+Q217)</f>
        <v>12141.810607</v>
      </c>
      <c r="S217" s="32" t="n">
        <f aca="false">R217*(1-TradeDiscount)</f>
        <v>10684.79333416</v>
      </c>
      <c r="T217" s="32" t="n">
        <f aca="false">R217*(1-VolumeDiscount)</f>
        <v>9713.4484856</v>
      </c>
    </row>
    <row r="218" customFormat="false" ht="15" hidden="false" customHeight="false" outlineLevel="0" collapsed="false">
      <c r="A218" s="25" t="s">
        <v>633</v>
      </c>
      <c r="B218" s="25" t="s">
        <v>96</v>
      </c>
      <c r="C218" s="25" t="s">
        <v>41</v>
      </c>
      <c r="D218" s="25" t="s">
        <v>634</v>
      </c>
      <c r="E218" s="25" t="s">
        <v>522</v>
      </c>
      <c r="F218" s="25" t="s">
        <v>297</v>
      </c>
      <c r="G218" s="25" t="s">
        <v>36</v>
      </c>
      <c r="H218" s="25" t="s">
        <v>64</v>
      </c>
      <c r="I218" s="25" t="s">
        <v>190</v>
      </c>
      <c r="J218" s="25" t="s">
        <v>191</v>
      </c>
      <c r="K218" s="25" t="s">
        <v>298</v>
      </c>
      <c r="L218" s="25" t="s">
        <v>29</v>
      </c>
      <c r="M218" s="25" t="n">
        <v>2409</v>
      </c>
      <c r="N218" s="25" t="n">
        <v>1209</v>
      </c>
      <c r="O218" s="25"/>
      <c r="P218" s="26" t="n">
        <f aca="false">(M218*N218/1000000)*(INDEX(AreaRate_Vals,MATCH(C218,AreaRate_Keys,0))+IFERROR(INDEX(GlazingUpg_Vals,MATCH(H218,GlazingUpg_Keys,0)),0))+INDEX(Hardware_Vals,MATCH("Windows",Hardware_Keys,0))</f>
        <v>8550.57085</v>
      </c>
      <c r="Q218" s="27" t="n">
        <f aca="false">INDEX(Markup_Vals,MATCH("Windows",MarkupCat_Keys,0))</f>
        <v>0.42</v>
      </c>
      <c r="R218" s="28" t="n">
        <f aca="false">P218*(1+Q218)</f>
        <v>12141.810607</v>
      </c>
      <c r="S218" s="28" t="n">
        <f aca="false">R218*(1-TradeDiscount)</f>
        <v>10684.79333416</v>
      </c>
      <c r="T218" s="28" t="n">
        <f aca="false">R218*(1-VolumeDiscount)</f>
        <v>9713.4484856</v>
      </c>
    </row>
    <row r="219" customFormat="false" ht="15" hidden="false" customHeight="false" outlineLevel="0" collapsed="false">
      <c r="A219" s="29" t="s">
        <v>635</v>
      </c>
      <c r="B219" s="29" t="s">
        <v>96</v>
      </c>
      <c r="C219" s="29" t="s">
        <v>41</v>
      </c>
      <c r="D219" s="29" t="s">
        <v>636</v>
      </c>
      <c r="E219" s="29" t="s">
        <v>522</v>
      </c>
      <c r="F219" s="29" t="s">
        <v>297</v>
      </c>
      <c r="G219" s="29" t="s">
        <v>37</v>
      </c>
      <c r="H219" s="29" t="s">
        <v>64</v>
      </c>
      <c r="I219" s="29" t="s">
        <v>190</v>
      </c>
      <c r="J219" s="29" t="s">
        <v>191</v>
      </c>
      <c r="K219" s="29" t="s">
        <v>298</v>
      </c>
      <c r="L219" s="29" t="s">
        <v>29</v>
      </c>
      <c r="M219" s="29" t="n">
        <v>2409</v>
      </c>
      <c r="N219" s="29" t="n">
        <v>1209</v>
      </c>
      <c r="O219" s="29"/>
      <c r="P219" s="30" t="n">
        <f aca="false">(M219*N219/1000000)*(INDEX(AreaRate_Vals,MATCH(C219,AreaRate_Keys,0))+IFERROR(INDEX(GlazingUpg_Vals,MATCH(H219,GlazingUpg_Keys,0)),0))+INDEX(Hardware_Vals,MATCH("Windows",Hardware_Keys,0))</f>
        <v>8550.57085</v>
      </c>
      <c r="Q219" s="31" t="n">
        <f aca="false">INDEX(Markup_Vals,MATCH("Windows",MarkupCat_Keys,0))</f>
        <v>0.42</v>
      </c>
      <c r="R219" s="32" t="n">
        <f aca="false">P219*(1+Q219)</f>
        <v>12141.810607</v>
      </c>
      <c r="S219" s="32" t="n">
        <f aca="false">R219*(1-TradeDiscount)</f>
        <v>10684.79333416</v>
      </c>
      <c r="T219" s="32" t="n">
        <f aca="false">R219*(1-VolumeDiscount)</f>
        <v>9713.4484856</v>
      </c>
    </row>
    <row r="220" customFormat="false" ht="15" hidden="false" customHeight="false" outlineLevel="0" collapsed="false">
      <c r="A220" s="25" t="s">
        <v>637</v>
      </c>
      <c r="B220" s="25" t="s">
        <v>96</v>
      </c>
      <c r="C220" s="25" t="s">
        <v>41</v>
      </c>
      <c r="D220" s="25" t="s">
        <v>638</v>
      </c>
      <c r="E220" s="25" t="s">
        <v>522</v>
      </c>
      <c r="F220" s="25" t="s">
        <v>297</v>
      </c>
      <c r="G220" s="25" t="s">
        <v>39</v>
      </c>
      <c r="H220" s="25" t="s">
        <v>64</v>
      </c>
      <c r="I220" s="25" t="s">
        <v>190</v>
      </c>
      <c r="J220" s="25" t="s">
        <v>191</v>
      </c>
      <c r="K220" s="25" t="s">
        <v>298</v>
      </c>
      <c r="L220" s="25" t="s">
        <v>29</v>
      </c>
      <c r="M220" s="25" t="n">
        <v>2409</v>
      </c>
      <c r="N220" s="25" t="n">
        <v>1209</v>
      </c>
      <c r="O220" s="25"/>
      <c r="P220" s="26" t="n">
        <f aca="false">(M220*N220/1000000)*(INDEX(AreaRate_Vals,MATCH(C220,AreaRate_Keys,0))+IFERROR(INDEX(GlazingUpg_Vals,MATCH(H220,GlazingUpg_Keys,0)),0))+INDEX(Hardware_Vals,MATCH("Windows",Hardware_Keys,0))</f>
        <v>8550.57085</v>
      </c>
      <c r="Q220" s="27" t="n">
        <f aca="false">INDEX(Markup_Vals,MATCH("Windows",MarkupCat_Keys,0))</f>
        <v>0.42</v>
      </c>
      <c r="R220" s="28" t="n">
        <f aca="false">P220*(1+Q220)</f>
        <v>12141.810607</v>
      </c>
      <c r="S220" s="28" t="n">
        <f aca="false">R220*(1-TradeDiscount)</f>
        <v>10684.79333416</v>
      </c>
      <c r="T220" s="28" t="n">
        <f aca="false">R220*(1-VolumeDiscount)</f>
        <v>9713.4484856</v>
      </c>
    </row>
    <row r="221" customFormat="false" ht="15" hidden="false" customHeight="false" outlineLevel="0" collapsed="false">
      <c r="A221" s="29" t="s">
        <v>639</v>
      </c>
      <c r="B221" s="29" t="s">
        <v>96</v>
      </c>
      <c r="C221" s="29" t="s">
        <v>41</v>
      </c>
      <c r="D221" s="29" t="s">
        <v>640</v>
      </c>
      <c r="E221" s="29" t="s">
        <v>522</v>
      </c>
      <c r="F221" s="29" t="s">
        <v>297</v>
      </c>
      <c r="G221" s="29" t="s">
        <v>38</v>
      </c>
      <c r="H221" s="29" t="s">
        <v>64</v>
      </c>
      <c r="I221" s="29" t="s">
        <v>190</v>
      </c>
      <c r="J221" s="29" t="s">
        <v>191</v>
      </c>
      <c r="K221" s="29" t="s">
        <v>298</v>
      </c>
      <c r="L221" s="29" t="s">
        <v>29</v>
      </c>
      <c r="M221" s="29" t="n">
        <v>2409</v>
      </c>
      <c r="N221" s="29" t="n">
        <v>1209</v>
      </c>
      <c r="O221" s="29"/>
      <c r="P221" s="30" t="n">
        <f aca="false">(M221*N221/1000000)*(INDEX(AreaRate_Vals,MATCH(C221,AreaRate_Keys,0))+IFERROR(INDEX(GlazingUpg_Vals,MATCH(H221,GlazingUpg_Keys,0)),0))+INDEX(Hardware_Vals,MATCH("Windows",Hardware_Keys,0))</f>
        <v>8550.57085</v>
      </c>
      <c r="Q221" s="31" t="n">
        <f aca="false">INDEX(Markup_Vals,MATCH("Windows",MarkupCat_Keys,0))</f>
        <v>0.42</v>
      </c>
      <c r="R221" s="32" t="n">
        <f aca="false">P221*(1+Q221)</f>
        <v>12141.810607</v>
      </c>
      <c r="S221" s="32" t="n">
        <f aca="false">R221*(1-TradeDiscount)</f>
        <v>10684.79333416</v>
      </c>
      <c r="T221" s="32" t="n">
        <f aca="false">R221*(1-VolumeDiscount)</f>
        <v>9713.4484856</v>
      </c>
    </row>
    <row r="222" customFormat="false" ht="15" hidden="false" customHeight="false" outlineLevel="0" collapsed="false">
      <c r="A222" s="25" t="s">
        <v>641</v>
      </c>
      <c r="B222" s="25" t="s">
        <v>96</v>
      </c>
      <c r="C222" s="25" t="s">
        <v>41</v>
      </c>
      <c r="D222" s="25" t="s">
        <v>642</v>
      </c>
      <c r="E222" s="25" t="s">
        <v>522</v>
      </c>
      <c r="F222" s="25" t="s">
        <v>319</v>
      </c>
      <c r="G222" s="25" t="s">
        <v>35</v>
      </c>
      <c r="H222" s="25" t="s">
        <v>63</v>
      </c>
      <c r="I222" s="25" t="s">
        <v>190</v>
      </c>
      <c r="J222" s="25" t="s">
        <v>191</v>
      </c>
      <c r="K222" s="25" t="s">
        <v>298</v>
      </c>
      <c r="L222" s="25" t="s">
        <v>29</v>
      </c>
      <c r="M222" s="25" t="n">
        <v>2409</v>
      </c>
      <c r="N222" s="25" t="n">
        <v>1509</v>
      </c>
      <c r="O222" s="25"/>
      <c r="P222" s="26" t="n">
        <f aca="false">(M222*N222/1000000)*(INDEX(AreaRate_Vals,MATCH(C222,AreaRate_Keys,0))+IFERROR(INDEX(GlazingUpg_Vals,MATCH(H222,GlazingUpg_Keys,0)),0))+INDEX(Hardware_Vals,MATCH("Windows",Hardware_Keys,0))</f>
        <v>8610.9163</v>
      </c>
      <c r="Q222" s="27" t="n">
        <f aca="false">INDEX(Markup_Vals,MATCH("Windows",MarkupCat_Keys,0))</f>
        <v>0.42</v>
      </c>
      <c r="R222" s="28" t="n">
        <f aca="false">P222*(1+Q222)</f>
        <v>12227.501146</v>
      </c>
      <c r="S222" s="28" t="n">
        <f aca="false">R222*(1-TradeDiscount)</f>
        <v>10760.20100848</v>
      </c>
      <c r="T222" s="28" t="n">
        <f aca="false">R222*(1-VolumeDiscount)</f>
        <v>9782.0009168</v>
      </c>
    </row>
    <row r="223" customFormat="false" ht="15" hidden="false" customHeight="false" outlineLevel="0" collapsed="false">
      <c r="A223" s="29" t="s">
        <v>643</v>
      </c>
      <c r="B223" s="29" t="s">
        <v>96</v>
      </c>
      <c r="C223" s="29" t="s">
        <v>41</v>
      </c>
      <c r="D223" s="29" t="s">
        <v>644</v>
      </c>
      <c r="E223" s="29" t="s">
        <v>522</v>
      </c>
      <c r="F223" s="29" t="s">
        <v>319</v>
      </c>
      <c r="G223" s="29" t="s">
        <v>36</v>
      </c>
      <c r="H223" s="29" t="s">
        <v>63</v>
      </c>
      <c r="I223" s="29" t="s">
        <v>190</v>
      </c>
      <c r="J223" s="29" t="s">
        <v>191</v>
      </c>
      <c r="K223" s="29" t="s">
        <v>298</v>
      </c>
      <c r="L223" s="29" t="s">
        <v>29</v>
      </c>
      <c r="M223" s="29" t="n">
        <v>2409</v>
      </c>
      <c r="N223" s="29" t="n">
        <v>1509</v>
      </c>
      <c r="O223" s="29"/>
      <c r="P223" s="30" t="n">
        <f aca="false">(M223*N223/1000000)*(INDEX(AreaRate_Vals,MATCH(C223,AreaRate_Keys,0))+IFERROR(INDEX(GlazingUpg_Vals,MATCH(H223,GlazingUpg_Keys,0)),0))+INDEX(Hardware_Vals,MATCH("Windows",Hardware_Keys,0))</f>
        <v>8610.9163</v>
      </c>
      <c r="Q223" s="31" t="n">
        <f aca="false">INDEX(Markup_Vals,MATCH("Windows",MarkupCat_Keys,0))</f>
        <v>0.42</v>
      </c>
      <c r="R223" s="32" t="n">
        <f aca="false">P223*(1+Q223)</f>
        <v>12227.501146</v>
      </c>
      <c r="S223" s="32" t="n">
        <f aca="false">R223*(1-TradeDiscount)</f>
        <v>10760.20100848</v>
      </c>
      <c r="T223" s="32" t="n">
        <f aca="false">R223*(1-VolumeDiscount)</f>
        <v>9782.0009168</v>
      </c>
    </row>
    <row r="224" customFormat="false" ht="15" hidden="false" customHeight="false" outlineLevel="0" collapsed="false">
      <c r="A224" s="25" t="s">
        <v>645</v>
      </c>
      <c r="B224" s="25" t="s">
        <v>96</v>
      </c>
      <c r="C224" s="25" t="s">
        <v>41</v>
      </c>
      <c r="D224" s="25" t="s">
        <v>646</v>
      </c>
      <c r="E224" s="25" t="s">
        <v>522</v>
      </c>
      <c r="F224" s="25" t="s">
        <v>319</v>
      </c>
      <c r="G224" s="25" t="s">
        <v>37</v>
      </c>
      <c r="H224" s="25" t="s">
        <v>63</v>
      </c>
      <c r="I224" s="25" t="s">
        <v>190</v>
      </c>
      <c r="J224" s="25" t="s">
        <v>191</v>
      </c>
      <c r="K224" s="25" t="s">
        <v>298</v>
      </c>
      <c r="L224" s="25" t="s">
        <v>29</v>
      </c>
      <c r="M224" s="25" t="n">
        <v>2409</v>
      </c>
      <c r="N224" s="25" t="n">
        <v>1509</v>
      </c>
      <c r="O224" s="25"/>
      <c r="P224" s="26" t="n">
        <f aca="false">(M224*N224/1000000)*(INDEX(AreaRate_Vals,MATCH(C224,AreaRate_Keys,0))+IFERROR(INDEX(GlazingUpg_Vals,MATCH(H224,GlazingUpg_Keys,0)),0))+INDEX(Hardware_Vals,MATCH("Windows",Hardware_Keys,0))</f>
        <v>8610.9163</v>
      </c>
      <c r="Q224" s="27" t="n">
        <f aca="false">INDEX(Markup_Vals,MATCH("Windows",MarkupCat_Keys,0))</f>
        <v>0.42</v>
      </c>
      <c r="R224" s="28" t="n">
        <f aca="false">P224*(1+Q224)</f>
        <v>12227.501146</v>
      </c>
      <c r="S224" s="28" t="n">
        <f aca="false">R224*(1-TradeDiscount)</f>
        <v>10760.20100848</v>
      </c>
      <c r="T224" s="28" t="n">
        <f aca="false">R224*(1-VolumeDiscount)</f>
        <v>9782.0009168</v>
      </c>
    </row>
    <row r="225" customFormat="false" ht="15" hidden="false" customHeight="false" outlineLevel="0" collapsed="false">
      <c r="A225" s="29" t="s">
        <v>647</v>
      </c>
      <c r="B225" s="29" t="s">
        <v>96</v>
      </c>
      <c r="C225" s="29" t="s">
        <v>41</v>
      </c>
      <c r="D225" s="29" t="s">
        <v>648</v>
      </c>
      <c r="E225" s="29" t="s">
        <v>522</v>
      </c>
      <c r="F225" s="29" t="s">
        <v>319</v>
      </c>
      <c r="G225" s="29" t="s">
        <v>39</v>
      </c>
      <c r="H225" s="29" t="s">
        <v>63</v>
      </c>
      <c r="I225" s="29" t="s">
        <v>190</v>
      </c>
      <c r="J225" s="29" t="s">
        <v>191</v>
      </c>
      <c r="K225" s="29" t="s">
        <v>298</v>
      </c>
      <c r="L225" s="29" t="s">
        <v>29</v>
      </c>
      <c r="M225" s="29" t="n">
        <v>2409</v>
      </c>
      <c r="N225" s="29" t="n">
        <v>1509</v>
      </c>
      <c r="O225" s="29"/>
      <c r="P225" s="30" t="n">
        <f aca="false">(M225*N225/1000000)*(INDEX(AreaRate_Vals,MATCH(C225,AreaRate_Keys,0))+IFERROR(INDEX(GlazingUpg_Vals,MATCH(H225,GlazingUpg_Keys,0)),0))+INDEX(Hardware_Vals,MATCH("Windows",Hardware_Keys,0))</f>
        <v>8610.9163</v>
      </c>
      <c r="Q225" s="31" t="n">
        <f aca="false">INDEX(Markup_Vals,MATCH("Windows",MarkupCat_Keys,0))</f>
        <v>0.42</v>
      </c>
      <c r="R225" s="32" t="n">
        <f aca="false">P225*(1+Q225)</f>
        <v>12227.501146</v>
      </c>
      <c r="S225" s="32" t="n">
        <f aca="false">R225*(1-TradeDiscount)</f>
        <v>10760.20100848</v>
      </c>
      <c r="T225" s="32" t="n">
        <f aca="false">R225*(1-VolumeDiscount)</f>
        <v>9782.0009168</v>
      </c>
    </row>
    <row r="226" customFormat="false" ht="15" hidden="false" customHeight="false" outlineLevel="0" collapsed="false">
      <c r="A226" s="25" t="s">
        <v>649</v>
      </c>
      <c r="B226" s="25" t="s">
        <v>96</v>
      </c>
      <c r="C226" s="25" t="s">
        <v>41</v>
      </c>
      <c r="D226" s="25" t="s">
        <v>650</v>
      </c>
      <c r="E226" s="25" t="s">
        <v>522</v>
      </c>
      <c r="F226" s="25" t="s">
        <v>319</v>
      </c>
      <c r="G226" s="25" t="s">
        <v>38</v>
      </c>
      <c r="H226" s="25" t="s">
        <v>63</v>
      </c>
      <c r="I226" s="25" t="s">
        <v>190</v>
      </c>
      <c r="J226" s="25" t="s">
        <v>191</v>
      </c>
      <c r="K226" s="25" t="s">
        <v>298</v>
      </c>
      <c r="L226" s="25" t="s">
        <v>29</v>
      </c>
      <c r="M226" s="25" t="n">
        <v>2409</v>
      </c>
      <c r="N226" s="25" t="n">
        <v>1509</v>
      </c>
      <c r="O226" s="25"/>
      <c r="P226" s="26" t="n">
        <f aca="false">(M226*N226/1000000)*(INDEX(AreaRate_Vals,MATCH(C226,AreaRate_Keys,0))+IFERROR(INDEX(GlazingUpg_Vals,MATCH(H226,GlazingUpg_Keys,0)),0))+INDEX(Hardware_Vals,MATCH("Windows",Hardware_Keys,0))</f>
        <v>8610.9163</v>
      </c>
      <c r="Q226" s="27" t="n">
        <f aca="false">INDEX(Markup_Vals,MATCH("Windows",MarkupCat_Keys,0))</f>
        <v>0.42</v>
      </c>
      <c r="R226" s="28" t="n">
        <f aca="false">P226*(1+Q226)</f>
        <v>12227.501146</v>
      </c>
      <c r="S226" s="28" t="n">
        <f aca="false">R226*(1-TradeDiscount)</f>
        <v>10760.20100848</v>
      </c>
      <c r="T226" s="28" t="n">
        <f aca="false">R226*(1-VolumeDiscount)</f>
        <v>9782.0009168</v>
      </c>
    </row>
    <row r="227" customFormat="false" ht="15" hidden="false" customHeight="false" outlineLevel="0" collapsed="false">
      <c r="A227" s="29" t="s">
        <v>651</v>
      </c>
      <c r="B227" s="29" t="s">
        <v>96</v>
      </c>
      <c r="C227" s="29" t="s">
        <v>41</v>
      </c>
      <c r="D227" s="29" t="s">
        <v>652</v>
      </c>
      <c r="E227" s="29" t="s">
        <v>522</v>
      </c>
      <c r="F227" s="29" t="s">
        <v>319</v>
      </c>
      <c r="G227" s="29" t="s">
        <v>35</v>
      </c>
      <c r="H227" s="29" t="s">
        <v>64</v>
      </c>
      <c r="I227" s="29" t="s">
        <v>190</v>
      </c>
      <c r="J227" s="29" t="s">
        <v>191</v>
      </c>
      <c r="K227" s="29" t="s">
        <v>298</v>
      </c>
      <c r="L227" s="29" t="s">
        <v>29</v>
      </c>
      <c r="M227" s="29" t="n">
        <v>2409</v>
      </c>
      <c r="N227" s="29" t="n">
        <v>1509</v>
      </c>
      <c r="O227" s="29"/>
      <c r="P227" s="30" t="n">
        <f aca="false">(M227*N227/1000000)*(INDEX(AreaRate_Vals,MATCH(C227,AreaRate_Keys,0))+IFERROR(INDEX(GlazingUpg_Vals,MATCH(H227,GlazingUpg_Keys,0)),0))+INDEX(Hardware_Vals,MATCH("Windows",Hardware_Keys,0))</f>
        <v>10610.26585</v>
      </c>
      <c r="Q227" s="31" t="n">
        <f aca="false">INDEX(Markup_Vals,MATCH("Windows",MarkupCat_Keys,0))</f>
        <v>0.42</v>
      </c>
      <c r="R227" s="32" t="n">
        <f aca="false">P227*(1+Q227)</f>
        <v>15066.577507</v>
      </c>
      <c r="S227" s="32" t="n">
        <f aca="false">R227*(1-TradeDiscount)</f>
        <v>13258.58820616</v>
      </c>
      <c r="T227" s="32" t="n">
        <f aca="false">R227*(1-VolumeDiscount)</f>
        <v>12053.2620056</v>
      </c>
    </row>
    <row r="228" customFormat="false" ht="15" hidden="false" customHeight="false" outlineLevel="0" collapsed="false">
      <c r="A228" s="25" t="s">
        <v>653</v>
      </c>
      <c r="B228" s="25" t="s">
        <v>96</v>
      </c>
      <c r="C228" s="25" t="s">
        <v>41</v>
      </c>
      <c r="D228" s="25" t="s">
        <v>654</v>
      </c>
      <c r="E228" s="25" t="s">
        <v>522</v>
      </c>
      <c r="F228" s="25" t="s">
        <v>319</v>
      </c>
      <c r="G228" s="25" t="s">
        <v>36</v>
      </c>
      <c r="H228" s="25" t="s">
        <v>64</v>
      </c>
      <c r="I228" s="25" t="s">
        <v>190</v>
      </c>
      <c r="J228" s="25" t="s">
        <v>191</v>
      </c>
      <c r="K228" s="25" t="s">
        <v>298</v>
      </c>
      <c r="L228" s="25" t="s">
        <v>29</v>
      </c>
      <c r="M228" s="25" t="n">
        <v>2409</v>
      </c>
      <c r="N228" s="25" t="n">
        <v>1509</v>
      </c>
      <c r="O228" s="25"/>
      <c r="P228" s="26" t="n">
        <f aca="false">(M228*N228/1000000)*(INDEX(AreaRate_Vals,MATCH(C228,AreaRate_Keys,0))+IFERROR(INDEX(GlazingUpg_Vals,MATCH(H228,GlazingUpg_Keys,0)),0))+INDEX(Hardware_Vals,MATCH("Windows",Hardware_Keys,0))</f>
        <v>10610.26585</v>
      </c>
      <c r="Q228" s="27" t="n">
        <f aca="false">INDEX(Markup_Vals,MATCH("Windows",MarkupCat_Keys,0))</f>
        <v>0.42</v>
      </c>
      <c r="R228" s="28" t="n">
        <f aca="false">P228*(1+Q228)</f>
        <v>15066.577507</v>
      </c>
      <c r="S228" s="28" t="n">
        <f aca="false">R228*(1-TradeDiscount)</f>
        <v>13258.58820616</v>
      </c>
      <c r="T228" s="28" t="n">
        <f aca="false">R228*(1-VolumeDiscount)</f>
        <v>12053.2620056</v>
      </c>
    </row>
    <row r="229" customFormat="false" ht="15" hidden="false" customHeight="false" outlineLevel="0" collapsed="false">
      <c r="A229" s="29" t="s">
        <v>655</v>
      </c>
      <c r="B229" s="29" t="s">
        <v>96</v>
      </c>
      <c r="C229" s="29" t="s">
        <v>41</v>
      </c>
      <c r="D229" s="29" t="s">
        <v>656</v>
      </c>
      <c r="E229" s="29" t="s">
        <v>522</v>
      </c>
      <c r="F229" s="29" t="s">
        <v>319</v>
      </c>
      <c r="G229" s="29" t="s">
        <v>37</v>
      </c>
      <c r="H229" s="29" t="s">
        <v>64</v>
      </c>
      <c r="I229" s="29" t="s">
        <v>190</v>
      </c>
      <c r="J229" s="29" t="s">
        <v>191</v>
      </c>
      <c r="K229" s="29" t="s">
        <v>298</v>
      </c>
      <c r="L229" s="29" t="s">
        <v>29</v>
      </c>
      <c r="M229" s="29" t="n">
        <v>2409</v>
      </c>
      <c r="N229" s="29" t="n">
        <v>1509</v>
      </c>
      <c r="O229" s="29"/>
      <c r="P229" s="30" t="n">
        <f aca="false">(M229*N229/1000000)*(INDEX(AreaRate_Vals,MATCH(C229,AreaRate_Keys,0))+IFERROR(INDEX(GlazingUpg_Vals,MATCH(H229,GlazingUpg_Keys,0)),0))+INDEX(Hardware_Vals,MATCH("Windows",Hardware_Keys,0))</f>
        <v>10610.26585</v>
      </c>
      <c r="Q229" s="31" t="n">
        <f aca="false">INDEX(Markup_Vals,MATCH("Windows",MarkupCat_Keys,0))</f>
        <v>0.42</v>
      </c>
      <c r="R229" s="32" t="n">
        <f aca="false">P229*(1+Q229)</f>
        <v>15066.577507</v>
      </c>
      <c r="S229" s="32" t="n">
        <f aca="false">R229*(1-TradeDiscount)</f>
        <v>13258.58820616</v>
      </c>
      <c r="T229" s="32" t="n">
        <f aca="false">R229*(1-VolumeDiscount)</f>
        <v>12053.2620056</v>
      </c>
    </row>
    <row r="230" customFormat="false" ht="15" hidden="false" customHeight="false" outlineLevel="0" collapsed="false">
      <c r="A230" s="25" t="s">
        <v>657</v>
      </c>
      <c r="B230" s="25" t="s">
        <v>96</v>
      </c>
      <c r="C230" s="25" t="s">
        <v>41</v>
      </c>
      <c r="D230" s="25" t="s">
        <v>658</v>
      </c>
      <c r="E230" s="25" t="s">
        <v>522</v>
      </c>
      <c r="F230" s="25" t="s">
        <v>319</v>
      </c>
      <c r="G230" s="25" t="s">
        <v>39</v>
      </c>
      <c r="H230" s="25" t="s">
        <v>64</v>
      </c>
      <c r="I230" s="25" t="s">
        <v>190</v>
      </c>
      <c r="J230" s="25" t="s">
        <v>191</v>
      </c>
      <c r="K230" s="25" t="s">
        <v>298</v>
      </c>
      <c r="L230" s="25" t="s">
        <v>29</v>
      </c>
      <c r="M230" s="25" t="n">
        <v>2409</v>
      </c>
      <c r="N230" s="25" t="n">
        <v>1509</v>
      </c>
      <c r="O230" s="25"/>
      <c r="P230" s="26" t="n">
        <f aca="false">(M230*N230/1000000)*(INDEX(AreaRate_Vals,MATCH(C230,AreaRate_Keys,0))+IFERROR(INDEX(GlazingUpg_Vals,MATCH(H230,GlazingUpg_Keys,0)),0))+INDEX(Hardware_Vals,MATCH("Windows",Hardware_Keys,0))</f>
        <v>10610.26585</v>
      </c>
      <c r="Q230" s="27" t="n">
        <f aca="false">INDEX(Markup_Vals,MATCH("Windows",MarkupCat_Keys,0))</f>
        <v>0.42</v>
      </c>
      <c r="R230" s="28" t="n">
        <f aca="false">P230*(1+Q230)</f>
        <v>15066.577507</v>
      </c>
      <c r="S230" s="28" t="n">
        <f aca="false">R230*(1-TradeDiscount)</f>
        <v>13258.58820616</v>
      </c>
      <c r="T230" s="28" t="n">
        <f aca="false">R230*(1-VolumeDiscount)</f>
        <v>12053.2620056</v>
      </c>
    </row>
    <row r="231" customFormat="false" ht="15" hidden="false" customHeight="false" outlineLevel="0" collapsed="false">
      <c r="A231" s="29" t="s">
        <v>659</v>
      </c>
      <c r="B231" s="29" t="s">
        <v>96</v>
      </c>
      <c r="C231" s="29" t="s">
        <v>41</v>
      </c>
      <c r="D231" s="29" t="s">
        <v>660</v>
      </c>
      <c r="E231" s="29" t="s">
        <v>522</v>
      </c>
      <c r="F231" s="29" t="s">
        <v>319</v>
      </c>
      <c r="G231" s="29" t="s">
        <v>38</v>
      </c>
      <c r="H231" s="29" t="s">
        <v>64</v>
      </c>
      <c r="I231" s="29" t="s">
        <v>190</v>
      </c>
      <c r="J231" s="29" t="s">
        <v>191</v>
      </c>
      <c r="K231" s="29" t="s">
        <v>298</v>
      </c>
      <c r="L231" s="29" t="s">
        <v>29</v>
      </c>
      <c r="M231" s="29" t="n">
        <v>2409</v>
      </c>
      <c r="N231" s="29" t="n">
        <v>1509</v>
      </c>
      <c r="O231" s="29"/>
      <c r="P231" s="30" t="n">
        <f aca="false">(M231*N231/1000000)*(INDEX(AreaRate_Vals,MATCH(C231,AreaRate_Keys,0))+IFERROR(INDEX(GlazingUpg_Vals,MATCH(H231,GlazingUpg_Keys,0)),0))+INDEX(Hardware_Vals,MATCH("Windows",Hardware_Keys,0))</f>
        <v>10610.26585</v>
      </c>
      <c r="Q231" s="31" t="n">
        <f aca="false">INDEX(Markup_Vals,MATCH("Windows",MarkupCat_Keys,0))</f>
        <v>0.42</v>
      </c>
      <c r="R231" s="32" t="n">
        <f aca="false">P231*(1+Q231)</f>
        <v>15066.577507</v>
      </c>
      <c r="S231" s="32" t="n">
        <f aca="false">R231*(1-TradeDiscount)</f>
        <v>13258.58820616</v>
      </c>
      <c r="T231" s="32" t="n">
        <f aca="false">R231*(1-VolumeDiscount)</f>
        <v>12053.2620056</v>
      </c>
    </row>
    <row r="232" customFormat="false" ht="15" hidden="false" customHeight="false" outlineLevel="0" collapsed="false">
      <c r="A232" s="25" t="s">
        <v>661</v>
      </c>
      <c r="B232" s="25" t="s">
        <v>96</v>
      </c>
      <c r="C232" s="25" t="s">
        <v>41</v>
      </c>
      <c r="D232" s="25" t="s">
        <v>662</v>
      </c>
      <c r="E232" s="25" t="s">
        <v>522</v>
      </c>
      <c r="F232" s="25" t="s">
        <v>340</v>
      </c>
      <c r="G232" s="25" t="s">
        <v>35</v>
      </c>
      <c r="H232" s="25" t="s">
        <v>63</v>
      </c>
      <c r="I232" s="25" t="s">
        <v>190</v>
      </c>
      <c r="J232" s="25" t="s">
        <v>191</v>
      </c>
      <c r="K232" s="25" t="s">
        <v>298</v>
      </c>
      <c r="L232" s="25" t="s">
        <v>29</v>
      </c>
      <c r="M232" s="25" t="n">
        <v>3009</v>
      </c>
      <c r="N232" s="25" t="n">
        <v>1509</v>
      </c>
      <c r="O232" s="25"/>
      <c r="P232" s="26" t="n">
        <f aca="false">(M232*N232/1000000)*(INDEX(AreaRate_Vals,MATCH(C232,AreaRate_Keys,0))+IFERROR(INDEX(GlazingUpg_Vals,MATCH(H232,GlazingUpg_Keys,0)),0))+INDEX(Hardware_Vals,MATCH("Windows",Hardware_Keys,0))</f>
        <v>10693.3363</v>
      </c>
      <c r="Q232" s="27" t="n">
        <f aca="false">INDEX(Markup_Vals,MATCH("Windows",MarkupCat_Keys,0))</f>
        <v>0.42</v>
      </c>
      <c r="R232" s="28" t="n">
        <f aca="false">P232*(1+Q232)</f>
        <v>15184.537546</v>
      </c>
      <c r="S232" s="28" t="n">
        <f aca="false">R232*(1-TradeDiscount)</f>
        <v>13362.39304048</v>
      </c>
      <c r="T232" s="28" t="n">
        <f aca="false">R232*(1-VolumeDiscount)</f>
        <v>12147.6300368</v>
      </c>
    </row>
    <row r="233" customFormat="false" ht="15" hidden="false" customHeight="false" outlineLevel="0" collapsed="false">
      <c r="A233" s="29" t="s">
        <v>663</v>
      </c>
      <c r="B233" s="29" t="s">
        <v>96</v>
      </c>
      <c r="C233" s="29" t="s">
        <v>41</v>
      </c>
      <c r="D233" s="29" t="s">
        <v>664</v>
      </c>
      <c r="E233" s="29" t="s">
        <v>522</v>
      </c>
      <c r="F233" s="29" t="s">
        <v>340</v>
      </c>
      <c r="G233" s="29" t="s">
        <v>36</v>
      </c>
      <c r="H233" s="29" t="s">
        <v>63</v>
      </c>
      <c r="I233" s="29" t="s">
        <v>190</v>
      </c>
      <c r="J233" s="29" t="s">
        <v>191</v>
      </c>
      <c r="K233" s="29" t="s">
        <v>298</v>
      </c>
      <c r="L233" s="29" t="s">
        <v>29</v>
      </c>
      <c r="M233" s="29" t="n">
        <v>3009</v>
      </c>
      <c r="N233" s="29" t="n">
        <v>1509</v>
      </c>
      <c r="O233" s="29"/>
      <c r="P233" s="30" t="n">
        <f aca="false">(M233*N233/1000000)*(INDEX(AreaRate_Vals,MATCH(C233,AreaRate_Keys,0))+IFERROR(INDEX(GlazingUpg_Vals,MATCH(H233,GlazingUpg_Keys,0)),0))+INDEX(Hardware_Vals,MATCH("Windows",Hardware_Keys,0))</f>
        <v>10693.3363</v>
      </c>
      <c r="Q233" s="31" t="n">
        <f aca="false">INDEX(Markup_Vals,MATCH("Windows",MarkupCat_Keys,0))</f>
        <v>0.42</v>
      </c>
      <c r="R233" s="32" t="n">
        <f aca="false">P233*(1+Q233)</f>
        <v>15184.537546</v>
      </c>
      <c r="S233" s="32" t="n">
        <f aca="false">R233*(1-TradeDiscount)</f>
        <v>13362.39304048</v>
      </c>
      <c r="T233" s="32" t="n">
        <f aca="false">R233*(1-VolumeDiscount)</f>
        <v>12147.6300368</v>
      </c>
    </row>
    <row r="234" customFormat="false" ht="15" hidden="false" customHeight="false" outlineLevel="0" collapsed="false">
      <c r="A234" s="25" t="s">
        <v>665</v>
      </c>
      <c r="B234" s="25" t="s">
        <v>96</v>
      </c>
      <c r="C234" s="25" t="s">
        <v>41</v>
      </c>
      <c r="D234" s="25" t="s">
        <v>666</v>
      </c>
      <c r="E234" s="25" t="s">
        <v>522</v>
      </c>
      <c r="F234" s="25" t="s">
        <v>340</v>
      </c>
      <c r="G234" s="25" t="s">
        <v>37</v>
      </c>
      <c r="H234" s="25" t="s">
        <v>63</v>
      </c>
      <c r="I234" s="25" t="s">
        <v>190</v>
      </c>
      <c r="J234" s="25" t="s">
        <v>191</v>
      </c>
      <c r="K234" s="25" t="s">
        <v>298</v>
      </c>
      <c r="L234" s="25" t="s">
        <v>29</v>
      </c>
      <c r="M234" s="25" t="n">
        <v>3009</v>
      </c>
      <c r="N234" s="25" t="n">
        <v>1509</v>
      </c>
      <c r="O234" s="25"/>
      <c r="P234" s="26" t="n">
        <f aca="false">(M234*N234/1000000)*(INDEX(AreaRate_Vals,MATCH(C234,AreaRate_Keys,0))+IFERROR(INDEX(GlazingUpg_Vals,MATCH(H234,GlazingUpg_Keys,0)),0))+INDEX(Hardware_Vals,MATCH("Windows",Hardware_Keys,0))</f>
        <v>10693.3363</v>
      </c>
      <c r="Q234" s="27" t="n">
        <f aca="false">INDEX(Markup_Vals,MATCH("Windows",MarkupCat_Keys,0))</f>
        <v>0.42</v>
      </c>
      <c r="R234" s="28" t="n">
        <f aca="false">P234*(1+Q234)</f>
        <v>15184.537546</v>
      </c>
      <c r="S234" s="28" t="n">
        <f aca="false">R234*(1-TradeDiscount)</f>
        <v>13362.39304048</v>
      </c>
      <c r="T234" s="28" t="n">
        <f aca="false">R234*(1-VolumeDiscount)</f>
        <v>12147.6300368</v>
      </c>
    </row>
    <row r="235" customFormat="false" ht="15" hidden="false" customHeight="false" outlineLevel="0" collapsed="false">
      <c r="A235" s="29" t="s">
        <v>667</v>
      </c>
      <c r="B235" s="29" t="s">
        <v>96</v>
      </c>
      <c r="C235" s="29" t="s">
        <v>41</v>
      </c>
      <c r="D235" s="29" t="s">
        <v>668</v>
      </c>
      <c r="E235" s="29" t="s">
        <v>522</v>
      </c>
      <c r="F235" s="29" t="s">
        <v>340</v>
      </c>
      <c r="G235" s="29" t="s">
        <v>39</v>
      </c>
      <c r="H235" s="29" t="s">
        <v>63</v>
      </c>
      <c r="I235" s="29" t="s">
        <v>190</v>
      </c>
      <c r="J235" s="29" t="s">
        <v>191</v>
      </c>
      <c r="K235" s="29" t="s">
        <v>298</v>
      </c>
      <c r="L235" s="29" t="s">
        <v>29</v>
      </c>
      <c r="M235" s="29" t="n">
        <v>3009</v>
      </c>
      <c r="N235" s="29" t="n">
        <v>1509</v>
      </c>
      <c r="O235" s="29"/>
      <c r="P235" s="30" t="n">
        <f aca="false">(M235*N235/1000000)*(INDEX(AreaRate_Vals,MATCH(C235,AreaRate_Keys,0))+IFERROR(INDEX(GlazingUpg_Vals,MATCH(H235,GlazingUpg_Keys,0)),0))+INDEX(Hardware_Vals,MATCH("Windows",Hardware_Keys,0))</f>
        <v>10693.3363</v>
      </c>
      <c r="Q235" s="31" t="n">
        <f aca="false">INDEX(Markup_Vals,MATCH("Windows",MarkupCat_Keys,0))</f>
        <v>0.42</v>
      </c>
      <c r="R235" s="32" t="n">
        <f aca="false">P235*(1+Q235)</f>
        <v>15184.537546</v>
      </c>
      <c r="S235" s="32" t="n">
        <f aca="false">R235*(1-TradeDiscount)</f>
        <v>13362.39304048</v>
      </c>
      <c r="T235" s="32" t="n">
        <f aca="false">R235*(1-VolumeDiscount)</f>
        <v>12147.6300368</v>
      </c>
    </row>
    <row r="236" customFormat="false" ht="15" hidden="false" customHeight="false" outlineLevel="0" collapsed="false">
      <c r="A236" s="25" t="s">
        <v>669</v>
      </c>
      <c r="B236" s="25" t="s">
        <v>96</v>
      </c>
      <c r="C236" s="25" t="s">
        <v>41</v>
      </c>
      <c r="D236" s="25" t="s">
        <v>670</v>
      </c>
      <c r="E236" s="25" t="s">
        <v>522</v>
      </c>
      <c r="F236" s="25" t="s">
        <v>340</v>
      </c>
      <c r="G236" s="25" t="s">
        <v>38</v>
      </c>
      <c r="H236" s="25" t="s">
        <v>63</v>
      </c>
      <c r="I236" s="25" t="s">
        <v>190</v>
      </c>
      <c r="J236" s="25" t="s">
        <v>191</v>
      </c>
      <c r="K236" s="25" t="s">
        <v>298</v>
      </c>
      <c r="L236" s="25" t="s">
        <v>29</v>
      </c>
      <c r="M236" s="25" t="n">
        <v>3009</v>
      </c>
      <c r="N236" s="25" t="n">
        <v>1509</v>
      </c>
      <c r="O236" s="25"/>
      <c r="P236" s="26" t="n">
        <f aca="false">(M236*N236/1000000)*(INDEX(AreaRate_Vals,MATCH(C236,AreaRate_Keys,0))+IFERROR(INDEX(GlazingUpg_Vals,MATCH(H236,GlazingUpg_Keys,0)),0))+INDEX(Hardware_Vals,MATCH("Windows",Hardware_Keys,0))</f>
        <v>10693.3363</v>
      </c>
      <c r="Q236" s="27" t="n">
        <f aca="false">INDEX(Markup_Vals,MATCH("Windows",MarkupCat_Keys,0))</f>
        <v>0.42</v>
      </c>
      <c r="R236" s="28" t="n">
        <f aca="false">P236*(1+Q236)</f>
        <v>15184.537546</v>
      </c>
      <c r="S236" s="28" t="n">
        <f aca="false">R236*(1-TradeDiscount)</f>
        <v>13362.39304048</v>
      </c>
      <c r="T236" s="28" t="n">
        <f aca="false">R236*(1-VolumeDiscount)</f>
        <v>12147.6300368</v>
      </c>
    </row>
    <row r="237" customFormat="false" ht="15" hidden="false" customHeight="false" outlineLevel="0" collapsed="false">
      <c r="A237" s="29" t="s">
        <v>671</v>
      </c>
      <c r="B237" s="29" t="s">
        <v>96</v>
      </c>
      <c r="C237" s="29" t="s">
        <v>41</v>
      </c>
      <c r="D237" s="29" t="s">
        <v>672</v>
      </c>
      <c r="E237" s="29" t="s">
        <v>522</v>
      </c>
      <c r="F237" s="29" t="s">
        <v>340</v>
      </c>
      <c r="G237" s="29" t="s">
        <v>35</v>
      </c>
      <c r="H237" s="29" t="s">
        <v>64</v>
      </c>
      <c r="I237" s="29" t="s">
        <v>190</v>
      </c>
      <c r="J237" s="29" t="s">
        <v>191</v>
      </c>
      <c r="K237" s="29" t="s">
        <v>298</v>
      </c>
      <c r="L237" s="29" t="s">
        <v>29</v>
      </c>
      <c r="M237" s="29" t="n">
        <v>3009</v>
      </c>
      <c r="N237" s="29" t="n">
        <v>1509</v>
      </c>
      <c r="O237" s="29"/>
      <c r="P237" s="30" t="n">
        <f aca="false">(M237*N237/1000000)*(INDEX(AreaRate_Vals,MATCH(C237,AreaRate_Keys,0))+IFERROR(INDEX(GlazingUpg_Vals,MATCH(H237,GlazingUpg_Keys,0)),0))+INDEX(Hardware_Vals,MATCH("Windows",Hardware_Keys,0))</f>
        <v>13190.65585</v>
      </c>
      <c r="Q237" s="31" t="n">
        <f aca="false">INDEX(Markup_Vals,MATCH("Windows",MarkupCat_Keys,0))</f>
        <v>0.42</v>
      </c>
      <c r="R237" s="32" t="n">
        <f aca="false">P237*(1+Q237)</f>
        <v>18730.731307</v>
      </c>
      <c r="S237" s="32" t="n">
        <f aca="false">R237*(1-TradeDiscount)</f>
        <v>16483.04355016</v>
      </c>
      <c r="T237" s="32" t="n">
        <f aca="false">R237*(1-VolumeDiscount)</f>
        <v>14984.5850456</v>
      </c>
    </row>
    <row r="238" customFormat="false" ht="15" hidden="false" customHeight="false" outlineLevel="0" collapsed="false">
      <c r="A238" s="25" t="s">
        <v>673</v>
      </c>
      <c r="B238" s="25" t="s">
        <v>96</v>
      </c>
      <c r="C238" s="25" t="s">
        <v>41</v>
      </c>
      <c r="D238" s="25" t="s">
        <v>674</v>
      </c>
      <c r="E238" s="25" t="s">
        <v>522</v>
      </c>
      <c r="F238" s="25" t="s">
        <v>340</v>
      </c>
      <c r="G238" s="25" t="s">
        <v>36</v>
      </c>
      <c r="H238" s="25" t="s">
        <v>64</v>
      </c>
      <c r="I238" s="25" t="s">
        <v>190</v>
      </c>
      <c r="J238" s="25" t="s">
        <v>191</v>
      </c>
      <c r="K238" s="25" t="s">
        <v>298</v>
      </c>
      <c r="L238" s="25" t="s">
        <v>29</v>
      </c>
      <c r="M238" s="25" t="n">
        <v>3009</v>
      </c>
      <c r="N238" s="25" t="n">
        <v>1509</v>
      </c>
      <c r="O238" s="25"/>
      <c r="P238" s="26" t="n">
        <f aca="false">(M238*N238/1000000)*(INDEX(AreaRate_Vals,MATCH(C238,AreaRate_Keys,0))+IFERROR(INDEX(GlazingUpg_Vals,MATCH(H238,GlazingUpg_Keys,0)),0))+INDEX(Hardware_Vals,MATCH("Windows",Hardware_Keys,0))</f>
        <v>13190.65585</v>
      </c>
      <c r="Q238" s="27" t="n">
        <f aca="false">INDEX(Markup_Vals,MATCH("Windows",MarkupCat_Keys,0))</f>
        <v>0.42</v>
      </c>
      <c r="R238" s="28" t="n">
        <f aca="false">P238*(1+Q238)</f>
        <v>18730.731307</v>
      </c>
      <c r="S238" s="28" t="n">
        <f aca="false">R238*(1-TradeDiscount)</f>
        <v>16483.04355016</v>
      </c>
      <c r="T238" s="28" t="n">
        <f aca="false">R238*(1-VolumeDiscount)</f>
        <v>14984.5850456</v>
      </c>
    </row>
    <row r="239" customFormat="false" ht="15" hidden="false" customHeight="false" outlineLevel="0" collapsed="false">
      <c r="A239" s="29" t="s">
        <v>675</v>
      </c>
      <c r="B239" s="29" t="s">
        <v>96</v>
      </c>
      <c r="C239" s="29" t="s">
        <v>41</v>
      </c>
      <c r="D239" s="29" t="s">
        <v>676</v>
      </c>
      <c r="E239" s="29" t="s">
        <v>522</v>
      </c>
      <c r="F239" s="29" t="s">
        <v>340</v>
      </c>
      <c r="G239" s="29" t="s">
        <v>37</v>
      </c>
      <c r="H239" s="29" t="s">
        <v>64</v>
      </c>
      <c r="I239" s="29" t="s">
        <v>190</v>
      </c>
      <c r="J239" s="29" t="s">
        <v>191</v>
      </c>
      <c r="K239" s="29" t="s">
        <v>298</v>
      </c>
      <c r="L239" s="29" t="s">
        <v>29</v>
      </c>
      <c r="M239" s="29" t="n">
        <v>3009</v>
      </c>
      <c r="N239" s="29" t="n">
        <v>1509</v>
      </c>
      <c r="O239" s="29"/>
      <c r="P239" s="30" t="n">
        <f aca="false">(M239*N239/1000000)*(INDEX(AreaRate_Vals,MATCH(C239,AreaRate_Keys,0))+IFERROR(INDEX(GlazingUpg_Vals,MATCH(H239,GlazingUpg_Keys,0)),0))+INDEX(Hardware_Vals,MATCH("Windows",Hardware_Keys,0))</f>
        <v>13190.65585</v>
      </c>
      <c r="Q239" s="31" t="n">
        <f aca="false">INDEX(Markup_Vals,MATCH("Windows",MarkupCat_Keys,0))</f>
        <v>0.42</v>
      </c>
      <c r="R239" s="32" t="n">
        <f aca="false">P239*(1+Q239)</f>
        <v>18730.731307</v>
      </c>
      <c r="S239" s="32" t="n">
        <f aca="false">R239*(1-TradeDiscount)</f>
        <v>16483.04355016</v>
      </c>
      <c r="T239" s="32" t="n">
        <f aca="false">R239*(1-VolumeDiscount)</f>
        <v>14984.5850456</v>
      </c>
    </row>
    <row r="240" customFormat="false" ht="15" hidden="false" customHeight="false" outlineLevel="0" collapsed="false">
      <c r="A240" s="25" t="s">
        <v>677</v>
      </c>
      <c r="B240" s="25" t="s">
        <v>96</v>
      </c>
      <c r="C240" s="25" t="s">
        <v>41</v>
      </c>
      <c r="D240" s="25" t="s">
        <v>678</v>
      </c>
      <c r="E240" s="25" t="s">
        <v>522</v>
      </c>
      <c r="F240" s="25" t="s">
        <v>340</v>
      </c>
      <c r="G240" s="25" t="s">
        <v>39</v>
      </c>
      <c r="H240" s="25" t="s">
        <v>64</v>
      </c>
      <c r="I240" s="25" t="s">
        <v>190</v>
      </c>
      <c r="J240" s="25" t="s">
        <v>191</v>
      </c>
      <c r="K240" s="25" t="s">
        <v>298</v>
      </c>
      <c r="L240" s="25" t="s">
        <v>29</v>
      </c>
      <c r="M240" s="25" t="n">
        <v>3009</v>
      </c>
      <c r="N240" s="25" t="n">
        <v>1509</v>
      </c>
      <c r="O240" s="25"/>
      <c r="P240" s="26" t="n">
        <f aca="false">(M240*N240/1000000)*(INDEX(AreaRate_Vals,MATCH(C240,AreaRate_Keys,0))+IFERROR(INDEX(GlazingUpg_Vals,MATCH(H240,GlazingUpg_Keys,0)),0))+INDEX(Hardware_Vals,MATCH("Windows",Hardware_Keys,0))</f>
        <v>13190.65585</v>
      </c>
      <c r="Q240" s="27" t="n">
        <f aca="false">INDEX(Markup_Vals,MATCH("Windows",MarkupCat_Keys,0))</f>
        <v>0.42</v>
      </c>
      <c r="R240" s="28" t="n">
        <f aca="false">P240*(1+Q240)</f>
        <v>18730.731307</v>
      </c>
      <c r="S240" s="28" t="n">
        <f aca="false">R240*(1-TradeDiscount)</f>
        <v>16483.04355016</v>
      </c>
      <c r="T240" s="28" t="n">
        <f aca="false">R240*(1-VolumeDiscount)</f>
        <v>14984.5850456</v>
      </c>
    </row>
    <row r="241" customFormat="false" ht="15" hidden="false" customHeight="false" outlineLevel="0" collapsed="false">
      <c r="A241" s="29" t="s">
        <v>679</v>
      </c>
      <c r="B241" s="29" t="s">
        <v>96</v>
      </c>
      <c r="C241" s="29" t="s">
        <v>41</v>
      </c>
      <c r="D241" s="29" t="s">
        <v>680</v>
      </c>
      <c r="E241" s="29" t="s">
        <v>522</v>
      </c>
      <c r="F241" s="29" t="s">
        <v>340</v>
      </c>
      <c r="G241" s="29" t="s">
        <v>38</v>
      </c>
      <c r="H241" s="29" t="s">
        <v>64</v>
      </c>
      <c r="I241" s="29" t="s">
        <v>190</v>
      </c>
      <c r="J241" s="29" t="s">
        <v>191</v>
      </c>
      <c r="K241" s="29" t="s">
        <v>298</v>
      </c>
      <c r="L241" s="29" t="s">
        <v>29</v>
      </c>
      <c r="M241" s="29" t="n">
        <v>3009</v>
      </c>
      <c r="N241" s="29" t="n">
        <v>1509</v>
      </c>
      <c r="O241" s="29"/>
      <c r="P241" s="30" t="n">
        <f aca="false">(M241*N241/1000000)*(INDEX(AreaRate_Vals,MATCH(C241,AreaRate_Keys,0))+IFERROR(INDEX(GlazingUpg_Vals,MATCH(H241,GlazingUpg_Keys,0)),0))+INDEX(Hardware_Vals,MATCH("Windows",Hardware_Keys,0))</f>
        <v>13190.65585</v>
      </c>
      <c r="Q241" s="31" t="n">
        <f aca="false">INDEX(Markup_Vals,MATCH("Windows",MarkupCat_Keys,0))</f>
        <v>0.42</v>
      </c>
      <c r="R241" s="32" t="n">
        <f aca="false">P241*(1+Q241)</f>
        <v>18730.731307</v>
      </c>
      <c r="S241" s="32" t="n">
        <f aca="false">R241*(1-TradeDiscount)</f>
        <v>16483.04355016</v>
      </c>
      <c r="T241" s="32" t="n">
        <f aca="false">R241*(1-VolumeDiscount)</f>
        <v>14984.5850456</v>
      </c>
    </row>
    <row r="242" customFormat="false" ht="15" hidden="false" customHeight="false" outlineLevel="0" collapsed="false">
      <c r="A242" s="25" t="s">
        <v>681</v>
      </c>
      <c r="B242" s="25" t="s">
        <v>96</v>
      </c>
      <c r="C242" s="25" t="s">
        <v>42</v>
      </c>
      <c r="D242" s="25" t="s">
        <v>682</v>
      </c>
      <c r="E242" s="25" t="s">
        <v>683</v>
      </c>
      <c r="F242" s="25" t="s">
        <v>684</v>
      </c>
      <c r="G242" s="25" t="s">
        <v>35</v>
      </c>
      <c r="H242" s="25" t="s">
        <v>63</v>
      </c>
      <c r="I242" s="25" t="s">
        <v>190</v>
      </c>
      <c r="J242" s="25" t="s">
        <v>685</v>
      </c>
      <c r="K242" s="25" t="s">
        <v>192</v>
      </c>
      <c r="L242" s="25" t="s">
        <v>29</v>
      </c>
      <c r="M242" s="25" t="n">
        <v>609</v>
      </c>
      <c r="N242" s="25" t="n">
        <v>909</v>
      </c>
      <c r="O242" s="25"/>
      <c r="P242" s="26" t="n">
        <f aca="false">(M242*N242/1000000)*(INDEX(AreaRate_Vals,MATCH(C242,AreaRate_Keys,0))+IFERROR(INDEX(GlazingUpg_Vals,MATCH(H242,GlazingUpg_Keys,0)),0))+INDEX(Hardware_Vals,MATCH("Windows",Hardware_Keys,0))</f>
        <v>1412.5201</v>
      </c>
      <c r="Q242" s="27" t="n">
        <f aca="false">INDEX(Markup_Vals,MATCH("Windows",MarkupCat_Keys,0))</f>
        <v>0.42</v>
      </c>
      <c r="R242" s="28" t="n">
        <f aca="false">P242*(1+Q242)</f>
        <v>2005.778542</v>
      </c>
      <c r="S242" s="28" t="n">
        <f aca="false">R242*(1-TradeDiscount)</f>
        <v>1765.08511696</v>
      </c>
      <c r="T242" s="28" t="n">
        <f aca="false">R242*(1-VolumeDiscount)</f>
        <v>1604.6228336</v>
      </c>
    </row>
    <row r="243" customFormat="false" ht="15" hidden="false" customHeight="false" outlineLevel="0" collapsed="false">
      <c r="A243" s="29" t="s">
        <v>686</v>
      </c>
      <c r="B243" s="29" t="s">
        <v>96</v>
      </c>
      <c r="C243" s="29" t="s">
        <v>42</v>
      </c>
      <c r="D243" s="29" t="s">
        <v>687</v>
      </c>
      <c r="E243" s="29" t="s">
        <v>683</v>
      </c>
      <c r="F243" s="29" t="s">
        <v>684</v>
      </c>
      <c r="G243" s="29" t="s">
        <v>36</v>
      </c>
      <c r="H243" s="29" t="s">
        <v>63</v>
      </c>
      <c r="I243" s="29" t="s">
        <v>190</v>
      </c>
      <c r="J243" s="29" t="s">
        <v>685</v>
      </c>
      <c r="K243" s="29" t="s">
        <v>192</v>
      </c>
      <c r="L243" s="29" t="s">
        <v>29</v>
      </c>
      <c r="M243" s="29" t="n">
        <v>609</v>
      </c>
      <c r="N243" s="29" t="n">
        <v>909</v>
      </c>
      <c r="O243" s="29"/>
      <c r="P243" s="30" t="n">
        <f aca="false">(M243*N243/1000000)*(INDEX(AreaRate_Vals,MATCH(C243,AreaRate_Keys,0))+IFERROR(INDEX(GlazingUpg_Vals,MATCH(H243,GlazingUpg_Keys,0)),0))+INDEX(Hardware_Vals,MATCH("Windows",Hardware_Keys,0))</f>
        <v>1412.5201</v>
      </c>
      <c r="Q243" s="31" t="n">
        <f aca="false">INDEX(Markup_Vals,MATCH("Windows",MarkupCat_Keys,0))</f>
        <v>0.42</v>
      </c>
      <c r="R243" s="32" t="n">
        <f aca="false">P243*(1+Q243)</f>
        <v>2005.778542</v>
      </c>
      <c r="S243" s="32" t="n">
        <f aca="false">R243*(1-TradeDiscount)</f>
        <v>1765.08511696</v>
      </c>
      <c r="T243" s="32" t="n">
        <f aca="false">R243*(1-VolumeDiscount)</f>
        <v>1604.6228336</v>
      </c>
    </row>
    <row r="244" customFormat="false" ht="15" hidden="false" customHeight="false" outlineLevel="0" collapsed="false">
      <c r="A244" s="25" t="s">
        <v>688</v>
      </c>
      <c r="B244" s="25" t="s">
        <v>96</v>
      </c>
      <c r="C244" s="25" t="s">
        <v>42</v>
      </c>
      <c r="D244" s="25" t="s">
        <v>689</v>
      </c>
      <c r="E244" s="25" t="s">
        <v>683</v>
      </c>
      <c r="F244" s="25" t="s">
        <v>684</v>
      </c>
      <c r="G244" s="25" t="s">
        <v>37</v>
      </c>
      <c r="H244" s="25" t="s">
        <v>63</v>
      </c>
      <c r="I244" s="25" t="s">
        <v>190</v>
      </c>
      <c r="J244" s="25" t="s">
        <v>685</v>
      </c>
      <c r="K244" s="25" t="s">
        <v>192</v>
      </c>
      <c r="L244" s="25" t="s">
        <v>29</v>
      </c>
      <c r="M244" s="25" t="n">
        <v>609</v>
      </c>
      <c r="N244" s="25" t="n">
        <v>909</v>
      </c>
      <c r="O244" s="25"/>
      <c r="P244" s="26" t="n">
        <f aca="false">(M244*N244/1000000)*(INDEX(AreaRate_Vals,MATCH(C244,AreaRate_Keys,0))+IFERROR(INDEX(GlazingUpg_Vals,MATCH(H244,GlazingUpg_Keys,0)),0))+INDEX(Hardware_Vals,MATCH("Windows",Hardware_Keys,0))</f>
        <v>1412.5201</v>
      </c>
      <c r="Q244" s="27" t="n">
        <f aca="false">INDEX(Markup_Vals,MATCH("Windows",MarkupCat_Keys,0))</f>
        <v>0.42</v>
      </c>
      <c r="R244" s="28" t="n">
        <f aca="false">P244*(1+Q244)</f>
        <v>2005.778542</v>
      </c>
      <c r="S244" s="28" t="n">
        <f aca="false">R244*(1-TradeDiscount)</f>
        <v>1765.08511696</v>
      </c>
      <c r="T244" s="28" t="n">
        <f aca="false">R244*(1-VolumeDiscount)</f>
        <v>1604.6228336</v>
      </c>
    </row>
    <row r="245" customFormat="false" ht="15" hidden="false" customHeight="false" outlineLevel="0" collapsed="false">
      <c r="A245" s="29" t="s">
        <v>690</v>
      </c>
      <c r="B245" s="29" t="s">
        <v>96</v>
      </c>
      <c r="C245" s="29" t="s">
        <v>42</v>
      </c>
      <c r="D245" s="29" t="s">
        <v>691</v>
      </c>
      <c r="E245" s="29" t="s">
        <v>683</v>
      </c>
      <c r="F245" s="29" t="s">
        <v>684</v>
      </c>
      <c r="G245" s="29" t="s">
        <v>39</v>
      </c>
      <c r="H245" s="29" t="s">
        <v>63</v>
      </c>
      <c r="I245" s="29" t="s">
        <v>190</v>
      </c>
      <c r="J245" s="29" t="s">
        <v>685</v>
      </c>
      <c r="K245" s="29" t="s">
        <v>192</v>
      </c>
      <c r="L245" s="29" t="s">
        <v>29</v>
      </c>
      <c r="M245" s="29" t="n">
        <v>609</v>
      </c>
      <c r="N245" s="29" t="n">
        <v>909</v>
      </c>
      <c r="O245" s="29"/>
      <c r="P245" s="30" t="n">
        <f aca="false">(M245*N245/1000000)*(INDEX(AreaRate_Vals,MATCH(C245,AreaRate_Keys,0))+IFERROR(INDEX(GlazingUpg_Vals,MATCH(H245,GlazingUpg_Keys,0)),0))+INDEX(Hardware_Vals,MATCH("Windows",Hardware_Keys,0))</f>
        <v>1412.5201</v>
      </c>
      <c r="Q245" s="31" t="n">
        <f aca="false">INDEX(Markup_Vals,MATCH("Windows",MarkupCat_Keys,0))</f>
        <v>0.42</v>
      </c>
      <c r="R245" s="32" t="n">
        <f aca="false">P245*(1+Q245)</f>
        <v>2005.778542</v>
      </c>
      <c r="S245" s="32" t="n">
        <f aca="false">R245*(1-TradeDiscount)</f>
        <v>1765.08511696</v>
      </c>
      <c r="T245" s="32" t="n">
        <f aca="false">R245*(1-VolumeDiscount)</f>
        <v>1604.6228336</v>
      </c>
    </row>
    <row r="246" customFormat="false" ht="15" hidden="false" customHeight="false" outlineLevel="0" collapsed="false">
      <c r="A246" s="25" t="s">
        <v>692</v>
      </c>
      <c r="B246" s="25" t="s">
        <v>96</v>
      </c>
      <c r="C246" s="25" t="s">
        <v>42</v>
      </c>
      <c r="D246" s="25" t="s">
        <v>693</v>
      </c>
      <c r="E246" s="25" t="s">
        <v>683</v>
      </c>
      <c r="F246" s="25" t="s">
        <v>684</v>
      </c>
      <c r="G246" s="25" t="s">
        <v>38</v>
      </c>
      <c r="H246" s="25" t="s">
        <v>63</v>
      </c>
      <c r="I246" s="25" t="s">
        <v>190</v>
      </c>
      <c r="J246" s="25" t="s">
        <v>685</v>
      </c>
      <c r="K246" s="25" t="s">
        <v>192</v>
      </c>
      <c r="L246" s="25" t="s">
        <v>29</v>
      </c>
      <c r="M246" s="25" t="n">
        <v>609</v>
      </c>
      <c r="N246" s="25" t="n">
        <v>909</v>
      </c>
      <c r="O246" s="25"/>
      <c r="P246" s="26" t="n">
        <f aca="false">(M246*N246/1000000)*(INDEX(AreaRate_Vals,MATCH(C246,AreaRate_Keys,0))+IFERROR(INDEX(GlazingUpg_Vals,MATCH(H246,GlazingUpg_Keys,0)),0))+INDEX(Hardware_Vals,MATCH("Windows",Hardware_Keys,0))</f>
        <v>1412.5201</v>
      </c>
      <c r="Q246" s="27" t="n">
        <f aca="false">INDEX(Markup_Vals,MATCH("Windows",MarkupCat_Keys,0))</f>
        <v>0.42</v>
      </c>
      <c r="R246" s="28" t="n">
        <f aca="false">P246*(1+Q246)</f>
        <v>2005.778542</v>
      </c>
      <c r="S246" s="28" t="n">
        <f aca="false">R246*(1-TradeDiscount)</f>
        <v>1765.08511696</v>
      </c>
      <c r="T246" s="28" t="n">
        <f aca="false">R246*(1-VolumeDiscount)</f>
        <v>1604.6228336</v>
      </c>
    </row>
    <row r="247" customFormat="false" ht="15" hidden="false" customHeight="false" outlineLevel="0" collapsed="false">
      <c r="A247" s="29" t="s">
        <v>694</v>
      </c>
      <c r="B247" s="29" t="s">
        <v>96</v>
      </c>
      <c r="C247" s="29" t="s">
        <v>42</v>
      </c>
      <c r="D247" s="29" t="s">
        <v>695</v>
      </c>
      <c r="E247" s="29" t="s">
        <v>683</v>
      </c>
      <c r="F247" s="29" t="s">
        <v>684</v>
      </c>
      <c r="G247" s="29" t="s">
        <v>35</v>
      </c>
      <c r="H247" s="29" t="s">
        <v>64</v>
      </c>
      <c r="I247" s="29" t="s">
        <v>190</v>
      </c>
      <c r="J247" s="29" t="s">
        <v>685</v>
      </c>
      <c r="K247" s="29" t="s">
        <v>192</v>
      </c>
      <c r="L247" s="29" t="s">
        <v>29</v>
      </c>
      <c r="M247" s="29" t="n">
        <v>609</v>
      </c>
      <c r="N247" s="29" t="n">
        <v>909</v>
      </c>
      <c r="O247" s="29"/>
      <c r="P247" s="30" t="n">
        <f aca="false">(M247*N247/1000000)*(INDEX(AreaRate_Vals,MATCH(C247,AreaRate_Keys,0))+IFERROR(INDEX(GlazingUpg_Vals,MATCH(H247,GlazingUpg_Keys,0)),0))+INDEX(Hardware_Vals,MATCH("Windows",Hardware_Keys,0))</f>
        <v>1716.98965</v>
      </c>
      <c r="Q247" s="31" t="n">
        <f aca="false">INDEX(Markup_Vals,MATCH("Windows",MarkupCat_Keys,0))</f>
        <v>0.42</v>
      </c>
      <c r="R247" s="32" t="n">
        <f aca="false">P247*(1+Q247)</f>
        <v>2438.125303</v>
      </c>
      <c r="S247" s="32" t="n">
        <f aca="false">R247*(1-TradeDiscount)</f>
        <v>2145.55026664</v>
      </c>
      <c r="T247" s="32" t="n">
        <f aca="false">R247*(1-VolumeDiscount)</f>
        <v>1950.5002424</v>
      </c>
    </row>
    <row r="248" customFormat="false" ht="15" hidden="false" customHeight="false" outlineLevel="0" collapsed="false">
      <c r="A248" s="25" t="s">
        <v>696</v>
      </c>
      <c r="B248" s="25" t="s">
        <v>96</v>
      </c>
      <c r="C248" s="25" t="s">
        <v>42</v>
      </c>
      <c r="D248" s="25" t="s">
        <v>697</v>
      </c>
      <c r="E248" s="25" t="s">
        <v>683</v>
      </c>
      <c r="F248" s="25" t="s">
        <v>684</v>
      </c>
      <c r="G248" s="25" t="s">
        <v>36</v>
      </c>
      <c r="H248" s="25" t="s">
        <v>64</v>
      </c>
      <c r="I248" s="25" t="s">
        <v>190</v>
      </c>
      <c r="J248" s="25" t="s">
        <v>685</v>
      </c>
      <c r="K248" s="25" t="s">
        <v>192</v>
      </c>
      <c r="L248" s="25" t="s">
        <v>29</v>
      </c>
      <c r="M248" s="25" t="n">
        <v>609</v>
      </c>
      <c r="N248" s="25" t="n">
        <v>909</v>
      </c>
      <c r="O248" s="25"/>
      <c r="P248" s="26" t="n">
        <f aca="false">(M248*N248/1000000)*(INDEX(AreaRate_Vals,MATCH(C248,AreaRate_Keys,0))+IFERROR(INDEX(GlazingUpg_Vals,MATCH(H248,GlazingUpg_Keys,0)),0))+INDEX(Hardware_Vals,MATCH("Windows",Hardware_Keys,0))</f>
        <v>1716.98965</v>
      </c>
      <c r="Q248" s="27" t="n">
        <f aca="false">INDEX(Markup_Vals,MATCH("Windows",MarkupCat_Keys,0))</f>
        <v>0.42</v>
      </c>
      <c r="R248" s="28" t="n">
        <f aca="false">P248*(1+Q248)</f>
        <v>2438.125303</v>
      </c>
      <c r="S248" s="28" t="n">
        <f aca="false">R248*(1-TradeDiscount)</f>
        <v>2145.55026664</v>
      </c>
      <c r="T248" s="28" t="n">
        <f aca="false">R248*(1-VolumeDiscount)</f>
        <v>1950.5002424</v>
      </c>
    </row>
    <row r="249" customFormat="false" ht="15" hidden="false" customHeight="false" outlineLevel="0" collapsed="false">
      <c r="A249" s="29" t="s">
        <v>698</v>
      </c>
      <c r="B249" s="29" t="s">
        <v>96</v>
      </c>
      <c r="C249" s="29" t="s">
        <v>42</v>
      </c>
      <c r="D249" s="29" t="s">
        <v>699</v>
      </c>
      <c r="E249" s="29" t="s">
        <v>683</v>
      </c>
      <c r="F249" s="29" t="s">
        <v>684</v>
      </c>
      <c r="G249" s="29" t="s">
        <v>37</v>
      </c>
      <c r="H249" s="29" t="s">
        <v>64</v>
      </c>
      <c r="I249" s="29" t="s">
        <v>190</v>
      </c>
      <c r="J249" s="29" t="s">
        <v>685</v>
      </c>
      <c r="K249" s="29" t="s">
        <v>192</v>
      </c>
      <c r="L249" s="29" t="s">
        <v>29</v>
      </c>
      <c r="M249" s="29" t="n">
        <v>609</v>
      </c>
      <c r="N249" s="29" t="n">
        <v>909</v>
      </c>
      <c r="O249" s="29"/>
      <c r="P249" s="30" t="n">
        <f aca="false">(M249*N249/1000000)*(INDEX(AreaRate_Vals,MATCH(C249,AreaRate_Keys,0))+IFERROR(INDEX(GlazingUpg_Vals,MATCH(H249,GlazingUpg_Keys,0)),0))+INDEX(Hardware_Vals,MATCH("Windows",Hardware_Keys,0))</f>
        <v>1716.98965</v>
      </c>
      <c r="Q249" s="31" t="n">
        <f aca="false">INDEX(Markup_Vals,MATCH("Windows",MarkupCat_Keys,0))</f>
        <v>0.42</v>
      </c>
      <c r="R249" s="32" t="n">
        <f aca="false">P249*(1+Q249)</f>
        <v>2438.125303</v>
      </c>
      <c r="S249" s="32" t="n">
        <f aca="false">R249*(1-TradeDiscount)</f>
        <v>2145.55026664</v>
      </c>
      <c r="T249" s="32" t="n">
        <f aca="false">R249*(1-VolumeDiscount)</f>
        <v>1950.5002424</v>
      </c>
    </row>
    <row r="250" customFormat="false" ht="15" hidden="false" customHeight="false" outlineLevel="0" collapsed="false">
      <c r="A250" s="25" t="s">
        <v>700</v>
      </c>
      <c r="B250" s="25" t="s">
        <v>96</v>
      </c>
      <c r="C250" s="25" t="s">
        <v>42</v>
      </c>
      <c r="D250" s="25" t="s">
        <v>701</v>
      </c>
      <c r="E250" s="25" t="s">
        <v>683</v>
      </c>
      <c r="F250" s="25" t="s">
        <v>684</v>
      </c>
      <c r="G250" s="25" t="s">
        <v>39</v>
      </c>
      <c r="H250" s="25" t="s">
        <v>64</v>
      </c>
      <c r="I250" s="25" t="s">
        <v>190</v>
      </c>
      <c r="J250" s="25" t="s">
        <v>685</v>
      </c>
      <c r="K250" s="25" t="s">
        <v>192</v>
      </c>
      <c r="L250" s="25" t="s">
        <v>29</v>
      </c>
      <c r="M250" s="25" t="n">
        <v>609</v>
      </c>
      <c r="N250" s="25" t="n">
        <v>909</v>
      </c>
      <c r="O250" s="25"/>
      <c r="P250" s="26" t="n">
        <f aca="false">(M250*N250/1000000)*(INDEX(AreaRate_Vals,MATCH(C250,AreaRate_Keys,0))+IFERROR(INDEX(GlazingUpg_Vals,MATCH(H250,GlazingUpg_Keys,0)),0))+INDEX(Hardware_Vals,MATCH("Windows",Hardware_Keys,0))</f>
        <v>1716.98965</v>
      </c>
      <c r="Q250" s="27" t="n">
        <f aca="false">INDEX(Markup_Vals,MATCH("Windows",MarkupCat_Keys,0))</f>
        <v>0.42</v>
      </c>
      <c r="R250" s="28" t="n">
        <f aca="false">P250*(1+Q250)</f>
        <v>2438.125303</v>
      </c>
      <c r="S250" s="28" t="n">
        <f aca="false">R250*(1-TradeDiscount)</f>
        <v>2145.55026664</v>
      </c>
      <c r="T250" s="28" t="n">
        <f aca="false">R250*(1-VolumeDiscount)</f>
        <v>1950.5002424</v>
      </c>
    </row>
    <row r="251" customFormat="false" ht="15" hidden="false" customHeight="false" outlineLevel="0" collapsed="false">
      <c r="A251" s="29" t="s">
        <v>702</v>
      </c>
      <c r="B251" s="29" t="s">
        <v>96</v>
      </c>
      <c r="C251" s="29" t="s">
        <v>42</v>
      </c>
      <c r="D251" s="29" t="s">
        <v>703</v>
      </c>
      <c r="E251" s="29" t="s">
        <v>683</v>
      </c>
      <c r="F251" s="29" t="s">
        <v>684</v>
      </c>
      <c r="G251" s="29" t="s">
        <v>38</v>
      </c>
      <c r="H251" s="29" t="s">
        <v>64</v>
      </c>
      <c r="I251" s="29" t="s">
        <v>190</v>
      </c>
      <c r="J251" s="29" t="s">
        <v>685</v>
      </c>
      <c r="K251" s="29" t="s">
        <v>192</v>
      </c>
      <c r="L251" s="29" t="s">
        <v>29</v>
      </c>
      <c r="M251" s="29" t="n">
        <v>609</v>
      </c>
      <c r="N251" s="29" t="n">
        <v>909</v>
      </c>
      <c r="O251" s="29"/>
      <c r="P251" s="30" t="n">
        <f aca="false">(M251*N251/1000000)*(INDEX(AreaRate_Vals,MATCH(C251,AreaRate_Keys,0))+IFERROR(INDEX(GlazingUpg_Vals,MATCH(H251,GlazingUpg_Keys,0)),0))+INDEX(Hardware_Vals,MATCH("Windows",Hardware_Keys,0))</f>
        <v>1716.98965</v>
      </c>
      <c r="Q251" s="31" t="n">
        <f aca="false">INDEX(Markup_Vals,MATCH("Windows",MarkupCat_Keys,0))</f>
        <v>0.42</v>
      </c>
      <c r="R251" s="32" t="n">
        <f aca="false">P251*(1+Q251)</f>
        <v>2438.125303</v>
      </c>
      <c r="S251" s="32" t="n">
        <f aca="false">R251*(1-TradeDiscount)</f>
        <v>2145.55026664</v>
      </c>
      <c r="T251" s="32" t="n">
        <f aca="false">R251*(1-VolumeDiscount)</f>
        <v>1950.5002424</v>
      </c>
    </row>
    <row r="252" customFormat="false" ht="15" hidden="false" customHeight="false" outlineLevel="0" collapsed="false">
      <c r="A252" s="25" t="s">
        <v>704</v>
      </c>
      <c r="B252" s="25" t="s">
        <v>96</v>
      </c>
      <c r="C252" s="25" t="s">
        <v>42</v>
      </c>
      <c r="D252" s="25" t="s">
        <v>705</v>
      </c>
      <c r="E252" s="25" t="s">
        <v>683</v>
      </c>
      <c r="F252" s="25" t="s">
        <v>706</v>
      </c>
      <c r="G252" s="25" t="s">
        <v>35</v>
      </c>
      <c r="H252" s="25" t="s">
        <v>63</v>
      </c>
      <c r="I252" s="25" t="s">
        <v>190</v>
      </c>
      <c r="J252" s="25" t="s">
        <v>685</v>
      </c>
      <c r="K252" s="25" t="s">
        <v>192</v>
      </c>
      <c r="L252" s="25" t="s">
        <v>29</v>
      </c>
      <c r="M252" s="25" t="n">
        <v>609</v>
      </c>
      <c r="N252" s="25" t="n">
        <v>1209</v>
      </c>
      <c r="O252" s="25"/>
      <c r="P252" s="26" t="n">
        <f aca="false">(M252*N252/1000000)*(INDEX(AreaRate_Vals,MATCH(C252,AreaRate_Keys,0))+IFERROR(INDEX(GlazingUpg_Vals,MATCH(H252,GlazingUpg_Keys,0)),0))+INDEX(Hardware_Vals,MATCH("Windows",Hardware_Keys,0))</f>
        <v>1796.1901</v>
      </c>
      <c r="Q252" s="27" t="n">
        <f aca="false">INDEX(Markup_Vals,MATCH("Windows",MarkupCat_Keys,0))</f>
        <v>0.42</v>
      </c>
      <c r="R252" s="28" t="n">
        <f aca="false">P252*(1+Q252)</f>
        <v>2550.589942</v>
      </c>
      <c r="S252" s="28" t="n">
        <f aca="false">R252*(1-TradeDiscount)</f>
        <v>2244.51914896</v>
      </c>
      <c r="T252" s="28" t="n">
        <f aca="false">R252*(1-VolumeDiscount)</f>
        <v>2040.4719536</v>
      </c>
    </row>
    <row r="253" customFormat="false" ht="15" hidden="false" customHeight="false" outlineLevel="0" collapsed="false">
      <c r="A253" s="29" t="s">
        <v>707</v>
      </c>
      <c r="B253" s="29" t="s">
        <v>96</v>
      </c>
      <c r="C253" s="29" t="s">
        <v>42</v>
      </c>
      <c r="D253" s="29" t="s">
        <v>708</v>
      </c>
      <c r="E253" s="29" t="s">
        <v>683</v>
      </c>
      <c r="F253" s="29" t="s">
        <v>706</v>
      </c>
      <c r="G253" s="29" t="s">
        <v>36</v>
      </c>
      <c r="H253" s="29" t="s">
        <v>63</v>
      </c>
      <c r="I253" s="29" t="s">
        <v>190</v>
      </c>
      <c r="J253" s="29" t="s">
        <v>685</v>
      </c>
      <c r="K253" s="29" t="s">
        <v>192</v>
      </c>
      <c r="L253" s="29" t="s">
        <v>29</v>
      </c>
      <c r="M253" s="29" t="n">
        <v>609</v>
      </c>
      <c r="N253" s="29" t="n">
        <v>1209</v>
      </c>
      <c r="O253" s="29"/>
      <c r="P253" s="30" t="n">
        <f aca="false">(M253*N253/1000000)*(INDEX(AreaRate_Vals,MATCH(C253,AreaRate_Keys,0))+IFERROR(INDEX(GlazingUpg_Vals,MATCH(H253,GlazingUpg_Keys,0)),0))+INDEX(Hardware_Vals,MATCH("Windows",Hardware_Keys,0))</f>
        <v>1796.1901</v>
      </c>
      <c r="Q253" s="31" t="n">
        <f aca="false">INDEX(Markup_Vals,MATCH("Windows",MarkupCat_Keys,0))</f>
        <v>0.42</v>
      </c>
      <c r="R253" s="32" t="n">
        <f aca="false">P253*(1+Q253)</f>
        <v>2550.589942</v>
      </c>
      <c r="S253" s="32" t="n">
        <f aca="false">R253*(1-TradeDiscount)</f>
        <v>2244.51914896</v>
      </c>
      <c r="T253" s="32" t="n">
        <f aca="false">R253*(1-VolumeDiscount)</f>
        <v>2040.4719536</v>
      </c>
    </row>
    <row r="254" customFormat="false" ht="15" hidden="false" customHeight="false" outlineLevel="0" collapsed="false">
      <c r="A254" s="25" t="s">
        <v>709</v>
      </c>
      <c r="B254" s="25" t="s">
        <v>96</v>
      </c>
      <c r="C254" s="25" t="s">
        <v>42</v>
      </c>
      <c r="D254" s="25" t="s">
        <v>710</v>
      </c>
      <c r="E254" s="25" t="s">
        <v>683</v>
      </c>
      <c r="F254" s="25" t="s">
        <v>706</v>
      </c>
      <c r="G254" s="25" t="s">
        <v>37</v>
      </c>
      <c r="H254" s="25" t="s">
        <v>63</v>
      </c>
      <c r="I254" s="25" t="s">
        <v>190</v>
      </c>
      <c r="J254" s="25" t="s">
        <v>685</v>
      </c>
      <c r="K254" s="25" t="s">
        <v>192</v>
      </c>
      <c r="L254" s="25" t="s">
        <v>29</v>
      </c>
      <c r="M254" s="25" t="n">
        <v>609</v>
      </c>
      <c r="N254" s="25" t="n">
        <v>1209</v>
      </c>
      <c r="O254" s="25"/>
      <c r="P254" s="26" t="n">
        <f aca="false">(M254*N254/1000000)*(INDEX(AreaRate_Vals,MATCH(C254,AreaRate_Keys,0))+IFERROR(INDEX(GlazingUpg_Vals,MATCH(H254,GlazingUpg_Keys,0)),0))+INDEX(Hardware_Vals,MATCH("Windows",Hardware_Keys,0))</f>
        <v>1796.1901</v>
      </c>
      <c r="Q254" s="27" t="n">
        <f aca="false">INDEX(Markup_Vals,MATCH("Windows",MarkupCat_Keys,0))</f>
        <v>0.42</v>
      </c>
      <c r="R254" s="28" t="n">
        <f aca="false">P254*(1+Q254)</f>
        <v>2550.589942</v>
      </c>
      <c r="S254" s="28" t="n">
        <f aca="false">R254*(1-TradeDiscount)</f>
        <v>2244.51914896</v>
      </c>
      <c r="T254" s="28" t="n">
        <f aca="false">R254*(1-VolumeDiscount)</f>
        <v>2040.4719536</v>
      </c>
    </row>
    <row r="255" customFormat="false" ht="15" hidden="false" customHeight="false" outlineLevel="0" collapsed="false">
      <c r="A255" s="29" t="s">
        <v>711</v>
      </c>
      <c r="B255" s="29" t="s">
        <v>96</v>
      </c>
      <c r="C255" s="29" t="s">
        <v>42</v>
      </c>
      <c r="D255" s="29" t="s">
        <v>712</v>
      </c>
      <c r="E255" s="29" t="s">
        <v>683</v>
      </c>
      <c r="F255" s="29" t="s">
        <v>706</v>
      </c>
      <c r="G255" s="29" t="s">
        <v>39</v>
      </c>
      <c r="H255" s="29" t="s">
        <v>63</v>
      </c>
      <c r="I255" s="29" t="s">
        <v>190</v>
      </c>
      <c r="J255" s="29" t="s">
        <v>685</v>
      </c>
      <c r="K255" s="29" t="s">
        <v>192</v>
      </c>
      <c r="L255" s="29" t="s">
        <v>29</v>
      </c>
      <c r="M255" s="29" t="n">
        <v>609</v>
      </c>
      <c r="N255" s="29" t="n">
        <v>1209</v>
      </c>
      <c r="O255" s="29"/>
      <c r="P255" s="30" t="n">
        <f aca="false">(M255*N255/1000000)*(INDEX(AreaRate_Vals,MATCH(C255,AreaRate_Keys,0))+IFERROR(INDEX(GlazingUpg_Vals,MATCH(H255,GlazingUpg_Keys,0)),0))+INDEX(Hardware_Vals,MATCH("Windows",Hardware_Keys,0))</f>
        <v>1796.1901</v>
      </c>
      <c r="Q255" s="31" t="n">
        <f aca="false">INDEX(Markup_Vals,MATCH("Windows",MarkupCat_Keys,0))</f>
        <v>0.42</v>
      </c>
      <c r="R255" s="32" t="n">
        <f aca="false">P255*(1+Q255)</f>
        <v>2550.589942</v>
      </c>
      <c r="S255" s="32" t="n">
        <f aca="false">R255*(1-TradeDiscount)</f>
        <v>2244.51914896</v>
      </c>
      <c r="T255" s="32" t="n">
        <f aca="false">R255*(1-VolumeDiscount)</f>
        <v>2040.4719536</v>
      </c>
    </row>
    <row r="256" customFormat="false" ht="15" hidden="false" customHeight="false" outlineLevel="0" collapsed="false">
      <c r="A256" s="25" t="s">
        <v>713</v>
      </c>
      <c r="B256" s="25" t="s">
        <v>96</v>
      </c>
      <c r="C256" s="25" t="s">
        <v>42</v>
      </c>
      <c r="D256" s="25" t="s">
        <v>714</v>
      </c>
      <c r="E256" s="25" t="s">
        <v>683</v>
      </c>
      <c r="F256" s="25" t="s">
        <v>706</v>
      </c>
      <c r="G256" s="25" t="s">
        <v>38</v>
      </c>
      <c r="H256" s="25" t="s">
        <v>63</v>
      </c>
      <c r="I256" s="25" t="s">
        <v>190</v>
      </c>
      <c r="J256" s="25" t="s">
        <v>685</v>
      </c>
      <c r="K256" s="25" t="s">
        <v>192</v>
      </c>
      <c r="L256" s="25" t="s">
        <v>29</v>
      </c>
      <c r="M256" s="25" t="n">
        <v>609</v>
      </c>
      <c r="N256" s="25" t="n">
        <v>1209</v>
      </c>
      <c r="O256" s="25"/>
      <c r="P256" s="26" t="n">
        <f aca="false">(M256*N256/1000000)*(INDEX(AreaRate_Vals,MATCH(C256,AreaRate_Keys,0))+IFERROR(INDEX(GlazingUpg_Vals,MATCH(H256,GlazingUpg_Keys,0)),0))+INDEX(Hardware_Vals,MATCH("Windows",Hardware_Keys,0))</f>
        <v>1796.1901</v>
      </c>
      <c r="Q256" s="27" t="n">
        <f aca="false">INDEX(Markup_Vals,MATCH("Windows",MarkupCat_Keys,0))</f>
        <v>0.42</v>
      </c>
      <c r="R256" s="28" t="n">
        <f aca="false">P256*(1+Q256)</f>
        <v>2550.589942</v>
      </c>
      <c r="S256" s="28" t="n">
        <f aca="false">R256*(1-TradeDiscount)</f>
        <v>2244.51914896</v>
      </c>
      <c r="T256" s="28" t="n">
        <f aca="false">R256*(1-VolumeDiscount)</f>
        <v>2040.4719536</v>
      </c>
    </row>
    <row r="257" customFormat="false" ht="15" hidden="false" customHeight="false" outlineLevel="0" collapsed="false">
      <c r="A257" s="29" t="s">
        <v>715</v>
      </c>
      <c r="B257" s="29" t="s">
        <v>96</v>
      </c>
      <c r="C257" s="29" t="s">
        <v>42</v>
      </c>
      <c r="D257" s="29" t="s">
        <v>716</v>
      </c>
      <c r="E257" s="29" t="s">
        <v>683</v>
      </c>
      <c r="F257" s="29" t="s">
        <v>706</v>
      </c>
      <c r="G257" s="29" t="s">
        <v>35</v>
      </c>
      <c r="H257" s="29" t="s">
        <v>64</v>
      </c>
      <c r="I257" s="29" t="s">
        <v>190</v>
      </c>
      <c r="J257" s="29" t="s">
        <v>685</v>
      </c>
      <c r="K257" s="29" t="s">
        <v>192</v>
      </c>
      <c r="L257" s="29" t="s">
        <v>29</v>
      </c>
      <c r="M257" s="29" t="n">
        <v>609</v>
      </c>
      <c r="N257" s="29" t="n">
        <v>1209</v>
      </c>
      <c r="O257" s="29"/>
      <c r="P257" s="30" t="n">
        <f aca="false">(M257*N257/1000000)*(INDEX(AreaRate_Vals,MATCH(C257,AreaRate_Keys,0))+IFERROR(INDEX(GlazingUpg_Vals,MATCH(H257,GlazingUpg_Keys,0)),0))+INDEX(Hardware_Vals,MATCH("Windows",Hardware_Keys,0))</f>
        <v>2201.14465</v>
      </c>
      <c r="Q257" s="31" t="n">
        <f aca="false">INDEX(Markup_Vals,MATCH("Windows",MarkupCat_Keys,0))</f>
        <v>0.42</v>
      </c>
      <c r="R257" s="32" t="n">
        <f aca="false">P257*(1+Q257)</f>
        <v>3125.625403</v>
      </c>
      <c r="S257" s="32" t="n">
        <f aca="false">R257*(1-TradeDiscount)</f>
        <v>2750.55035464</v>
      </c>
      <c r="T257" s="32" t="n">
        <f aca="false">R257*(1-VolumeDiscount)</f>
        <v>2500.5003224</v>
      </c>
    </row>
    <row r="258" customFormat="false" ht="15" hidden="false" customHeight="false" outlineLevel="0" collapsed="false">
      <c r="A258" s="25" t="s">
        <v>717</v>
      </c>
      <c r="B258" s="25" t="s">
        <v>96</v>
      </c>
      <c r="C258" s="25" t="s">
        <v>42</v>
      </c>
      <c r="D258" s="25" t="s">
        <v>718</v>
      </c>
      <c r="E258" s="25" t="s">
        <v>683</v>
      </c>
      <c r="F258" s="25" t="s">
        <v>706</v>
      </c>
      <c r="G258" s="25" t="s">
        <v>36</v>
      </c>
      <c r="H258" s="25" t="s">
        <v>64</v>
      </c>
      <c r="I258" s="25" t="s">
        <v>190</v>
      </c>
      <c r="J258" s="25" t="s">
        <v>685</v>
      </c>
      <c r="K258" s="25" t="s">
        <v>192</v>
      </c>
      <c r="L258" s="25" t="s">
        <v>29</v>
      </c>
      <c r="M258" s="25" t="n">
        <v>609</v>
      </c>
      <c r="N258" s="25" t="n">
        <v>1209</v>
      </c>
      <c r="O258" s="25"/>
      <c r="P258" s="26" t="n">
        <f aca="false">(M258*N258/1000000)*(INDEX(AreaRate_Vals,MATCH(C258,AreaRate_Keys,0))+IFERROR(INDEX(GlazingUpg_Vals,MATCH(H258,GlazingUpg_Keys,0)),0))+INDEX(Hardware_Vals,MATCH("Windows",Hardware_Keys,0))</f>
        <v>2201.14465</v>
      </c>
      <c r="Q258" s="27" t="n">
        <f aca="false">INDEX(Markup_Vals,MATCH("Windows",MarkupCat_Keys,0))</f>
        <v>0.42</v>
      </c>
      <c r="R258" s="28" t="n">
        <f aca="false">P258*(1+Q258)</f>
        <v>3125.625403</v>
      </c>
      <c r="S258" s="28" t="n">
        <f aca="false">R258*(1-TradeDiscount)</f>
        <v>2750.55035464</v>
      </c>
      <c r="T258" s="28" t="n">
        <f aca="false">R258*(1-VolumeDiscount)</f>
        <v>2500.5003224</v>
      </c>
    </row>
    <row r="259" customFormat="false" ht="15" hidden="false" customHeight="false" outlineLevel="0" collapsed="false">
      <c r="A259" s="29" t="s">
        <v>719</v>
      </c>
      <c r="B259" s="29" t="s">
        <v>96</v>
      </c>
      <c r="C259" s="29" t="s">
        <v>42</v>
      </c>
      <c r="D259" s="29" t="s">
        <v>720</v>
      </c>
      <c r="E259" s="29" t="s">
        <v>683</v>
      </c>
      <c r="F259" s="29" t="s">
        <v>706</v>
      </c>
      <c r="G259" s="29" t="s">
        <v>37</v>
      </c>
      <c r="H259" s="29" t="s">
        <v>64</v>
      </c>
      <c r="I259" s="29" t="s">
        <v>190</v>
      </c>
      <c r="J259" s="29" t="s">
        <v>685</v>
      </c>
      <c r="K259" s="29" t="s">
        <v>192</v>
      </c>
      <c r="L259" s="29" t="s">
        <v>29</v>
      </c>
      <c r="M259" s="29" t="n">
        <v>609</v>
      </c>
      <c r="N259" s="29" t="n">
        <v>1209</v>
      </c>
      <c r="O259" s="29"/>
      <c r="P259" s="30" t="n">
        <f aca="false">(M259*N259/1000000)*(INDEX(AreaRate_Vals,MATCH(C259,AreaRate_Keys,0))+IFERROR(INDEX(GlazingUpg_Vals,MATCH(H259,GlazingUpg_Keys,0)),0))+INDEX(Hardware_Vals,MATCH("Windows",Hardware_Keys,0))</f>
        <v>2201.14465</v>
      </c>
      <c r="Q259" s="31" t="n">
        <f aca="false">INDEX(Markup_Vals,MATCH("Windows",MarkupCat_Keys,0))</f>
        <v>0.42</v>
      </c>
      <c r="R259" s="32" t="n">
        <f aca="false">P259*(1+Q259)</f>
        <v>3125.625403</v>
      </c>
      <c r="S259" s="32" t="n">
        <f aca="false">R259*(1-TradeDiscount)</f>
        <v>2750.55035464</v>
      </c>
      <c r="T259" s="32" t="n">
        <f aca="false">R259*(1-VolumeDiscount)</f>
        <v>2500.5003224</v>
      </c>
    </row>
    <row r="260" customFormat="false" ht="15" hidden="false" customHeight="false" outlineLevel="0" collapsed="false">
      <c r="A260" s="25" t="s">
        <v>721</v>
      </c>
      <c r="B260" s="25" t="s">
        <v>96</v>
      </c>
      <c r="C260" s="25" t="s">
        <v>42</v>
      </c>
      <c r="D260" s="25" t="s">
        <v>722</v>
      </c>
      <c r="E260" s="25" t="s">
        <v>683</v>
      </c>
      <c r="F260" s="25" t="s">
        <v>706</v>
      </c>
      <c r="G260" s="25" t="s">
        <v>39</v>
      </c>
      <c r="H260" s="25" t="s">
        <v>64</v>
      </c>
      <c r="I260" s="25" t="s">
        <v>190</v>
      </c>
      <c r="J260" s="25" t="s">
        <v>685</v>
      </c>
      <c r="K260" s="25" t="s">
        <v>192</v>
      </c>
      <c r="L260" s="25" t="s">
        <v>29</v>
      </c>
      <c r="M260" s="25" t="n">
        <v>609</v>
      </c>
      <c r="N260" s="25" t="n">
        <v>1209</v>
      </c>
      <c r="O260" s="25"/>
      <c r="P260" s="26" t="n">
        <f aca="false">(M260*N260/1000000)*(INDEX(AreaRate_Vals,MATCH(C260,AreaRate_Keys,0))+IFERROR(INDEX(GlazingUpg_Vals,MATCH(H260,GlazingUpg_Keys,0)),0))+INDEX(Hardware_Vals,MATCH("Windows",Hardware_Keys,0))</f>
        <v>2201.14465</v>
      </c>
      <c r="Q260" s="27" t="n">
        <f aca="false">INDEX(Markup_Vals,MATCH("Windows",MarkupCat_Keys,0))</f>
        <v>0.42</v>
      </c>
      <c r="R260" s="28" t="n">
        <f aca="false">P260*(1+Q260)</f>
        <v>3125.625403</v>
      </c>
      <c r="S260" s="28" t="n">
        <f aca="false">R260*(1-TradeDiscount)</f>
        <v>2750.55035464</v>
      </c>
      <c r="T260" s="28" t="n">
        <f aca="false">R260*(1-VolumeDiscount)</f>
        <v>2500.5003224</v>
      </c>
    </row>
    <row r="261" customFormat="false" ht="15" hidden="false" customHeight="false" outlineLevel="0" collapsed="false">
      <c r="A261" s="29" t="s">
        <v>723</v>
      </c>
      <c r="B261" s="29" t="s">
        <v>96</v>
      </c>
      <c r="C261" s="29" t="s">
        <v>42</v>
      </c>
      <c r="D261" s="29" t="s">
        <v>724</v>
      </c>
      <c r="E261" s="29" t="s">
        <v>683</v>
      </c>
      <c r="F261" s="29" t="s">
        <v>706</v>
      </c>
      <c r="G261" s="29" t="s">
        <v>38</v>
      </c>
      <c r="H261" s="29" t="s">
        <v>64</v>
      </c>
      <c r="I261" s="29" t="s">
        <v>190</v>
      </c>
      <c r="J261" s="29" t="s">
        <v>685</v>
      </c>
      <c r="K261" s="29" t="s">
        <v>192</v>
      </c>
      <c r="L261" s="29" t="s">
        <v>29</v>
      </c>
      <c r="M261" s="29" t="n">
        <v>609</v>
      </c>
      <c r="N261" s="29" t="n">
        <v>1209</v>
      </c>
      <c r="O261" s="29"/>
      <c r="P261" s="30" t="n">
        <f aca="false">(M261*N261/1000000)*(INDEX(AreaRate_Vals,MATCH(C261,AreaRate_Keys,0))+IFERROR(INDEX(GlazingUpg_Vals,MATCH(H261,GlazingUpg_Keys,0)),0))+INDEX(Hardware_Vals,MATCH("Windows",Hardware_Keys,0))</f>
        <v>2201.14465</v>
      </c>
      <c r="Q261" s="31" t="n">
        <f aca="false">INDEX(Markup_Vals,MATCH("Windows",MarkupCat_Keys,0))</f>
        <v>0.42</v>
      </c>
      <c r="R261" s="32" t="n">
        <f aca="false">P261*(1+Q261)</f>
        <v>3125.625403</v>
      </c>
      <c r="S261" s="32" t="n">
        <f aca="false">R261*(1-TradeDiscount)</f>
        <v>2750.55035464</v>
      </c>
      <c r="T261" s="32" t="n">
        <f aca="false">R261*(1-VolumeDiscount)</f>
        <v>2500.5003224</v>
      </c>
    </row>
    <row r="262" customFormat="false" ht="15" hidden="false" customHeight="false" outlineLevel="0" collapsed="false">
      <c r="A262" s="25" t="s">
        <v>725</v>
      </c>
      <c r="B262" s="25" t="s">
        <v>96</v>
      </c>
      <c r="C262" s="25" t="s">
        <v>42</v>
      </c>
      <c r="D262" s="25" t="s">
        <v>726</v>
      </c>
      <c r="E262" s="25" t="s">
        <v>683</v>
      </c>
      <c r="F262" s="25" t="s">
        <v>727</v>
      </c>
      <c r="G262" s="25" t="s">
        <v>35</v>
      </c>
      <c r="H262" s="25" t="s">
        <v>63</v>
      </c>
      <c r="I262" s="25" t="s">
        <v>190</v>
      </c>
      <c r="J262" s="25" t="s">
        <v>685</v>
      </c>
      <c r="K262" s="25" t="s">
        <v>192</v>
      </c>
      <c r="L262" s="25" t="s">
        <v>29</v>
      </c>
      <c r="M262" s="25" t="n">
        <v>909</v>
      </c>
      <c r="N262" s="25" t="n">
        <v>1209</v>
      </c>
      <c r="O262" s="25"/>
      <c r="P262" s="26" t="n">
        <f aca="false">(M262*N262/1000000)*(INDEX(AreaRate_Vals,MATCH(C262,AreaRate_Keys,0))+IFERROR(INDEX(GlazingUpg_Vals,MATCH(H262,GlazingUpg_Keys,0)),0))+INDEX(Hardware_Vals,MATCH("Windows",Hardware_Keys,0))</f>
        <v>2557.8601</v>
      </c>
      <c r="Q262" s="27" t="n">
        <f aca="false">INDEX(Markup_Vals,MATCH("Windows",MarkupCat_Keys,0))</f>
        <v>0.42</v>
      </c>
      <c r="R262" s="28" t="n">
        <f aca="false">P262*(1+Q262)</f>
        <v>3632.161342</v>
      </c>
      <c r="S262" s="28" t="n">
        <f aca="false">R262*(1-TradeDiscount)</f>
        <v>3196.30198096</v>
      </c>
      <c r="T262" s="28" t="n">
        <f aca="false">R262*(1-VolumeDiscount)</f>
        <v>2905.7290736</v>
      </c>
    </row>
    <row r="263" customFormat="false" ht="15" hidden="false" customHeight="false" outlineLevel="0" collapsed="false">
      <c r="A263" s="29" t="s">
        <v>728</v>
      </c>
      <c r="B263" s="29" t="s">
        <v>96</v>
      </c>
      <c r="C263" s="29" t="s">
        <v>42</v>
      </c>
      <c r="D263" s="29" t="s">
        <v>729</v>
      </c>
      <c r="E263" s="29" t="s">
        <v>683</v>
      </c>
      <c r="F263" s="29" t="s">
        <v>727</v>
      </c>
      <c r="G263" s="29" t="s">
        <v>36</v>
      </c>
      <c r="H263" s="29" t="s">
        <v>63</v>
      </c>
      <c r="I263" s="29" t="s">
        <v>190</v>
      </c>
      <c r="J263" s="29" t="s">
        <v>685</v>
      </c>
      <c r="K263" s="29" t="s">
        <v>192</v>
      </c>
      <c r="L263" s="29" t="s">
        <v>29</v>
      </c>
      <c r="M263" s="29" t="n">
        <v>909</v>
      </c>
      <c r="N263" s="29" t="n">
        <v>1209</v>
      </c>
      <c r="O263" s="29"/>
      <c r="P263" s="30" t="n">
        <f aca="false">(M263*N263/1000000)*(INDEX(AreaRate_Vals,MATCH(C263,AreaRate_Keys,0))+IFERROR(INDEX(GlazingUpg_Vals,MATCH(H263,GlazingUpg_Keys,0)),0))+INDEX(Hardware_Vals,MATCH("Windows",Hardware_Keys,0))</f>
        <v>2557.8601</v>
      </c>
      <c r="Q263" s="31" t="n">
        <f aca="false">INDEX(Markup_Vals,MATCH("Windows",MarkupCat_Keys,0))</f>
        <v>0.42</v>
      </c>
      <c r="R263" s="32" t="n">
        <f aca="false">P263*(1+Q263)</f>
        <v>3632.161342</v>
      </c>
      <c r="S263" s="32" t="n">
        <f aca="false">R263*(1-TradeDiscount)</f>
        <v>3196.30198096</v>
      </c>
      <c r="T263" s="32" t="n">
        <f aca="false">R263*(1-VolumeDiscount)</f>
        <v>2905.7290736</v>
      </c>
    </row>
    <row r="264" customFormat="false" ht="15" hidden="false" customHeight="false" outlineLevel="0" collapsed="false">
      <c r="A264" s="25" t="s">
        <v>730</v>
      </c>
      <c r="B264" s="25" t="s">
        <v>96</v>
      </c>
      <c r="C264" s="25" t="s">
        <v>42</v>
      </c>
      <c r="D264" s="25" t="s">
        <v>731</v>
      </c>
      <c r="E264" s="25" t="s">
        <v>683</v>
      </c>
      <c r="F264" s="25" t="s">
        <v>727</v>
      </c>
      <c r="G264" s="25" t="s">
        <v>37</v>
      </c>
      <c r="H264" s="25" t="s">
        <v>63</v>
      </c>
      <c r="I264" s="25" t="s">
        <v>190</v>
      </c>
      <c r="J264" s="25" t="s">
        <v>685</v>
      </c>
      <c r="K264" s="25" t="s">
        <v>192</v>
      </c>
      <c r="L264" s="25" t="s">
        <v>29</v>
      </c>
      <c r="M264" s="25" t="n">
        <v>909</v>
      </c>
      <c r="N264" s="25" t="n">
        <v>1209</v>
      </c>
      <c r="O264" s="25"/>
      <c r="P264" s="26" t="n">
        <f aca="false">(M264*N264/1000000)*(INDEX(AreaRate_Vals,MATCH(C264,AreaRate_Keys,0))+IFERROR(INDEX(GlazingUpg_Vals,MATCH(H264,GlazingUpg_Keys,0)),0))+INDEX(Hardware_Vals,MATCH("Windows",Hardware_Keys,0))</f>
        <v>2557.8601</v>
      </c>
      <c r="Q264" s="27" t="n">
        <f aca="false">INDEX(Markup_Vals,MATCH("Windows",MarkupCat_Keys,0))</f>
        <v>0.42</v>
      </c>
      <c r="R264" s="28" t="n">
        <f aca="false">P264*(1+Q264)</f>
        <v>3632.161342</v>
      </c>
      <c r="S264" s="28" t="n">
        <f aca="false">R264*(1-TradeDiscount)</f>
        <v>3196.30198096</v>
      </c>
      <c r="T264" s="28" t="n">
        <f aca="false">R264*(1-VolumeDiscount)</f>
        <v>2905.7290736</v>
      </c>
    </row>
    <row r="265" customFormat="false" ht="15" hidden="false" customHeight="false" outlineLevel="0" collapsed="false">
      <c r="A265" s="29" t="s">
        <v>732</v>
      </c>
      <c r="B265" s="29" t="s">
        <v>96</v>
      </c>
      <c r="C265" s="29" t="s">
        <v>42</v>
      </c>
      <c r="D265" s="29" t="s">
        <v>733</v>
      </c>
      <c r="E265" s="29" t="s">
        <v>683</v>
      </c>
      <c r="F265" s="29" t="s">
        <v>727</v>
      </c>
      <c r="G265" s="29" t="s">
        <v>39</v>
      </c>
      <c r="H265" s="29" t="s">
        <v>63</v>
      </c>
      <c r="I265" s="29" t="s">
        <v>190</v>
      </c>
      <c r="J265" s="29" t="s">
        <v>685</v>
      </c>
      <c r="K265" s="29" t="s">
        <v>192</v>
      </c>
      <c r="L265" s="29" t="s">
        <v>29</v>
      </c>
      <c r="M265" s="29" t="n">
        <v>909</v>
      </c>
      <c r="N265" s="29" t="n">
        <v>1209</v>
      </c>
      <c r="O265" s="29"/>
      <c r="P265" s="30" t="n">
        <f aca="false">(M265*N265/1000000)*(INDEX(AreaRate_Vals,MATCH(C265,AreaRate_Keys,0))+IFERROR(INDEX(GlazingUpg_Vals,MATCH(H265,GlazingUpg_Keys,0)),0))+INDEX(Hardware_Vals,MATCH("Windows",Hardware_Keys,0))</f>
        <v>2557.8601</v>
      </c>
      <c r="Q265" s="31" t="n">
        <f aca="false">INDEX(Markup_Vals,MATCH("Windows",MarkupCat_Keys,0))</f>
        <v>0.42</v>
      </c>
      <c r="R265" s="32" t="n">
        <f aca="false">P265*(1+Q265)</f>
        <v>3632.161342</v>
      </c>
      <c r="S265" s="32" t="n">
        <f aca="false">R265*(1-TradeDiscount)</f>
        <v>3196.30198096</v>
      </c>
      <c r="T265" s="32" t="n">
        <f aca="false">R265*(1-VolumeDiscount)</f>
        <v>2905.7290736</v>
      </c>
    </row>
    <row r="266" customFormat="false" ht="15" hidden="false" customHeight="false" outlineLevel="0" collapsed="false">
      <c r="A266" s="25" t="s">
        <v>734</v>
      </c>
      <c r="B266" s="25" t="s">
        <v>96</v>
      </c>
      <c r="C266" s="25" t="s">
        <v>42</v>
      </c>
      <c r="D266" s="25" t="s">
        <v>735</v>
      </c>
      <c r="E266" s="25" t="s">
        <v>683</v>
      </c>
      <c r="F266" s="25" t="s">
        <v>727</v>
      </c>
      <c r="G266" s="25" t="s">
        <v>38</v>
      </c>
      <c r="H266" s="25" t="s">
        <v>63</v>
      </c>
      <c r="I266" s="25" t="s">
        <v>190</v>
      </c>
      <c r="J266" s="25" t="s">
        <v>685</v>
      </c>
      <c r="K266" s="25" t="s">
        <v>192</v>
      </c>
      <c r="L266" s="25" t="s">
        <v>29</v>
      </c>
      <c r="M266" s="25" t="n">
        <v>909</v>
      </c>
      <c r="N266" s="25" t="n">
        <v>1209</v>
      </c>
      <c r="O266" s="25"/>
      <c r="P266" s="26" t="n">
        <f aca="false">(M266*N266/1000000)*(INDEX(AreaRate_Vals,MATCH(C266,AreaRate_Keys,0))+IFERROR(INDEX(GlazingUpg_Vals,MATCH(H266,GlazingUpg_Keys,0)),0))+INDEX(Hardware_Vals,MATCH("Windows",Hardware_Keys,0))</f>
        <v>2557.8601</v>
      </c>
      <c r="Q266" s="27" t="n">
        <f aca="false">INDEX(Markup_Vals,MATCH("Windows",MarkupCat_Keys,0))</f>
        <v>0.42</v>
      </c>
      <c r="R266" s="28" t="n">
        <f aca="false">P266*(1+Q266)</f>
        <v>3632.161342</v>
      </c>
      <c r="S266" s="28" t="n">
        <f aca="false">R266*(1-TradeDiscount)</f>
        <v>3196.30198096</v>
      </c>
      <c r="T266" s="28" t="n">
        <f aca="false">R266*(1-VolumeDiscount)</f>
        <v>2905.7290736</v>
      </c>
    </row>
    <row r="267" customFormat="false" ht="15" hidden="false" customHeight="false" outlineLevel="0" collapsed="false">
      <c r="A267" s="29" t="s">
        <v>736</v>
      </c>
      <c r="B267" s="29" t="s">
        <v>96</v>
      </c>
      <c r="C267" s="29" t="s">
        <v>42</v>
      </c>
      <c r="D267" s="29" t="s">
        <v>737</v>
      </c>
      <c r="E267" s="29" t="s">
        <v>683</v>
      </c>
      <c r="F267" s="29" t="s">
        <v>727</v>
      </c>
      <c r="G267" s="29" t="s">
        <v>35</v>
      </c>
      <c r="H267" s="29" t="s">
        <v>64</v>
      </c>
      <c r="I267" s="29" t="s">
        <v>190</v>
      </c>
      <c r="J267" s="29" t="s">
        <v>685</v>
      </c>
      <c r="K267" s="29" t="s">
        <v>192</v>
      </c>
      <c r="L267" s="29" t="s">
        <v>29</v>
      </c>
      <c r="M267" s="29" t="n">
        <v>909</v>
      </c>
      <c r="N267" s="29" t="n">
        <v>1209</v>
      </c>
      <c r="O267" s="29"/>
      <c r="P267" s="30" t="n">
        <f aca="false">(M267*N267/1000000)*(INDEX(AreaRate_Vals,MATCH(C267,AreaRate_Keys,0))+IFERROR(INDEX(GlazingUpg_Vals,MATCH(H267,GlazingUpg_Keys,0)),0))+INDEX(Hardware_Vals,MATCH("Windows",Hardware_Keys,0))</f>
        <v>3162.29965</v>
      </c>
      <c r="Q267" s="31" t="n">
        <f aca="false">INDEX(Markup_Vals,MATCH("Windows",MarkupCat_Keys,0))</f>
        <v>0.42</v>
      </c>
      <c r="R267" s="32" t="n">
        <f aca="false">P267*(1+Q267)</f>
        <v>4490.465503</v>
      </c>
      <c r="S267" s="32" t="n">
        <f aca="false">R267*(1-TradeDiscount)</f>
        <v>3951.60964264</v>
      </c>
      <c r="T267" s="32" t="n">
        <f aca="false">R267*(1-VolumeDiscount)</f>
        <v>3592.3724024</v>
      </c>
    </row>
    <row r="268" customFormat="false" ht="15" hidden="false" customHeight="false" outlineLevel="0" collapsed="false">
      <c r="A268" s="25" t="s">
        <v>738</v>
      </c>
      <c r="B268" s="25" t="s">
        <v>96</v>
      </c>
      <c r="C268" s="25" t="s">
        <v>42</v>
      </c>
      <c r="D268" s="25" t="s">
        <v>739</v>
      </c>
      <c r="E268" s="25" t="s">
        <v>683</v>
      </c>
      <c r="F268" s="25" t="s">
        <v>727</v>
      </c>
      <c r="G268" s="25" t="s">
        <v>36</v>
      </c>
      <c r="H268" s="25" t="s">
        <v>64</v>
      </c>
      <c r="I268" s="25" t="s">
        <v>190</v>
      </c>
      <c r="J268" s="25" t="s">
        <v>685</v>
      </c>
      <c r="K268" s="25" t="s">
        <v>192</v>
      </c>
      <c r="L268" s="25" t="s">
        <v>29</v>
      </c>
      <c r="M268" s="25" t="n">
        <v>909</v>
      </c>
      <c r="N268" s="25" t="n">
        <v>1209</v>
      </c>
      <c r="O268" s="25"/>
      <c r="P268" s="26" t="n">
        <f aca="false">(M268*N268/1000000)*(INDEX(AreaRate_Vals,MATCH(C268,AreaRate_Keys,0))+IFERROR(INDEX(GlazingUpg_Vals,MATCH(H268,GlazingUpg_Keys,0)),0))+INDEX(Hardware_Vals,MATCH("Windows",Hardware_Keys,0))</f>
        <v>3162.29965</v>
      </c>
      <c r="Q268" s="27" t="n">
        <f aca="false">INDEX(Markup_Vals,MATCH("Windows",MarkupCat_Keys,0))</f>
        <v>0.42</v>
      </c>
      <c r="R268" s="28" t="n">
        <f aca="false">P268*(1+Q268)</f>
        <v>4490.465503</v>
      </c>
      <c r="S268" s="28" t="n">
        <f aca="false">R268*(1-TradeDiscount)</f>
        <v>3951.60964264</v>
      </c>
      <c r="T268" s="28" t="n">
        <f aca="false">R268*(1-VolumeDiscount)</f>
        <v>3592.3724024</v>
      </c>
    </row>
    <row r="269" customFormat="false" ht="15" hidden="false" customHeight="false" outlineLevel="0" collapsed="false">
      <c r="A269" s="29" t="s">
        <v>740</v>
      </c>
      <c r="B269" s="29" t="s">
        <v>96</v>
      </c>
      <c r="C269" s="29" t="s">
        <v>42</v>
      </c>
      <c r="D269" s="29" t="s">
        <v>741</v>
      </c>
      <c r="E269" s="29" t="s">
        <v>683</v>
      </c>
      <c r="F269" s="29" t="s">
        <v>727</v>
      </c>
      <c r="G269" s="29" t="s">
        <v>37</v>
      </c>
      <c r="H269" s="29" t="s">
        <v>64</v>
      </c>
      <c r="I269" s="29" t="s">
        <v>190</v>
      </c>
      <c r="J269" s="29" t="s">
        <v>685</v>
      </c>
      <c r="K269" s="29" t="s">
        <v>192</v>
      </c>
      <c r="L269" s="29" t="s">
        <v>29</v>
      </c>
      <c r="M269" s="29" t="n">
        <v>909</v>
      </c>
      <c r="N269" s="29" t="n">
        <v>1209</v>
      </c>
      <c r="O269" s="29"/>
      <c r="P269" s="30" t="n">
        <f aca="false">(M269*N269/1000000)*(INDEX(AreaRate_Vals,MATCH(C269,AreaRate_Keys,0))+IFERROR(INDEX(GlazingUpg_Vals,MATCH(H269,GlazingUpg_Keys,0)),0))+INDEX(Hardware_Vals,MATCH("Windows",Hardware_Keys,0))</f>
        <v>3162.29965</v>
      </c>
      <c r="Q269" s="31" t="n">
        <f aca="false">INDEX(Markup_Vals,MATCH("Windows",MarkupCat_Keys,0))</f>
        <v>0.42</v>
      </c>
      <c r="R269" s="32" t="n">
        <f aca="false">P269*(1+Q269)</f>
        <v>4490.465503</v>
      </c>
      <c r="S269" s="32" t="n">
        <f aca="false">R269*(1-TradeDiscount)</f>
        <v>3951.60964264</v>
      </c>
      <c r="T269" s="32" t="n">
        <f aca="false">R269*(1-VolumeDiscount)</f>
        <v>3592.3724024</v>
      </c>
    </row>
    <row r="270" customFormat="false" ht="15" hidden="false" customHeight="false" outlineLevel="0" collapsed="false">
      <c r="A270" s="25" t="s">
        <v>742</v>
      </c>
      <c r="B270" s="25" t="s">
        <v>96</v>
      </c>
      <c r="C270" s="25" t="s">
        <v>42</v>
      </c>
      <c r="D270" s="25" t="s">
        <v>743</v>
      </c>
      <c r="E270" s="25" t="s">
        <v>683</v>
      </c>
      <c r="F270" s="25" t="s">
        <v>727</v>
      </c>
      <c r="G270" s="25" t="s">
        <v>39</v>
      </c>
      <c r="H270" s="25" t="s">
        <v>64</v>
      </c>
      <c r="I270" s="25" t="s">
        <v>190</v>
      </c>
      <c r="J270" s="25" t="s">
        <v>685</v>
      </c>
      <c r="K270" s="25" t="s">
        <v>192</v>
      </c>
      <c r="L270" s="25" t="s">
        <v>29</v>
      </c>
      <c r="M270" s="25" t="n">
        <v>909</v>
      </c>
      <c r="N270" s="25" t="n">
        <v>1209</v>
      </c>
      <c r="O270" s="25"/>
      <c r="P270" s="26" t="n">
        <f aca="false">(M270*N270/1000000)*(INDEX(AreaRate_Vals,MATCH(C270,AreaRate_Keys,0))+IFERROR(INDEX(GlazingUpg_Vals,MATCH(H270,GlazingUpg_Keys,0)),0))+INDEX(Hardware_Vals,MATCH("Windows",Hardware_Keys,0))</f>
        <v>3162.29965</v>
      </c>
      <c r="Q270" s="27" t="n">
        <f aca="false">INDEX(Markup_Vals,MATCH("Windows",MarkupCat_Keys,0))</f>
        <v>0.42</v>
      </c>
      <c r="R270" s="28" t="n">
        <f aca="false">P270*(1+Q270)</f>
        <v>4490.465503</v>
      </c>
      <c r="S270" s="28" t="n">
        <f aca="false">R270*(1-TradeDiscount)</f>
        <v>3951.60964264</v>
      </c>
      <c r="T270" s="28" t="n">
        <f aca="false">R270*(1-VolumeDiscount)</f>
        <v>3592.3724024</v>
      </c>
    </row>
    <row r="271" customFormat="false" ht="15" hidden="false" customHeight="false" outlineLevel="0" collapsed="false">
      <c r="A271" s="29" t="s">
        <v>744</v>
      </c>
      <c r="B271" s="29" t="s">
        <v>96</v>
      </c>
      <c r="C271" s="29" t="s">
        <v>42</v>
      </c>
      <c r="D271" s="29" t="s">
        <v>745</v>
      </c>
      <c r="E271" s="29" t="s">
        <v>683</v>
      </c>
      <c r="F271" s="29" t="s">
        <v>727</v>
      </c>
      <c r="G271" s="29" t="s">
        <v>38</v>
      </c>
      <c r="H271" s="29" t="s">
        <v>64</v>
      </c>
      <c r="I271" s="29" t="s">
        <v>190</v>
      </c>
      <c r="J271" s="29" t="s">
        <v>685</v>
      </c>
      <c r="K271" s="29" t="s">
        <v>192</v>
      </c>
      <c r="L271" s="29" t="s">
        <v>29</v>
      </c>
      <c r="M271" s="29" t="n">
        <v>909</v>
      </c>
      <c r="N271" s="29" t="n">
        <v>1209</v>
      </c>
      <c r="O271" s="29"/>
      <c r="P271" s="30" t="n">
        <f aca="false">(M271*N271/1000000)*(INDEX(AreaRate_Vals,MATCH(C271,AreaRate_Keys,0))+IFERROR(INDEX(GlazingUpg_Vals,MATCH(H271,GlazingUpg_Keys,0)),0))+INDEX(Hardware_Vals,MATCH("Windows",Hardware_Keys,0))</f>
        <v>3162.29965</v>
      </c>
      <c r="Q271" s="31" t="n">
        <f aca="false">INDEX(Markup_Vals,MATCH("Windows",MarkupCat_Keys,0))</f>
        <v>0.42</v>
      </c>
      <c r="R271" s="32" t="n">
        <f aca="false">P271*(1+Q271)</f>
        <v>4490.465503</v>
      </c>
      <c r="S271" s="32" t="n">
        <f aca="false">R271*(1-TradeDiscount)</f>
        <v>3951.60964264</v>
      </c>
      <c r="T271" s="32" t="n">
        <f aca="false">R271*(1-VolumeDiscount)</f>
        <v>3592.3724024</v>
      </c>
    </row>
    <row r="272" customFormat="false" ht="15" hidden="false" customHeight="false" outlineLevel="0" collapsed="false">
      <c r="A272" s="25" t="s">
        <v>746</v>
      </c>
      <c r="B272" s="25" t="s">
        <v>96</v>
      </c>
      <c r="C272" s="25" t="s">
        <v>42</v>
      </c>
      <c r="D272" s="25" t="s">
        <v>747</v>
      </c>
      <c r="E272" s="25" t="s">
        <v>683</v>
      </c>
      <c r="F272" s="25" t="s">
        <v>748</v>
      </c>
      <c r="G272" s="25" t="s">
        <v>35</v>
      </c>
      <c r="H272" s="25" t="s">
        <v>63</v>
      </c>
      <c r="I272" s="25" t="s">
        <v>190</v>
      </c>
      <c r="J272" s="25" t="s">
        <v>685</v>
      </c>
      <c r="K272" s="25" t="s">
        <v>192</v>
      </c>
      <c r="L272" s="25" t="s">
        <v>29</v>
      </c>
      <c r="M272" s="25" t="n">
        <v>1209</v>
      </c>
      <c r="N272" s="25" t="n">
        <v>1209</v>
      </c>
      <c r="O272" s="25"/>
      <c r="P272" s="26" t="n">
        <f aca="false">(M272*N272/1000000)*(INDEX(AreaRate_Vals,MATCH(C272,AreaRate_Keys,0))+IFERROR(INDEX(GlazingUpg_Vals,MATCH(H272,GlazingUpg_Keys,0)),0))+INDEX(Hardware_Vals,MATCH("Windows",Hardware_Keys,0))</f>
        <v>3319.5301</v>
      </c>
      <c r="Q272" s="27" t="n">
        <f aca="false">INDEX(Markup_Vals,MATCH("Windows",MarkupCat_Keys,0))</f>
        <v>0.42</v>
      </c>
      <c r="R272" s="28" t="n">
        <f aca="false">P272*(1+Q272)</f>
        <v>4713.732742</v>
      </c>
      <c r="S272" s="28" t="n">
        <f aca="false">R272*(1-TradeDiscount)</f>
        <v>4148.08481296</v>
      </c>
      <c r="T272" s="28" t="n">
        <f aca="false">R272*(1-VolumeDiscount)</f>
        <v>3770.9861936</v>
      </c>
    </row>
    <row r="273" customFormat="false" ht="15" hidden="false" customHeight="false" outlineLevel="0" collapsed="false">
      <c r="A273" s="29" t="s">
        <v>749</v>
      </c>
      <c r="B273" s="29" t="s">
        <v>96</v>
      </c>
      <c r="C273" s="29" t="s">
        <v>42</v>
      </c>
      <c r="D273" s="29" t="s">
        <v>750</v>
      </c>
      <c r="E273" s="29" t="s">
        <v>683</v>
      </c>
      <c r="F273" s="29" t="s">
        <v>748</v>
      </c>
      <c r="G273" s="29" t="s">
        <v>36</v>
      </c>
      <c r="H273" s="29" t="s">
        <v>63</v>
      </c>
      <c r="I273" s="29" t="s">
        <v>190</v>
      </c>
      <c r="J273" s="29" t="s">
        <v>685</v>
      </c>
      <c r="K273" s="29" t="s">
        <v>192</v>
      </c>
      <c r="L273" s="29" t="s">
        <v>29</v>
      </c>
      <c r="M273" s="29" t="n">
        <v>1209</v>
      </c>
      <c r="N273" s="29" t="n">
        <v>1209</v>
      </c>
      <c r="O273" s="29"/>
      <c r="P273" s="30" t="n">
        <f aca="false">(M273*N273/1000000)*(INDEX(AreaRate_Vals,MATCH(C273,AreaRate_Keys,0))+IFERROR(INDEX(GlazingUpg_Vals,MATCH(H273,GlazingUpg_Keys,0)),0))+INDEX(Hardware_Vals,MATCH("Windows",Hardware_Keys,0))</f>
        <v>3319.5301</v>
      </c>
      <c r="Q273" s="31" t="n">
        <f aca="false">INDEX(Markup_Vals,MATCH("Windows",MarkupCat_Keys,0))</f>
        <v>0.42</v>
      </c>
      <c r="R273" s="32" t="n">
        <f aca="false">P273*(1+Q273)</f>
        <v>4713.732742</v>
      </c>
      <c r="S273" s="32" t="n">
        <f aca="false">R273*(1-TradeDiscount)</f>
        <v>4148.08481296</v>
      </c>
      <c r="T273" s="32" t="n">
        <f aca="false">R273*(1-VolumeDiscount)</f>
        <v>3770.9861936</v>
      </c>
    </row>
    <row r="274" customFormat="false" ht="15" hidden="false" customHeight="false" outlineLevel="0" collapsed="false">
      <c r="A274" s="25" t="s">
        <v>751</v>
      </c>
      <c r="B274" s="25" t="s">
        <v>96</v>
      </c>
      <c r="C274" s="25" t="s">
        <v>42</v>
      </c>
      <c r="D274" s="25" t="s">
        <v>752</v>
      </c>
      <c r="E274" s="25" t="s">
        <v>683</v>
      </c>
      <c r="F274" s="25" t="s">
        <v>748</v>
      </c>
      <c r="G274" s="25" t="s">
        <v>37</v>
      </c>
      <c r="H274" s="25" t="s">
        <v>63</v>
      </c>
      <c r="I274" s="25" t="s">
        <v>190</v>
      </c>
      <c r="J274" s="25" t="s">
        <v>685</v>
      </c>
      <c r="K274" s="25" t="s">
        <v>192</v>
      </c>
      <c r="L274" s="25" t="s">
        <v>29</v>
      </c>
      <c r="M274" s="25" t="n">
        <v>1209</v>
      </c>
      <c r="N274" s="25" t="n">
        <v>1209</v>
      </c>
      <c r="O274" s="25"/>
      <c r="P274" s="26" t="n">
        <f aca="false">(M274*N274/1000000)*(INDEX(AreaRate_Vals,MATCH(C274,AreaRate_Keys,0))+IFERROR(INDEX(GlazingUpg_Vals,MATCH(H274,GlazingUpg_Keys,0)),0))+INDEX(Hardware_Vals,MATCH("Windows",Hardware_Keys,0))</f>
        <v>3319.5301</v>
      </c>
      <c r="Q274" s="27" t="n">
        <f aca="false">INDEX(Markup_Vals,MATCH("Windows",MarkupCat_Keys,0))</f>
        <v>0.42</v>
      </c>
      <c r="R274" s="28" t="n">
        <f aca="false">P274*(1+Q274)</f>
        <v>4713.732742</v>
      </c>
      <c r="S274" s="28" t="n">
        <f aca="false">R274*(1-TradeDiscount)</f>
        <v>4148.08481296</v>
      </c>
      <c r="T274" s="28" t="n">
        <f aca="false">R274*(1-VolumeDiscount)</f>
        <v>3770.9861936</v>
      </c>
    </row>
    <row r="275" customFormat="false" ht="15" hidden="false" customHeight="false" outlineLevel="0" collapsed="false">
      <c r="A275" s="29" t="s">
        <v>753</v>
      </c>
      <c r="B275" s="29" t="s">
        <v>96</v>
      </c>
      <c r="C275" s="29" t="s">
        <v>42</v>
      </c>
      <c r="D275" s="29" t="s">
        <v>754</v>
      </c>
      <c r="E275" s="29" t="s">
        <v>683</v>
      </c>
      <c r="F275" s="29" t="s">
        <v>748</v>
      </c>
      <c r="G275" s="29" t="s">
        <v>39</v>
      </c>
      <c r="H275" s="29" t="s">
        <v>63</v>
      </c>
      <c r="I275" s="29" t="s">
        <v>190</v>
      </c>
      <c r="J275" s="29" t="s">
        <v>685</v>
      </c>
      <c r="K275" s="29" t="s">
        <v>192</v>
      </c>
      <c r="L275" s="29" t="s">
        <v>29</v>
      </c>
      <c r="M275" s="29" t="n">
        <v>1209</v>
      </c>
      <c r="N275" s="29" t="n">
        <v>1209</v>
      </c>
      <c r="O275" s="29"/>
      <c r="P275" s="30" t="n">
        <f aca="false">(M275*N275/1000000)*(INDEX(AreaRate_Vals,MATCH(C275,AreaRate_Keys,0))+IFERROR(INDEX(GlazingUpg_Vals,MATCH(H275,GlazingUpg_Keys,0)),0))+INDEX(Hardware_Vals,MATCH("Windows",Hardware_Keys,0))</f>
        <v>3319.5301</v>
      </c>
      <c r="Q275" s="31" t="n">
        <f aca="false">INDEX(Markup_Vals,MATCH("Windows",MarkupCat_Keys,0))</f>
        <v>0.42</v>
      </c>
      <c r="R275" s="32" t="n">
        <f aca="false">P275*(1+Q275)</f>
        <v>4713.732742</v>
      </c>
      <c r="S275" s="32" t="n">
        <f aca="false">R275*(1-TradeDiscount)</f>
        <v>4148.08481296</v>
      </c>
      <c r="T275" s="32" t="n">
        <f aca="false">R275*(1-VolumeDiscount)</f>
        <v>3770.9861936</v>
      </c>
    </row>
    <row r="276" customFormat="false" ht="15" hidden="false" customHeight="false" outlineLevel="0" collapsed="false">
      <c r="A276" s="25" t="s">
        <v>755</v>
      </c>
      <c r="B276" s="25" t="s">
        <v>96</v>
      </c>
      <c r="C276" s="25" t="s">
        <v>42</v>
      </c>
      <c r="D276" s="25" t="s">
        <v>756</v>
      </c>
      <c r="E276" s="25" t="s">
        <v>683</v>
      </c>
      <c r="F276" s="25" t="s">
        <v>748</v>
      </c>
      <c r="G276" s="25" t="s">
        <v>38</v>
      </c>
      <c r="H276" s="25" t="s">
        <v>63</v>
      </c>
      <c r="I276" s="25" t="s">
        <v>190</v>
      </c>
      <c r="J276" s="25" t="s">
        <v>685</v>
      </c>
      <c r="K276" s="25" t="s">
        <v>192</v>
      </c>
      <c r="L276" s="25" t="s">
        <v>29</v>
      </c>
      <c r="M276" s="25" t="n">
        <v>1209</v>
      </c>
      <c r="N276" s="25" t="n">
        <v>1209</v>
      </c>
      <c r="O276" s="25"/>
      <c r="P276" s="26" t="n">
        <f aca="false">(M276*N276/1000000)*(INDEX(AreaRate_Vals,MATCH(C276,AreaRate_Keys,0))+IFERROR(INDEX(GlazingUpg_Vals,MATCH(H276,GlazingUpg_Keys,0)),0))+INDEX(Hardware_Vals,MATCH("Windows",Hardware_Keys,0))</f>
        <v>3319.5301</v>
      </c>
      <c r="Q276" s="27" t="n">
        <f aca="false">INDEX(Markup_Vals,MATCH("Windows",MarkupCat_Keys,0))</f>
        <v>0.42</v>
      </c>
      <c r="R276" s="28" t="n">
        <f aca="false">P276*(1+Q276)</f>
        <v>4713.732742</v>
      </c>
      <c r="S276" s="28" t="n">
        <f aca="false">R276*(1-TradeDiscount)</f>
        <v>4148.08481296</v>
      </c>
      <c r="T276" s="28" t="n">
        <f aca="false">R276*(1-VolumeDiscount)</f>
        <v>3770.9861936</v>
      </c>
    </row>
    <row r="277" customFormat="false" ht="15" hidden="false" customHeight="false" outlineLevel="0" collapsed="false">
      <c r="A277" s="29" t="s">
        <v>757</v>
      </c>
      <c r="B277" s="29" t="s">
        <v>96</v>
      </c>
      <c r="C277" s="29" t="s">
        <v>42</v>
      </c>
      <c r="D277" s="29" t="s">
        <v>758</v>
      </c>
      <c r="E277" s="29" t="s">
        <v>683</v>
      </c>
      <c r="F277" s="29" t="s">
        <v>748</v>
      </c>
      <c r="G277" s="29" t="s">
        <v>35</v>
      </c>
      <c r="H277" s="29" t="s">
        <v>64</v>
      </c>
      <c r="I277" s="29" t="s">
        <v>190</v>
      </c>
      <c r="J277" s="29" t="s">
        <v>685</v>
      </c>
      <c r="K277" s="29" t="s">
        <v>192</v>
      </c>
      <c r="L277" s="29" t="s">
        <v>29</v>
      </c>
      <c r="M277" s="29" t="n">
        <v>1209</v>
      </c>
      <c r="N277" s="29" t="n">
        <v>1209</v>
      </c>
      <c r="O277" s="29"/>
      <c r="P277" s="30" t="n">
        <f aca="false">(M277*N277/1000000)*(INDEX(AreaRate_Vals,MATCH(C277,AreaRate_Keys,0))+IFERROR(INDEX(GlazingUpg_Vals,MATCH(H277,GlazingUpg_Keys,0)),0))+INDEX(Hardware_Vals,MATCH("Windows",Hardware_Keys,0))</f>
        <v>4123.45465</v>
      </c>
      <c r="Q277" s="31" t="n">
        <f aca="false">INDEX(Markup_Vals,MATCH("Windows",MarkupCat_Keys,0))</f>
        <v>0.42</v>
      </c>
      <c r="R277" s="32" t="n">
        <f aca="false">P277*(1+Q277)</f>
        <v>5855.305603</v>
      </c>
      <c r="S277" s="32" t="n">
        <f aca="false">R277*(1-TradeDiscount)</f>
        <v>5152.66893064</v>
      </c>
      <c r="T277" s="32" t="n">
        <f aca="false">R277*(1-VolumeDiscount)</f>
        <v>4684.2444824</v>
      </c>
    </row>
    <row r="278" customFormat="false" ht="15" hidden="false" customHeight="false" outlineLevel="0" collapsed="false">
      <c r="A278" s="25" t="s">
        <v>759</v>
      </c>
      <c r="B278" s="25" t="s">
        <v>96</v>
      </c>
      <c r="C278" s="25" t="s">
        <v>42</v>
      </c>
      <c r="D278" s="25" t="s">
        <v>760</v>
      </c>
      <c r="E278" s="25" t="s">
        <v>683</v>
      </c>
      <c r="F278" s="25" t="s">
        <v>748</v>
      </c>
      <c r="G278" s="25" t="s">
        <v>36</v>
      </c>
      <c r="H278" s="25" t="s">
        <v>64</v>
      </c>
      <c r="I278" s="25" t="s">
        <v>190</v>
      </c>
      <c r="J278" s="25" t="s">
        <v>685</v>
      </c>
      <c r="K278" s="25" t="s">
        <v>192</v>
      </c>
      <c r="L278" s="25" t="s">
        <v>29</v>
      </c>
      <c r="M278" s="25" t="n">
        <v>1209</v>
      </c>
      <c r="N278" s="25" t="n">
        <v>1209</v>
      </c>
      <c r="O278" s="25"/>
      <c r="P278" s="26" t="n">
        <f aca="false">(M278*N278/1000000)*(INDEX(AreaRate_Vals,MATCH(C278,AreaRate_Keys,0))+IFERROR(INDEX(GlazingUpg_Vals,MATCH(H278,GlazingUpg_Keys,0)),0))+INDEX(Hardware_Vals,MATCH("Windows",Hardware_Keys,0))</f>
        <v>4123.45465</v>
      </c>
      <c r="Q278" s="27" t="n">
        <f aca="false">INDEX(Markup_Vals,MATCH("Windows",MarkupCat_Keys,0))</f>
        <v>0.42</v>
      </c>
      <c r="R278" s="28" t="n">
        <f aca="false">P278*(1+Q278)</f>
        <v>5855.305603</v>
      </c>
      <c r="S278" s="28" t="n">
        <f aca="false">R278*(1-TradeDiscount)</f>
        <v>5152.66893064</v>
      </c>
      <c r="T278" s="28" t="n">
        <f aca="false">R278*(1-VolumeDiscount)</f>
        <v>4684.2444824</v>
      </c>
    </row>
    <row r="279" customFormat="false" ht="15" hidden="false" customHeight="false" outlineLevel="0" collapsed="false">
      <c r="A279" s="29" t="s">
        <v>761</v>
      </c>
      <c r="B279" s="29" t="s">
        <v>96</v>
      </c>
      <c r="C279" s="29" t="s">
        <v>42</v>
      </c>
      <c r="D279" s="29" t="s">
        <v>762</v>
      </c>
      <c r="E279" s="29" t="s">
        <v>683</v>
      </c>
      <c r="F279" s="29" t="s">
        <v>748</v>
      </c>
      <c r="G279" s="29" t="s">
        <v>37</v>
      </c>
      <c r="H279" s="29" t="s">
        <v>64</v>
      </c>
      <c r="I279" s="29" t="s">
        <v>190</v>
      </c>
      <c r="J279" s="29" t="s">
        <v>685</v>
      </c>
      <c r="K279" s="29" t="s">
        <v>192</v>
      </c>
      <c r="L279" s="29" t="s">
        <v>29</v>
      </c>
      <c r="M279" s="29" t="n">
        <v>1209</v>
      </c>
      <c r="N279" s="29" t="n">
        <v>1209</v>
      </c>
      <c r="O279" s="29"/>
      <c r="P279" s="30" t="n">
        <f aca="false">(M279*N279/1000000)*(INDEX(AreaRate_Vals,MATCH(C279,AreaRate_Keys,0))+IFERROR(INDEX(GlazingUpg_Vals,MATCH(H279,GlazingUpg_Keys,0)),0))+INDEX(Hardware_Vals,MATCH("Windows",Hardware_Keys,0))</f>
        <v>4123.45465</v>
      </c>
      <c r="Q279" s="31" t="n">
        <f aca="false">INDEX(Markup_Vals,MATCH("Windows",MarkupCat_Keys,0))</f>
        <v>0.42</v>
      </c>
      <c r="R279" s="32" t="n">
        <f aca="false">P279*(1+Q279)</f>
        <v>5855.305603</v>
      </c>
      <c r="S279" s="32" t="n">
        <f aca="false">R279*(1-TradeDiscount)</f>
        <v>5152.66893064</v>
      </c>
      <c r="T279" s="32" t="n">
        <f aca="false">R279*(1-VolumeDiscount)</f>
        <v>4684.2444824</v>
      </c>
    </row>
    <row r="280" customFormat="false" ht="15" hidden="false" customHeight="false" outlineLevel="0" collapsed="false">
      <c r="A280" s="25" t="s">
        <v>763</v>
      </c>
      <c r="B280" s="25" t="s">
        <v>96</v>
      </c>
      <c r="C280" s="25" t="s">
        <v>42</v>
      </c>
      <c r="D280" s="25" t="s">
        <v>764</v>
      </c>
      <c r="E280" s="25" t="s">
        <v>683</v>
      </c>
      <c r="F280" s="25" t="s">
        <v>748</v>
      </c>
      <c r="G280" s="25" t="s">
        <v>39</v>
      </c>
      <c r="H280" s="25" t="s">
        <v>64</v>
      </c>
      <c r="I280" s="25" t="s">
        <v>190</v>
      </c>
      <c r="J280" s="25" t="s">
        <v>685</v>
      </c>
      <c r="K280" s="25" t="s">
        <v>192</v>
      </c>
      <c r="L280" s="25" t="s">
        <v>29</v>
      </c>
      <c r="M280" s="25" t="n">
        <v>1209</v>
      </c>
      <c r="N280" s="25" t="n">
        <v>1209</v>
      </c>
      <c r="O280" s="25"/>
      <c r="P280" s="26" t="n">
        <f aca="false">(M280*N280/1000000)*(INDEX(AreaRate_Vals,MATCH(C280,AreaRate_Keys,0))+IFERROR(INDEX(GlazingUpg_Vals,MATCH(H280,GlazingUpg_Keys,0)),0))+INDEX(Hardware_Vals,MATCH("Windows",Hardware_Keys,0))</f>
        <v>4123.45465</v>
      </c>
      <c r="Q280" s="27" t="n">
        <f aca="false">INDEX(Markup_Vals,MATCH("Windows",MarkupCat_Keys,0))</f>
        <v>0.42</v>
      </c>
      <c r="R280" s="28" t="n">
        <f aca="false">P280*(1+Q280)</f>
        <v>5855.305603</v>
      </c>
      <c r="S280" s="28" t="n">
        <f aca="false">R280*(1-TradeDiscount)</f>
        <v>5152.66893064</v>
      </c>
      <c r="T280" s="28" t="n">
        <f aca="false">R280*(1-VolumeDiscount)</f>
        <v>4684.2444824</v>
      </c>
    </row>
    <row r="281" customFormat="false" ht="15" hidden="false" customHeight="false" outlineLevel="0" collapsed="false">
      <c r="A281" s="29" t="s">
        <v>765</v>
      </c>
      <c r="B281" s="29" t="s">
        <v>96</v>
      </c>
      <c r="C281" s="29" t="s">
        <v>42</v>
      </c>
      <c r="D281" s="29" t="s">
        <v>766</v>
      </c>
      <c r="E281" s="29" t="s">
        <v>683</v>
      </c>
      <c r="F281" s="29" t="s">
        <v>748</v>
      </c>
      <c r="G281" s="29" t="s">
        <v>38</v>
      </c>
      <c r="H281" s="29" t="s">
        <v>64</v>
      </c>
      <c r="I281" s="29" t="s">
        <v>190</v>
      </c>
      <c r="J281" s="29" t="s">
        <v>685</v>
      </c>
      <c r="K281" s="29" t="s">
        <v>192</v>
      </c>
      <c r="L281" s="29" t="s">
        <v>29</v>
      </c>
      <c r="M281" s="29" t="n">
        <v>1209</v>
      </c>
      <c r="N281" s="29" t="n">
        <v>1209</v>
      </c>
      <c r="O281" s="29"/>
      <c r="P281" s="30" t="n">
        <f aca="false">(M281*N281/1000000)*(INDEX(AreaRate_Vals,MATCH(C281,AreaRate_Keys,0))+IFERROR(INDEX(GlazingUpg_Vals,MATCH(H281,GlazingUpg_Keys,0)),0))+INDEX(Hardware_Vals,MATCH("Windows",Hardware_Keys,0))</f>
        <v>4123.45465</v>
      </c>
      <c r="Q281" s="31" t="n">
        <f aca="false">INDEX(Markup_Vals,MATCH("Windows",MarkupCat_Keys,0))</f>
        <v>0.42</v>
      </c>
      <c r="R281" s="32" t="n">
        <f aca="false">P281*(1+Q281)</f>
        <v>5855.305603</v>
      </c>
      <c r="S281" s="32" t="n">
        <f aca="false">R281*(1-TradeDiscount)</f>
        <v>5152.66893064</v>
      </c>
      <c r="T281" s="32" t="n">
        <f aca="false">R281*(1-VolumeDiscount)</f>
        <v>4684.2444824</v>
      </c>
    </row>
    <row r="282" customFormat="false" ht="15" hidden="false" customHeight="false" outlineLevel="0" collapsed="false">
      <c r="A282" s="25" t="s">
        <v>767</v>
      </c>
      <c r="B282" s="25" t="s">
        <v>96</v>
      </c>
      <c r="C282" s="25" t="s">
        <v>42</v>
      </c>
      <c r="D282" s="25" t="s">
        <v>768</v>
      </c>
      <c r="E282" s="25" t="s">
        <v>683</v>
      </c>
      <c r="F282" s="25" t="s">
        <v>769</v>
      </c>
      <c r="G282" s="25" t="s">
        <v>35</v>
      </c>
      <c r="H282" s="25" t="s">
        <v>63</v>
      </c>
      <c r="I282" s="25" t="s">
        <v>190</v>
      </c>
      <c r="J282" s="25" t="s">
        <v>685</v>
      </c>
      <c r="K282" s="25" t="s">
        <v>192</v>
      </c>
      <c r="L282" s="25" t="s">
        <v>29</v>
      </c>
      <c r="M282" s="25" t="n">
        <v>1209</v>
      </c>
      <c r="N282" s="25" t="n">
        <v>1509</v>
      </c>
      <c r="O282" s="25"/>
      <c r="P282" s="26" t="n">
        <f aca="false">(M282*N282/1000000)*(INDEX(AreaRate_Vals,MATCH(C282,AreaRate_Keys,0))+IFERROR(INDEX(GlazingUpg_Vals,MATCH(H282,GlazingUpg_Keys,0)),0))+INDEX(Hardware_Vals,MATCH("Windows",Hardware_Keys,0))</f>
        <v>4081.2001</v>
      </c>
      <c r="Q282" s="27" t="n">
        <f aca="false">INDEX(Markup_Vals,MATCH("Windows",MarkupCat_Keys,0))</f>
        <v>0.42</v>
      </c>
      <c r="R282" s="28" t="n">
        <f aca="false">P282*(1+Q282)</f>
        <v>5795.304142</v>
      </c>
      <c r="S282" s="28" t="n">
        <f aca="false">R282*(1-TradeDiscount)</f>
        <v>5099.86764496</v>
      </c>
      <c r="T282" s="28" t="n">
        <f aca="false">R282*(1-VolumeDiscount)</f>
        <v>4636.2433136</v>
      </c>
    </row>
    <row r="283" customFormat="false" ht="15" hidden="false" customHeight="false" outlineLevel="0" collapsed="false">
      <c r="A283" s="29" t="s">
        <v>770</v>
      </c>
      <c r="B283" s="29" t="s">
        <v>96</v>
      </c>
      <c r="C283" s="29" t="s">
        <v>42</v>
      </c>
      <c r="D283" s="29" t="s">
        <v>771</v>
      </c>
      <c r="E283" s="29" t="s">
        <v>683</v>
      </c>
      <c r="F283" s="29" t="s">
        <v>769</v>
      </c>
      <c r="G283" s="29" t="s">
        <v>36</v>
      </c>
      <c r="H283" s="29" t="s">
        <v>63</v>
      </c>
      <c r="I283" s="29" t="s">
        <v>190</v>
      </c>
      <c r="J283" s="29" t="s">
        <v>685</v>
      </c>
      <c r="K283" s="29" t="s">
        <v>192</v>
      </c>
      <c r="L283" s="29" t="s">
        <v>29</v>
      </c>
      <c r="M283" s="29" t="n">
        <v>1209</v>
      </c>
      <c r="N283" s="29" t="n">
        <v>1509</v>
      </c>
      <c r="O283" s="29"/>
      <c r="P283" s="30" t="n">
        <f aca="false">(M283*N283/1000000)*(INDEX(AreaRate_Vals,MATCH(C283,AreaRate_Keys,0))+IFERROR(INDEX(GlazingUpg_Vals,MATCH(H283,GlazingUpg_Keys,0)),0))+INDEX(Hardware_Vals,MATCH("Windows",Hardware_Keys,0))</f>
        <v>4081.2001</v>
      </c>
      <c r="Q283" s="31" t="n">
        <f aca="false">INDEX(Markup_Vals,MATCH("Windows",MarkupCat_Keys,0))</f>
        <v>0.42</v>
      </c>
      <c r="R283" s="32" t="n">
        <f aca="false">P283*(1+Q283)</f>
        <v>5795.304142</v>
      </c>
      <c r="S283" s="32" t="n">
        <f aca="false">R283*(1-TradeDiscount)</f>
        <v>5099.86764496</v>
      </c>
      <c r="T283" s="32" t="n">
        <f aca="false">R283*(1-VolumeDiscount)</f>
        <v>4636.2433136</v>
      </c>
    </row>
    <row r="284" customFormat="false" ht="15" hidden="false" customHeight="false" outlineLevel="0" collapsed="false">
      <c r="A284" s="25" t="s">
        <v>772</v>
      </c>
      <c r="B284" s="25" t="s">
        <v>96</v>
      </c>
      <c r="C284" s="25" t="s">
        <v>42</v>
      </c>
      <c r="D284" s="25" t="s">
        <v>773</v>
      </c>
      <c r="E284" s="25" t="s">
        <v>683</v>
      </c>
      <c r="F284" s="25" t="s">
        <v>769</v>
      </c>
      <c r="G284" s="25" t="s">
        <v>37</v>
      </c>
      <c r="H284" s="25" t="s">
        <v>63</v>
      </c>
      <c r="I284" s="25" t="s">
        <v>190</v>
      </c>
      <c r="J284" s="25" t="s">
        <v>685</v>
      </c>
      <c r="K284" s="25" t="s">
        <v>192</v>
      </c>
      <c r="L284" s="25" t="s">
        <v>29</v>
      </c>
      <c r="M284" s="25" t="n">
        <v>1209</v>
      </c>
      <c r="N284" s="25" t="n">
        <v>1509</v>
      </c>
      <c r="O284" s="25"/>
      <c r="P284" s="26" t="n">
        <f aca="false">(M284*N284/1000000)*(INDEX(AreaRate_Vals,MATCH(C284,AreaRate_Keys,0))+IFERROR(INDEX(GlazingUpg_Vals,MATCH(H284,GlazingUpg_Keys,0)),0))+INDEX(Hardware_Vals,MATCH("Windows",Hardware_Keys,0))</f>
        <v>4081.2001</v>
      </c>
      <c r="Q284" s="27" t="n">
        <f aca="false">INDEX(Markup_Vals,MATCH("Windows",MarkupCat_Keys,0))</f>
        <v>0.42</v>
      </c>
      <c r="R284" s="28" t="n">
        <f aca="false">P284*(1+Q284)</f>
        <v>5795.304142</v>
      </c>
      <c r="S284" s="28" t="n">
        <f aca="false">R284*(1-TradeDiscount)</f>
        <v>5099.86764496</v>
      </c>
      <c r="T284" s="28" t="n">
        <f aca="false">R284*(1-VolumeDiscount)</f>
        <v>4636.2433136</v>
      </c>
    </row>
    <row r="285" customFormat="false" ht="15" hidden="false" customHeight="false" outlineLevel="0" collapsed="false">
      <c r="A285" s="29" t="s">
        <v>774</v>
      </c>
      <c r="B285" s="29" t="s">
        <v>96</v>
      </c>
      <c r="C285" s="29" t="s">
        <v>42</v>
      </c>
      <c r="D285" s="29" t="s">
        <v>775</v>
      </c>
      <c r="E285" s="29" t="s">
        <v>683</v>
      </c>
      <c r="F285" s="29" t="s">
        <v>769</v>
      </c>
      <c r="G285" s="29" t="s">
        <v>39</v>
      </c>
      <c r="H285" s="29" t="s">
        <v>63</v>
      </c>
      <c r="I285" s="29" t="s">
        <v>190</v>
      </c>
      <c r="J285" s="29" t="s">
        <v>685</v>
      </c>
      <c r="K285" s="29" t="s">
        <v>192</v>
      </c>
      <c r="L285" s="29" t="s">
        <v>29</v>
      </c>
      <c r="M285" s="29" t="n">
        <v>1209</v>
      </c>
      <c r="N285" s="29" t="n">
        <v>1509</v>
      </c>
      <c r="O285" s="29"/>
      <c r="P285" s="30" t="n">
        <f aca="false">(M285*N285/1000000)*(INDEX(AreaRate_Vals,MATCH(C285,AreaRate_Keys,0))+IFERROR(INDEX(GlazingUpg_Vals,MATCH(H285,GlazingUpg_Keys,0)),0))+INDEX(Hardware_Vals,MATCH("Windows",Hardware_Keys,0))</f>
        <v>4081.2001</v>
      </c>
      <c r="Q285" s="31" t="n">
        <f aca="false">INDEX(Markup_Vals,MATCH("Windows",MarkupCat_Keys,0))</f>
        <v>0.42</v>
      </c>
      <c r="R285" s="32" t="n">
        <f aca="false">P285*(1+Q285)</f>
        <v>5795.304142</v>
      </c>
      <c r="S285" s="32" t="n">
        <f aca="false">R285*(1-TradeDiscount)</f>
        <v>5099.86764496</v>
      </c>
      <c r="T285" s="32" t="n">
        <f aca="false">R285*(1-VolumeDiscount)</f>
        <v>4636.2433136</v>
      </c>
    </row>
    <row r="286" customFormat="false" ht="15" hidden="false" customHeight="false" outlineLevel="0" collapsed="false">
      <c r="A286" s="25" t="s">
        <v>776</v>
      </c>
      <c r="B286" s="25" t="s">
        <v>96</v>
      </c>
      <c r="C286" s="25" t="s">
        <v>42</v>
      </c>
      <c r="D286" s="25" t="s">
        <v>777</v>
      </c>
      <c r="E286" s="25" t="s">
        <v>683</v>
      </c>
      <c r="F286" s="25" t="s">
        <v>769</v>
      </c>
      <c r="G286" s="25" t="s">
        <v>38</v>
      </c>
      <c r="H286" s="25" t="s">
        <v>63</v>
      </c>
      <c r="I286" s="25" t="s">
        <v>190</v>
      </c>
      <c r="J286" s="25" t="s">
        <v>685</v>
      </c>
      <c r="K286" s="25" t="s">
        <v>192</v>
      </c>
      <c r="L286" s="25" t="s">
        <v>29</v>
      </c>
      <c r="M286" s="25" t="n">
        <v>1209</v>
      </c>
      <c r="N286" s="25" t="n">
        <v>1509</v>
      </c>
      <c r="O286" s="25"/>
      <c r="P286" s="26" t="n">
        <f aca="false">(M286*N286/1000000)*(INDEX(AreaRate_Vals,MATCH(C286,AreaRate_Keys,0))+IFERROR(INDEX(GlazingUpg_Vals,MATCH(H286,GlazingUpg_Keys,0)),0))+INDEX(Hardware_Vals,MATCH("Windows",Hardware_Keys,0))</f>
        <v>4081.2001</v>
      </c>
      <c r="Q286" s="27" t="n">
        <f aca="false">INDEX(Markup_Vals,MATCH("Windows",MarkupCat_Keys,0))</f>
        <v>0.42</v>
      </c>
      <c r="R286" s="28" t="n">
        <f aca="false">P286*(1+Q286)</f>
        <v>5795.304142</v>
      </c>
      <c r="S286" s="28" t="n">
        <f aca="false">R286*(1-TradeDiscount)</f>
        <v>5099.86764496</v>
      </c>
      <c r="T286" s="28" t="n">
        <f aca="false">R286*(1-VolumeDiscount)</f>
        <v>4636.2433136</v>
      </c>
    </row>
    <row r="287" customFormat="false" ht="15" hidden="false" customHeight="false" outlineLevel="0" collapsed="false">
      <c r="A287" s="29" t="s">
        <v>778</v>
      </c>
      <c r="B287" s="29" t="s">
        <v>96</v>
      </c>
      <c r="C287" s="29" t="s">
        <v>42</v>
      </c>
      <c r="D287" s="29" t="s">
        <v>779</v>
      </c>
      <c r="E287" s="29" t="s">
        <v>683</v>
      </c>
      <c r="F287" s="29" t="s">
        <v>769</v>
      </c>
      <c r="G287" s="29" t="s">
        <v>35</v>
      </c>
      <c r="H287" s="29" t="s">
        <v>64</v>
      </c>
      <c r="I287" s="29" t="s">
        <v>190</v>
      </c>
      <c r="J287" s="29" t="s">
        <v>685</v>
      </c>
      <c r="K287" s="29" t="s">
        <v>192</v>
      </c>
      <c r="L287" s="29" t="s">
        <v>29</v>
      </c>
      <c r="M287" s="29" t="n">
        <v>1209</v>
      </c>
      <c r="N287" s="29" t="n">
        <v>1509</v>
      </c>
      <c r="O287" s="29"/>
      <c r="P287" s="30" t="n">
        <f aca="false">(M287*N287/1000000)*(INDEX(AreaRate_Vals,MATCH(C287,AreaRate_Keys,0))+IFERROR(INDEX(GlazingUpg_Vals,MATCH(H287,GlazingUpg_Keys,0)),0))+INDEX(Hardware_Vals,MATCH("Windows",Hardware_Keys,0))</f>
        <v>5084.60965</v>
      </c>
      <c r="Q287" s="31" t="n">
        <f aca="false">INDEX(Markup_Vals,MATCH("Windows",MarkupCat_Keys,0))</f>
        <v>0.42</v>
      </c>
      <c r="R287" s="32" t="n">
        <f aca="false">P287*(1+Q287)</f>
        <v>7220.145703</v>
      </c>
      <c r="S287" s="32" t="n">
        <f aca="false">R287*(1-TradeDiscount)</f>
        <v>6353.72821864</v>
      </c>
      <c r="T287" s="32" t="n">
        <f aca="false">R287*(1-VolumeDiscount)</f>
        <v>5776.1165624</v>
      </c>
    </row>
    <row r="288" customFormat="false" ht="15" hidden="false" customHeight="false" outlineLevel="0" collapsed="false">
      <c r="A288" s="25" t="s">
        <v>780</v>
      </c>
      <c r="B288" s="25" t="s">
        <v>96</v>
      </c>
      <c r="C288" s="25" t="s">
        <v>42</v>
      </c>
      <c r="D288" s="25" t="s">
        <v>781</v>
      </c>
      <c r="E288" s="25" t="s">
        <v>683</v>
      </c>
      <c r="F288" s="25" t="s">
        <v>769</v>
      </c>
      <c r="G288" s="25" t="s">
        <v>36</v>
      </c>
      <c r="H288" s="25" t="s">
        <v>64</v>
      </c>
      <c r="I288" s="25" t="s">
        <v>190</v>
      </c>
      <c r="J288" s="25" t="s">
        <v>685</v>
      </c>
      <c r="K288" s="25" t="s">
        <v>192</v>
      </c>
      <c r="L288" s="25" t="s">
        <v>29</v>
      </c>
      <c r="M288" s="25" t="n">
        <v>1209</v>
      </c>
      <c r="N288" s="25" t="n">
        <v>1509</v>
      </c>
      <c r="O288" s="25"/>
      <c r="P288" s="26" t="n">
        <f aca="false">(M288*N288/1000000)*(INDEX(AreaRate_Vals,MATCH(C288,AreaRate_Keys,0))+IFERROR(INDEX(GlazingUpg_Vals,MATCH(H288,GlazingUpg_Keys,0)),0))+INDEX(Hardware_Vals,MATCH("Windows",Hardware_Keys,0))</f>
        <v>5084.60965</v>
      </c>
      <c r="Q288" s="27" t="n">
        <f aca="false">INDEX(Markup_Vals,MATCH("Windows",MarkupCat_Keys,0))</f>
        <v>0.42</v>
      </c>
      <c r="R288" s="28" t="n">
        <f aca="false">P288*(1+Q288)</f>
        <v>7220.145703</v>
      </c>
      <c r="S288" s="28" t="n">
        <f aca="false">R288*(1-TradeDiscount)</f>
        <v>6353.72821864</v>
      </c>
      <c r="T288" s="28" t="n">
        <f aca="false">R288*(1-VolumeDiscount)</f>
        <v>5776.1165624</v>
      </c>
    </row>
    <row r="289" customFormat="false" ht="15" hidden="false" customHeight="false" outlineLevel="0" collapsed="false">
      <c r="A289" s="29" t="s">
        <v>782</v>
      </c>
      <c r="B289" s="29" t="s">
        <v>96</v>
      </c>
      <c r="C289" s="29" t="s">
        <v>42</v>
      </c>
      <c r="D289" s="29" t="s">
        <v>783</v>
      </c>
      <c r="E289" s="29" t="s">
        <v>683</v>
      </c>
      <c r="F289" s="29" t="s">
        <v>769</v>
      </c>
      <c r="G289" s="29" t="s">
        <v>37</v>
      </c>
      <c r="H289" s="29" t="s">
        <v>64</v>
      </c>
      <c r="I289" s="29" t="s">
        <v>190</v>
      </c>
      <c r="J289" s="29" t="s">
        <v>685</v>
      </c>
      <c r="K289" s="29" t="s">
        <v>192</v>
      </c>
      <c r="L289" s="29" t="s">
        <v>29</v>
      </c>
      <c r="M289" s="29" t="n">
        <v>1209</v>
      </c>
      <c r="N289" s="29" t="n">
        <v>1509</v>
      </c>
      <c r="O289" s="29"/>
      <c r="P289" s="30" t="n">
        <f aca="false">(M289*N289/1000000)*(INDEX(AreaRate_Vals,MATCH(C289,AreaRate_Keys,0))+IFERROR(INDEX(GlazingUpg_Vals,MATCH(H289,GlazingUpg_Keys,0)),0))+INDEX(Hardware_Vals,MATCH("Windows",Hardware_Keys,0))</f>
        <v>5084.60965</v>
      </c>
      <c r="Q289" s="31" t="n">
        <f aca="false">INDEX(Markup_Vals,MATCH("Windows",MarkupCat_Keys,0))</f>
        <v>0.42</v>
      </c>
      <c r="R289" s="32" t="n">
        <f aca="false">P289*(1+Q289)</f>
        <v>7220.145703</v>
      </c>
      <c r="S289" s="32" t="n">
        <f aca="false">R289*(1-TradeDiscount)</f>
        <v>6353.72821864</v>
      </c>
      <c r="T289" s="32" t="n">
        <f aca="false">R289*(1-VolumeDiscount)</f>
        <v>5776.1165624</v>
      </c>
    </row>
    <row r="290" customFormat="false" ht="15" hidden="false" customHeight="false" outlineLevel="0" collapsed="false">
      <c r="A290" s="25" t="s">
        <v>784</v>
      </c>
      <c r="B290" s="25" t="s">
        <v>96</v>
      </c>
      <c r="C290" s="25" t="s">
        <v>42</v>
      </c>
      <c r="D290" s="25" t="s">
        <v>785</v>
      </c>
      <c r="E290" s="25" t="s">
        <v>683</v>
      </c>
      <c r="F290" s="25" t="s">
        <v>769</v>
      </c>
      <c r="G290" s="25" t="s">
        <v>39</v>
      </c>
      <c r="H290" s="25" t="s">
        <v>64</v>
      </c>
      <c r="I290" s="25" t="s">
        <v>190</v>
      </c>
      <c r="J290" s="25" t="s">
        <v>685</v>
      </c>
      <c r="K290" s="25" t="s">
        <v>192</v>
      </c>
      <c r="L290" s="25" t="s">
        <v>29</v>
      </c>
      <c r="M290" s="25" t="n">
        <v>1209</v>
      </c>
      <c r="N290" s="25" t="n">
        <v>1509</v>
      </c>
      <c r="O290" s="25"/>
      <c r="P290" s="26" t="n">
        <f aca="false">(M290*N290/1000000)*(INDEX(AreaRate_Vals,MATCH(C290,AreaRate_Keys,0))+IFERROR(INDEX(GlazingUpg_Vals,MATCH(H290,GlazingUpg_Keys,0)),0))+INDEX(Hardware_Vals,MATCH("Windows",Hardware_Keys,0))</f>
        <v>5084.60965</v>
      </c>
      <c r="Q290" s="27" t="n">
        <f aca="false">INDEX(Markup_Vals,MATCH("Windows",MarkupCat_Keys,0))</f>
        <v>0.42</v>
      </c>
      <c r="R290" s="28" t="n">
        <f aca="false">P290*(1+Q290)</f>
        <v>7220.145703</v>
      </c>
      <c r="S290" s="28" t="n">
        <f aca="false">R290*(1-TradeDiscount)</f>
        <v>6353.72821864</v>
      </c>
      <c r="T290" s="28" t="n">
        <f aca="false">R290*(1-VolumeDiscount)</f>
        <v>5776.1165624</v>
      </c>
    </row>
    <row r="291" customFormat="false" ht="15" hidden="false" customHeight="false" outlineLevel="0" collapsed="false">
      <c r="A291" s="29" t="s">
        <v>786</v>
      </c>
      <c r="B291" s="29" t="s">
        <v>96</v>
      </c>
      <c r="C291" s="29" t="s">
        <v>42</v>
      </c>
      <c r="D291" s="29" t="s">
        <v>787</v>
      </c>
      <c r="E291" s="29" t="s">
        <v>683</v>
      </c>
      <c r="F291" s="29" t="s">
        <v>769</v>
      </c>
      <c r="G291" s="29" t="s">
        <v>38</v>
      </c>
      <c r="H291" s="29" t="s">
        <v>64</v>
      </c>
      <c r="I291" s="29" t="s">
        <v>190</v>
      </c>
      <c r="J291" s="29" t="s">
        <v>685</v>
      </c>
      <c r="K291" s="29" t="s">
        <v>192</v>
      </c>
      <c r="L291" s="29" t="s">
        <v>29</v>
      </c>
      <c r="M291" s="29" t="n">
        <v>1209</v>
      </c>
      <c r="N291" s="29" t="n">
        <v>1509</v>
      </c>
      <c r="O291" s="29"/>
      <c r="P291" s="30" t="n">
        <f aca="false">(M291*N291/1000000)*(INDEX(AreaRate_Vals,MATCH(C291,AreaRate_Keys,0))+IFERROR(INDEX(GlazingUpg_Vals,MATCH(H291,GlazingUpg_Keys,0)),0))+INDEX(Hardware_Vals,MATCH("Windows",Hardware_Keys,0))</f>
        <v>5084.60965</v>
      </c>
      <c r="Q291" s="31" t="n">
        <f aca="false">INDEX(Markup_Vals,MATCH("Windows",MarkupCat_Keys,0))</f>
        <v>0.42</v>
      </c>
      <c r="R291" s="32" t="n">
        <f aca="false">P291*(1+Q291)</f>
        <v>7220.145703</v>
      </c>
      <c r="S291" s="32" t="n">
        <f aca="false">R291*(1-TradeDiscount)</f>
        <v>6353.72821864</v>
      </c>
      <c r="T291" s="32" t="n">
        <f aca="false">R291*(1-VolumeDiscount)</f>
        <v>5776.1165624</v>
      </c>
    </row>
    <row r="292" customFormat="false" ht="15" hidden="false" customHeight="false" outlineLevel="0" collapsed="false">
      <c r="A292" s="25" t="s">
        <v>788</v>
      </c>
      <c r="B292" s="25" t="s">
        <v>96</v>
      </c>
      <c r="C292" s="25" t="s">
        <v>42</v>
      </c>
      <c r="D292" s="25" t="s">
        <v>789</v>
      </c>
      <c r="E292" s="25" t="s">
        <v>683</v>
      </c>
      <c r="F292" s="25" t="s">
        <v>276</v>
      </c>
      <c r="G292" s="25" t="s">
        <v>35</v>
      </c>
      <c r="H292" s="25" t="s">
        <v>63</v>
      </c>
      <c r="I292" s="25" t="s">
        <v>190</v>
      </c>
      <c r="J292" s="25" t="s">
        <v>685</v>
      </c>
      <c r="K292" s="25" t="s">
        <v>298</v>
      </c>
      <c r="L292" s="25" t="s">
        <v>29</v>
      </c>
      <c r="M292" s="25" t="n">
        <v>1809</v>
      </c>
      <c r="N292" s="25" t="n">
        <v>1209</v>
      </c>
      <c r="O292" s="25"/>
      <c r="P292" s="26" t="n">
        <f aca="false">(M292*N292/1000000)*(INDEX(AreaRate_Vals,MATCH(C292,AreaRate_Keys,0))+IFERROR(INDEX(GlazingUpg_Vals,MATCH(H292,GlazingUpg_Keys,0)),0))+INDEX(Hardware_Vals,MATCH("Windows",Hardware_Keys,0))</f>
        <v>4842.8701</v>
      </c>
      <c r="Q292" s="27" t="n">
        <f aca="false">INDEX(Markup_Vals,MATCH("Windows",MarkupCat_Keys,0))</f>
        <v>0.42</v>
      </c>
      <c r="R292" s="28" t="n">
        <f aca="false">P292*(1+Q292)</f>
        <v>6876.875542</v>
      </c>
      <c r="S292" s="28" t="n">
        <f aca="false">R292*(1-TradeDiscount)</f>
        <v>6051.65047696</v>
      </c>
      <c r="T292" s="28" t="n">
        <f aca="false">R292*(1-VolumeDiscount)</f>
        <v>5501.5004336</v>
      </c>
    </row>
    <row r="293" customFormat="false" ht="15" hidden="false" customHeight="false" outlineLevel="0" collapsed="false">
      <c r="A293" s="29" t="s">
        <v>790</v>
      </c>
      <c r="B293" s="29" t="s">
        <v>96</v>
      </c>
      <c r="C293" s="29" t="s">
        <v>42</v>
      </c>
      <c r="D293" s="29" t="s">
        <v>791</v>
      </c>
      <c r="E293" s="29" t="s">
        <v>683</v>
      </c>
      <c r="F293" s="29" t="s">
        <v>276</v>
      </c>
      <c r="G293" s="29" t="s">
        <v>36</v>
      </c>
      <c r="H293" s="29" t="s">
        <v>63</v>
      </c>
      <c r="I293" s="29" t="s">
        <v>190</v>
      </c>
      <c r="J293" s="29" t="s">
        <v>685</v>
      </c>
      <c r="K293" s="29" t="s">
        <v>298</v>
      </c>
      <c r="L293" s="29" t="s">
        <v>29</v>
      </c>
      <c r="M293" s="29" t="n">
        <v>1809</v>
      </c>
      <c r="N293" s="29" t="n">
        <v>1209</v>
      </c>
      <c r="O293" s="29"/>
      <c r="P293" s="30" t="n">
        <f aca="false">(M293*N293/1000000)*(INDEX(AreaRate_Vals,MATCH(C293,AreaRate_Keys,0))+IFERROR(INDEX(GlazingUpg_Vals,MATCH(H293,GlazingUpg_Keys,0)),0))+INDEX(Hardware_Vals,MATCH("Windows",Hardware_Keys,0))</f>
        <v>4842.8701</v>
      </c>
      <c r="Q293" s="31" t="n">
        <f aca="false">INDEX(Markup_Vals,MATCH("Windows",MarkupCat_Keys,0))</f>
        <v>0.42</v>
      </c>
      <c r="R293" s="32" t="n">
        <f aca="false">P293*(1+Q293)</f>
        <v>6876.875542</v>
      </c>
      <c r="S293" s="32" t="n">
        <f aca="false">R293*(1-TradeDiscount)</f>
        <v>6051.65047696</v>
      </c>
      <c r="T293" s="32" t="n">
        <f aca="false">R293*(1-VolumeDiscount)</f>
        <v>5501.5004336</v>
      </c>
    </row>
    <row r="294" customFormat="false" ht="15" hidden="false" customHeight="false" outlineLevel="0" collapsed="false">
      <c r="A294" s="25" t="s">
        <v>792</v>
      </c>
      <c r="B294" s="25" t="s">
        <v>96</v>
      </c>
      <c r="C294" s="25" t="s">
        <v>42</v>
      </c>
      <c r="D294" s="25" t="s">
        <v>793</v>
      </c>
      <c r="E294" s="25" t="s">
        <v>683</v>
      </c>
      <c r="F294" s="25" t="s">
        <v>276</v>
      </c>
      <c r="G294" s="25" t="s">
        <v>37</v>
      </c>
      <c r="H294" s="25" t="s">
        <v>63</v>
      </c>
      <c r="I294" s="25" t="s">
        <v>190</v>
      </c>
      <c r="J294" s="25" t="s">
        <v>685</v>
      </c>
      <c r="K294" s="25" t="s">
        <v>298</v>
      </c>
      <c r="L294" s="25" t="s">
        <v>29</v>
      </c>
      <c r="M294" s="25" t="n">
        <v>1809</v>
      </c>
      <c r="N294" s="25" t="n">
        <v>1209</v>
      </c>
      <c r="O294" s="25"/>
      <c r="P294" s="26" t="n">
        <f aca="false">(M294*N294/1000000)*(INDEX(AreaRate_Vals,MATCH(C294,AreaRate_Keys,0))+IFERROR(INDEX(GlazingUpg_Vals,MATCH(H294,GlazingUpg_Keys,0)),0))+INDEX(Hardware_Vals,MATCH("Windows",Hardware_Keys,0))</f>
        <v>4842.8701</v>
      </c>
      <c r="Q294" s="27" t="n">
        <f aca="false">INDEX(Markup_Vals,MATCH("Windows",MarkupCat_Keys,0))</f>
        <v>0.42</v>
      </c>
      <c r="R294" s="28" t="n">
        <f aca="false">P294*(1+Q294)</f>
        <v>6876.875542</v>
      </c>
      <c r="S294" s="28" t="n">
        <f aca="false">R294*(1-TradeDiscount)</f>
        <v>6051.65047696</v>
      </c>
      <c r="T294" s="28" t="n">
        <f aca="false">R294*(1-VolumeDiscount)</f>
        <v>5501.5004336</v>
      </c>
    </row>
    <row r="295" customFormat="false" ht="15" hidden="false" customHeight="false" outlineLevel="0" collapsed="false">
      <c r="A295" s="29" t="s">
        <v>794</v>
      </c>
      <c r="B295" s="29" t="s">
        <v>96</v>
      </c>
      <c r="C295" s="29" t="s">
        <v>42</v>
      </c>
      <c r="D295" s="29" t="s">
        <v>795</v>
      </c>
      <c r="E295" s="29" t="s">
        <v>683</v>
      </c>
      <c r="F295" s="29" t="s">
        <v>276</v>
      </c>
      <c r="G295" s="29" t="s">
        <v>39</v>
      </c>
      <c r="H295" s="29" t="s">
        <v>63</v>
      </c>
      <c r="I295" s="29" t="s">
        <v>190</v>
      </c>
      <c r="J295" s="29" t="s">
        <v>685</v>
      </c>
      <c r="K295" s="29" t="s">
        <v>298</v>
      </c>
      <c r="L295" s="29" t="s">
        <v>29</v>
      </c>
      <c r="M295" s="29" t="n">
        <v>1809</v>
      </c>
      <c r="N295" s="29" t="n">
        <v>1209</v>
      </c>
      <c r="O295" s="29"/>
      <c r="P295" s="30" t="n">
        <f aca="false">(M295*N295/1000000)*(INDEX(AreaRate_Vals,MATCH(C295,AreaRate_Keys,0))+IFERROR(INDEX(GlazingUpg_Vals,MATCH(H295,GlazingUpg_Keys,0)),0))+INDEX(Hardware_Vals,MATCH("Windows",Hardware_Keys,0))</f>
        <v>4842.8701</v>
      </c>
      <c r="Q295" s="31" t="n">
        <f aca="false">INDEX(Markup_Vals,MATCH("Windows",MarkupCat_Keys,0))</f>
        <v>0.42</v>
      </c>
      <c r="R295" s="32" t="n">
        <f aca="false">P295*(1+Q295)</f>
        <v>6876.875542</v>
      </c>
      <c r="S295" s="32" t="n">
        <f aca="false">R295*(1-TradeDiscount)</f>
        <v>6051.65047696</v>
      </c>
      <c r="T295" s="32" t="n">
        <f aca="false">R295*(1-VolumeDiscount)</f>
        <v>5501.5004336</v>
      </c>
    </row>
    <row r="296" customFormat="false" ht="15" hidden="false" customHeight="false" outlineLevel="0" collapsed="false">
      <c r="A296" s="25" t="s">
        <v>796</v>
      </c>
      <c r="B296" s="25" t="s">
        <v>96</v>
      </c>
      <c r="C296" s="25" t="s">
        <v>42</v>
      </c>
      <c r="D296" s="25" t="s">
        <v>797</v>
      </c>
      <c r="E296" s="25" t="s">
        <v>683</v>
      </c>
      <c r="F296" s="25" t="s">
        <v>276</v>
      </c>
      <c r="G296" s="25" t="s">
        <v>38</v>
      </c>
      <c r="H296" s="25" t="s">
        <v>63</v>
      </c>
      <c r="I296" s="25" t="s">
        <v>190</v>
      </c>
      <c r="J296" s="25" t="s">
        <v>685</v>
      </c>
      <c r="K296" s="25" t="s">
        <v>298</v>
      </c>
      <c r="L296" s="25" t="s">
        <v>29</v>
      </c>
      <c r="M296" s="25" t="n">
        <v>1809</v>
      </c>
      <c r="N296" s="25" t="n">
        <v>1209</v>
      </c>
      <c r="O296" s="25"/>
      <c r="P296" s="26" t="n">
        <f aca="false">(M296*N296/1000000)*(INDEX(AreaRate_Vals,MATCH(C296,AreaRate_Keys,0))+IFERROR(INDEX(GlazingUpg_Vals,MATCH(H296,GlazingUpg_Keys,0)),0))+INDEX(Hardware_Vals,MATCH("Windows",Hardware_Keys,0))</f>
        <v>4842.8701</v>
      </c>
      <c r="Q296" s="27" t="n">
        <f aca="false">INDEX(Markup_Vals,MATCH("Windows",MarkupCat_Keys,0))</f>
        <v>0.42</v>
      </c>
      <c r="R296" s="28" t="n">
        <f aca="false">P296*(1+Q296)</f>
        <v>6876.875542</v>
      </c>
      <c r="S296" s="28" t="n">
        <f aca="false">R296*(1-TradeDiscount)</f>
        <v>6051.65047696</v>
      </c>
      <c r="T296" s="28" t="n">
        <f aca="false">R296*(1-VolumeDiscount)</f>
        <v>5501.5004336</v>
      </c>
    </row>
    <row r="297" customFormat="false" ht="15" hidden="false" customHeight="false" outlineLevel="0" collapsed="false">
      <c r="A297" s="29" t="s">
        <v>798</v>
      </c>
      <c r="B297" s="29" t="s">
        <v>96</v>
      </c>
      <c r="C297" s="29" t="s">
        <v>42</v>
      </c>
      <c r="D297" s="29" t="s">
        <v>799</v>
      </c>
      <c r="E297" s="29" t="s">
        <v>683</v>
      </c>
      <c r="F297" s="29" t="s">
        <v>276</v>
      </c>
      <c r="G297" s="29" t="s">
        <v>35</v>
      </c>
      <c r="H297" s="29" t="s">
        <v>64</v>
      </c>
      <c r="I297" s="29" t="s">
        <v>190</v>
      </c>
      <c r="J297" s="29" t="s">
        <v>685</v>
      </c>
      <c r="K297" s="29" t="s">
        <v>298</v>
      </c>
      <c r="L297" s="29" t="s">
        <v>29</v>
      </c>
      <c r="M297" s="29" t="n">
        <v>1809</v>
      </c>
      <c r="N297" s="29" t="n">
        <v>1209</v>
      </c>
      <c r="O297" s="29"/>
      <c r="P297" s="30" t="n">
        <f aca="false">(M297*N297/1000000)*(INDEX(AreaRate_Vals,MATCH(C297,AreaRate_Keys,0))+IFERROR(INDEX(GlazingUpg_Vals,MATCH(H297,GlazingUpg_Keys,0)),0))+INDEX(Hardware_Vals,MATCH("Windows",Hardware_Keys,0))</f>
        <v>6045.76465</v>
      </c>
      <c r="Q297" s="31" t="n">
        <f aca="false">INDEX(Markup_Vals,MATCH("Windows",MarkupCat_Keys,0))</f>
        <v>0.42</v>
      </c>
      <c r="R297" s="32" t="n">
        <f aca="false">P297*(1+Q297)</f>
        <v>8584.985803</v>
      </c>
      <c r="S297" s="32" t="n">
        <f aca="false">R297*(1-TradeDiscount)</f>
        <v>7554.78750664</v>
      </c>
      <c r="T297" s="32" t="n">
        <f aca="false">R297*(1-VolumeDiscount)</f>
        <v>6867.9886424</v>
      </c>
    </row>
    <row r="298" customFormat="false" ht="15" hidden="false" customHeight="false" outlineLevel="0" collapsed="false">
      <c r="A298" s="25" t="s">
        <v>800</v>
      </c>
      <c r="B298" s="25" t="s">
        <v>96</v>
      </c>
      <c r="C298" s="25" t="s">
        <v>42</v>
      </c>
      <c r="D298" s="25" t="s">
        <v>801</v>
      </c>
      <c r="E298" s="25" t="s">
        <v>683</v>
      </c>
      <c r="F298" s="25" t="s">
        <v>276</v>
      </c>
      <c r="G298" s="25" t="s">
        <v>36</v>
      </c>
      <c r="H298" s="25" t="s">
        <v>64</v>
      </c>
      <c r="I298" s="25" t="s">
        <v>190</v>
      </c>
      <c r="J298" s="25" t="s">
        <v>685</v>
      </c>
      <c r="K298" s="25" t="s">
        <v>298</v>
      </c>
      <c r="L298" s="25" t="s">
        <v>29</v>
      </c>
      <c r="M298" s="25" t="n">
        <v>1809</v>
      </c>
      <c r="N298" s="25" t="n">
        <v>1209</v>
      </c>
      <c r="O298" s="25"/>
      <c r="P298" s="26" t="n">
        <f aca="false">(M298*N298/1000000)*(INDEX(AreaRate_Vals,MATCH(C298,AreaRate_Keys,0))+IFERROR(INDEX(GlazingUpg_Vals,MATCH(H298,GlazingUpg_Keys,0)),0))+INDEX(Hardware_Vals,MATCH("Windows",Hardware_Keys,0))</f>
        <v>6045.76465</v>
      </c>
      <c r="Q298" s="27" t="n">
        <f aca="false">INDEX(Markup_Vals,MATCH("Windows",MarkupCat_Keys,0))</f>
        <v>0.42</v>
      </c>
      <c r="R298" s="28" t="n">
        <f aca="false">P298*(1+Q298)</f>
        <v>8584.985803</v>
      </c>
      <c r="S298" s="28" t="n">
        <f aca="false">R298*(1-TradeDiscount)</f>
        <v>7554.78750664</v>
      </c>
      <c r="T298" s="28" t="n">
        <f aca="false">R298*(1-VolumeDiscount)</f>
        <v>6867.9886424</v>
      </c>
    </row>
    <row r="299" customFormat="false" ht="15" hidden="false" customHeight="false" outlineLevel="0" collapsed="false">
      <c r="A299" s="29" t="s">
        <v>802</v>
      </c>
      <c r="B299" s="29" t="s">
        <v>96</v>
      </c>
      <c r="C299" s="29" t="s">
        <v>42</v>
      </c>
      <c r="D299" s="29" t="s">
        <v>803</v>
      </c>
      <c r="E299" s="29" t="s">
        <v>683</v>
      </c>
      <c r="F299" s="29" t="s">
        <v>276</v>
      </c>
      <c r="G299" s="29" t="s">
        <v>37</v>
      </c>
      <c r="H299" s="29" t="s">
        <v>64</v>
      </c>
      <c r="I299" s="29" t="s">
        <v>190</v>
      </c>
      <c r="J299" s="29" t="s">
        <v>685</v>
      </c>
      <c r="K299" s="29" t="s">
        <v>298</v>
      </c>
      <c r="L299" s="29" t="s">
        <v>29</v>
      </c>
      <c r="M299" s="29" t="n">
        <v>1809</v>
      </c>
      <c r="N299" s="29" t="n">
        <v>1209</v>
      </c>
      <c r="O299" s="29"/>
      <c r="P299" s="30" t="n">
        <f aca="false">(M299*N299/1000000)*(INDEX(AreaRate_Vals,MATCH(C299,AreaRate_Keys,0))+IFERROR(INDEX(GlazingUpg_Vals,MATCH(H299,GlazingUpg_Keys,0)),0))+INDEX(Hardware_Vals,MATCH("Windows",Hardware_Keys,0))</f>
        <v>6045.76465</v>
      </c>
      <c r="Q299" s="31" t="n">
        <f aca="false">INDEX(Markup_Vals,MATCH("Windows",MarkupCat_Keys,0))</f>
        <v>0.42</v>
      </c>
      <c r="R299" s="32" t="n">
        <f aca="false">P299*(1+Q299)</f>
        <v>8584.985803</v>
      </c>
      <c r="S299" s="32" t="n">
        <f aca="false">R299*(1-TradeDiscount)</f>
        <v>7554.78750664</v>
      </c>
      <c r="T299" s="32" t="n">
        <f aca="false">R299*(1-VolumeDiscount)</f>
        <v>6867.9886424</v>
      </c>
    </row>
    <row r="300" customFormat="false" ht="15" hidden="false" customHeight="false" outlineLevel="0" collapsed="false">
      <c r="A300" s="25" t="s">
        <v>804</v>
      </c>
      <c r="B300" s="25" t="s">
        <v>96</v>
      </c>
      <c r="C300" s="25" t="s">
        <v>42</v>
      </c>
      <c r="D300" s="25" t="s">
        <v>805</v>
      </c>
      <c r="E300" s="25" t="s">
        <v>683</v>
      </c>
      <c r="F300" s="25" t="s">
        <v>276</v>
      </c>
      <c r="G300" s="25" t="s">
        <v>39</v>
      </c>
      <c r="H300" s="25" t="s">
        <v>64</v>
      </c>
      <c r="I300" s="25" t="s">
        <v>190</v>
      </c>
      <c r="J300" s="25" t="s">
        <v>685</v>
      </c>
      <c r="K300" s="25" t="s">
        <v>298</v>
      </c>
      <c r="L300" s="25" t="s">
        <v>29</v>
      </c>
      <c r="M300" s="25" t="n">
        <v>1809</v>
      </c>
      <c r="N300" s="25" t="n">
        <v>1209</v>
      </c>
      <c r="O300" s="25"/>
      <c r="P300" s="26" t="n">
        <f aca="false">(M300*N300/1000000)*(INDEX(AreaRate_Vals,MATCH(C300,AreaRate_Keys,0))+IFERROR(INDEX(GlazingUpg_Vals,MATCH(H300,GlazingUpg_Keys,0)),0))+INDEX(Hardware_Vals,MATCH("Windows",Hardware_Keys,0))</f>
        <v>6045.76465</v>
      </c>
      <c r="Q300" s="27" t="n">
        <f aca="false">INDEX(Markup_Vals,MATCH("Windows",MarkupCat_Keys,0))</f>
        <v>0.42</v>
      </c>
      <c r="R300" s="28" t="n">
        <f aca="false">P300*(1+Q300)</f>
        <v>8584.985803</v>
      </c>
      <c r="S300" s="28" t="n">
        <f aca="false">R300*(1-TradeDiscount)</f>
        <v>7554.78750664</v>
      </c>
      <c r="T300" s="28" t="n">
        <f aca="false">R300*(1-VolumeDiscount)</f>
        <v>6867.9886424</v>
      </c>
    </row>
    <row r="301" customFormat="false" ht="15" hidden="false" customHeight="false" outlineLevel="0" collapsed="false">
      <c r="A301" s="29" t="s">
        <v>806</v>
      </c>
      <c r="B301" s="29" t="s">
        <v>96</v>
      </c>
      <c r="C301" s="29" t="s">
        <v>42</v>
      </c>
      <c r="D301" s="29" t="s">
        <v>807</v>
      </c>
      <c r="E301" s="29" t="s">
        <v>683</v>
      </c>
      <c r="F301" s="29" t="s">
        <v>276</v>
      </c>
      <c r="G301" s="29" t="s">
        <v>38</v>
      </c>
      <c r="H301" s="29" t="s">
        <v>64</v>
      </c>
      <c r="I301" s="29" t="s">
        <v>190</v>
      </c>
      <c r="J301" s="29" t="s">
        <v>685</v>
      </c>
      <c r="K301" s="29" t="s">
        <v>298</v>
      </c>
      <c r="L301" s="29" t="s">
        <v>29</v>
      </c>
      <c r="M301" s="29" t="n">
        <v>1809</v>
      </c>
      <c r="N301" s="29" t="n">
        <v>1209</v>
      </c>
      <c r="O301" s="29"/>
      <c r="P301" s="30" t="n">
        <f aca="false">(M301*N301/1000000)*(INDEX(AreaRate_Vals,MATCH(C301,AreaRate_Keys,0))+IFERROR(INDEX(GlazingUpg_Vals,MATCH(H301,GlazingUpg_Keys,0)),0))+INDEX(Hardware_Vals,MATCH("Windows",Hardware_Keys,0))</f>
        <v>6045.76465</v>
      </c>
      <c r="Q301" s="31" t="n">
        <f aca="false">INDEX(Markup_Vals,MATCH("Windows",MarkupCat_Keys,0))</f>
        <v>0.42</v>
      </c>
      <c r="R301" s="32" t="n">
        <f aca="false">P301*(1+Q301)</f>
        <v>8584.985803</v>
      </c>
      <c r="S301" s="32" t="n">
        <f aca="false">R301*(1-TradeDiscount)</f>
        <v>7554.78750664</v>
      </c>
      <c r="T301" s="32" t="n">
        <f aca="false">R301*(1-VolumeDiscount)</f>
        <v>6867.9886424</v>
      </c>
    </row>
    <row r="302" customFormat="false" ht="15" hidden="false" customHeight="false" outlineLevel="0" collapsed="false">
      <c r="A302" s="25" t="s">
        <v>808</v>
      </c>
      <c r="B302" s="25" t="s">
        <v>96</v>
      </c>
      <c r="C302" s="25" t="s">
        <v>42</v>
      </c>
      <c r="D302" s="25" t="s">
        <v>809</v>
      </c>
      <c r="E302" s="25" t="s">
        <v>683</v>
      </c>
      <c r="F302" s="25" t="s">
        <v>810</v>
      </c>
      <c r="G302" s="25" t="s">
        <v>35</v>
      </c>
      <c r="H302" s="25" t="s">
        <v>63</v>
      </c>
      <c r="I302" s="25" t="s">
        <v>190</v>
      </c>
      <c r="J302" s="25" t="s">
        <v>685</v>
      </c>
      <c r="K302" s="25" t="s">
        <v>298</v>
      </c>
      <c r="L302" s="25" t="s">
        <v>29</v>
      </c>
      <c r="M302" s="25" t="n">
        <v>1809</v>
      </c>
      <c r="N302" s="25" t="n">
        <v>1509</v>
      </c>
      <c r="O302" s="25"/>
      <c r="P302" s="26" t="n">
        <f aca="false">(M302*N302/1000000)*(INDEX(AreaRate_Vals,MATCH(C302,AreaRate_Keys,0))+IFERROR(INDEX(GlazingUpg_Vals,MATCH(H302,GlazingUpg_Keys,0)),0))+INDEX(Hardware_Vals,MATCH("Windows",Hardware_Keys,0))</f>
        <v>5982.5401</v>
      </c>
      <c r="Q302" s="27" t="n">
        <f aca="false">INDEX(Markup_Vals,MATCH("Windows",MarkupCat_Keys,0))</f>
        <v>0.42</v>
      </c>
      <c r="R302" s="28" t="n">
        <f aca="false">P302*(1+Q302)</f>
        <v>8495.206942</v>
      </c>
      <c r="S302" s="28" t="n">
        <f aca="false">R302*(1-TradeDiscount)</f>
        <v>7475.78210896</v>
      </c>
      <c r="T302" s="28" t="n">
        <f aca="false">R302*(1-VolumeDiscount)</f>
        <v>6796.1655536</v>
      </c>
    </row>
    <row r="303" customFormat="false" ht="15" hidden="false" customHeight="false" outlineLevel="0" collapsed="false">
      <c r="A303" s="29" t="s">
        <v>811</v>
      </c>
      <c r="B303" s="29" t="s">
        <v>96</v>
      </c>
      <c r="C303" s="29" t="s">
        <v>42</v>
      </c>
      <c r="D303" s="29" t="s">
        <v>812</v>
      </c>
      <c r="E303" s="29" t="s">
        <v>683</v>
      </c>
      <c r="F303" s="29" t="s">
        <v>810</v>
      </c>
      <c r="G303" s="29" t="s">
        <v>36</v>
      </c>
      <c r="H303" s="29" t="s">
        <v>63</v>
      </c>
      <c r="I303" s="29" t="s">
        <v>190</v>
      </c>
      <c r="J303" s="29" t="s">
        <v>685</v>
      </c>
      <c r="K303" s="29" t="s">
        <v>298</v>
      </c>
      <c r="L303" s="29" t="s">
        <v>29</v>
      </c>
      <c r="M303" s="29" t="n">
        <v>1809</v>
      </c>
      <c r="N303" s="29" t="n">
        <v>1509</v>
      </c>
      <c r="O303" s="29"/>
      <c r="P303" s="30" t="n">
        <f aca="false">(M303*N303/1000000)*(INDEX(AreaRate_Vals,MATCH(C303,AreaRate_Keys,0))+IFERROR(INDEX(GlazingUpg_Vals,MATCH(H303,GlazingUpg_Keys,0)),0))+INDEX(Hardware_Vals,MATCH("Windows",Hardware_Keys,0))</f>
        <v>5982.5401</v>
      </c>
      <c r="Q303" s="31" t="n">
        <f aca="false">INDEX(Markup_Vals,MATCH("Windows",MarkupCat_Keys,0))</f>
        <v>0.42</v>
      </c>
      <c r="R303" s="32" t="n">
        <f aca="false">P303*(1+Q303)</f>
        <v>8495.206942</v>
      </c>
      <c r="S303" s="32" t="n">
        <f aca="false">R303*(1-TradeDiscount)</f>
        <v>7475.78210896</v>
      </c>
      <c r="T303" s="32" t="n">
        <f aca="false">R303*(1-VolumeDiscount)</f>
        <v>6796.1655536</v>
      </c>
    </row>
    <row r="304" customFormat="false" ht="15" hidden="false" customHeight="false" outlineLevel="0" collapsed="false">
      <c r="A304" s="25" t="s">
        <v>813</v>
      </c>
      <c r="B304" s="25" t="s">
        <v>96</v>
      </c>
      <c r="C304" s="25" t="s">
        <v>42</v>
      </c>
      <c r="D304" s="25" t="s">
        <v>814</v>
      </c>
      <c r="E304" s="25" t="s">
        <v>683</v>
      </c>
      <c r="F304" s="25" t="s">
        <v>810</v>
      </c>
      <c r="G304" s="25" t="s">
        <v>37</v>
      </c>
      <c r="H304" s="25" t="s">
        <v>63</v>
      </c>
      <c r="I304" s="25" t="s">
        <v>190</v>
      </c>
      <c r="J304" s="25" t="s">
        <v>685</v>
      </c>
      <c r="K304" s="25" t="s">
        <v>298</v>
      </c>
      <c r="L304" s="25" t="s">
        <v>29</v>
      </c>
      <c r="M304" s="25" t="n">
        <v>1809</v>
      </c>
      <c r="N304" s="25" t="n">
        <v>1509</v>
      </c>
      <c r="O304" s="25"/>
      <c r="P304" s="26" t="n">
        <f aca="false">(M304*N304/1000000)*(INDEX(AreaRate_Vals,MATCH(C304,AreaRate_Keys,0))+IFERROR(INDEX(GlazingUpg_Vals,MATCH(H304,GlazingUpg_Keys,0)),0))+INDEX(Hardware_Vals,MATCH("Windows",Hardware_Keys,0))</f>
        <v>5982.5401</v>
      </c>
      <c r="Q304" s="27" t="n">
        <f aca="false">INDEX(Markup_Vals,MATCH("Windows",MarkupCat_Keys,0))</f>
        <v>0.42</v>
      </c>
      <c r="R304" s="28" t="n">
        <f aca="false">P304*(1+Q304)</f>
        <v>8495.206942</v>
      </c>
      <c r="S304" s="28" t="n">
        <f aca="false">R304*(1-TradeDiscount)</f>
        <v>7475.78210896</v>
      </c>
      <c r="T304" s="28" t="n">
        <f aca="false">R304*(1-VolumeDiscount)</f>
        <v>6796.1655536</v>
      </c>
    </row>
    <row r="305" customFormat="false" ht="15" hidden="false" customHeight="false" outlineLevel="0" collapsed="false">
      <c r="A305" s="29" t="s">
        <v>815</v>
      </c>
      <c r="B305" s="29" t="s">
        <v>96</v>
      </c>
      <c r="C305" s="29" t="s">
        <v>42</v>
      </c>
      <c r="D305" s="29" t="s">
        <v>816</v>
      </c>
      <c r="E305" s="29" t="s">
        <v>683</v>
      </c>
      <c r="F305" s="29" t="s">
        <v>810</v>
      </c>
      <c r="G305" s="29" t="s">
        <v>39</v>
      </c>
      <c r="H305" s="29" t="s">
        <v>63</v>
      </c>
      <c r="I305" s="29" t="s">
        <v>190</v>
      </c>
      <c r="J305" s="29" t="s">
        <v>685</v>
      </c>
      <c r="K305" s="29" t="s">
        <v>298</v>
      </c>
      <c r="L305" s="29" t="s">
        <v>29</v>
      </c>
      <c r="M305" s="29" t="n">
        <v>1809</v>
      </c>
      <c r="N305" s="29" t="n">
        <v>1509</v>
      </c>
      <c r="O305" s="29"/>
      <c r="P305" s="30" t="n">
        <f aca="false">(M305*N305/1000000)*(INDEX(AreaRate_Vals,MATCH(C305,AreaRate_Keys,0))+IFERROR(INDEX(GlazingUpg_Vals,MATCH(H305,GlazingUpg_Keys,0)),0))+INDEX(Hardware_Vals,MATCH("Windows",Hardware_Keys,0))</f>
        <v>5982.5401</v>
      </c>
      <c r="Q305" s="31" t="n">
        <f aca="false">INDEX(Markup_Vals,MATCH("Windows",MarkupCat_Keys,0))</f>
        <v>0.42</v>
      </c>
      <c r="R305" s="32" t="n">
        <f aca="false">P305*(1+Q305)</f>
        <v>8495.206942</v>
      </c>
      <c r="S305" s="32" t="n">
        <f aca="false">R305*(1-TradeDiscount)</f>
        <v>7475.78210896</v>
      </c>
      <c r="T305" s="32" t="n">
        <f aca="false">R305*(1-VolumeDiscount)</f>
        <v>6796.1655536</v>
      </c>
    </row>
    <row r="306" customFormat="false" ht="15" hidden="false" customHeight="false" outlineLevel="0" collapsed="false">
      <c r="A306" s="25" t="s">
        <v>817</v>
      </c>
      <c r="B306" s="25" t="s">
        <v>96</v>
      </c>
      <c r="C306" s="25" t="s">
        <v>42</v>
      </c>
      <c r="D306" s="25" t="s">
        <v>818</v>
      </c>
      <c r="E306" s="25" t="s">
        <v>683</v>
      </c>
      <c r="F306" s="25" t="s">
        <v>810</v>
      </c>
      <c r="G306" s="25" t="s">
        <v>38</v>
      </c>
      <c r="H306" s="25" t="s">
        <v>63</v>
      </c>
      <c r="I306" s="25" t="s">
        <v>190</v>
      </c>
      <c r="J306" s="25" t="s">
        <v>685</v>
      </c>
      <c r="K306" s="25" t="s">
        <v>298</v>
      </c>
      <c r="L306" s="25" t="s">
        <v>29</v>
      </c>
      <c r="M306" s="25" t="n">
        <v>1809</v>
      </c>
      <c r="N306" s="25" t="n">
        <v>1509</v>
      </c>
      <c r="O306" s="25"/>
      <c r="P306" s="26" t="n">
        <f aca="false">(M306*N306/1000000)*(INDEX(AreaRate_Vals,MATCH(C306,AreaRate_Keys,0))+IFERROR(INDEX(GlazingUpg_Vals,MATCH(H306,GlazingUpg_Keys,0)),0))+INDEX(Hardware_Vals,MATCH("Windows",Hardware_Keys,0))</f>
        <v>5982.5401</v>
      </c>
      <c r="Q306" s="27" t="n">
        <f aca="false">INDEX(Markup_Vals,MATCH("Windows",MarkupCat_Keys,0))</f>
        <v>0.42</v>
      </c>
      <c r="R306" s="28" t="n">
        <f aca="false">P306*(1+Q306)</f>
        <v>8495.206942</v>
      </c>
      <c r="S306" s="28" t="n">
        <f aca="false">R306*(1-TradeDiscount)</f>
        <v>7475.78210896</v>
      </c>
      <c r="T306" s="28" t="n">
        <f aca="false">R306*(1-VolumeDiscount)</f>
        <v>6796.1655536</v>
      </c>
    </row>
    <row r="307" customFormat="false" ht="15" hidden="false" customHeight="false" outlineLevel="0" collapsed="false">
      <c r="A307" s="29" t="s">
        <v>819</v>
      </c>
      <c r="B307" s="29" t="s">
        <v>96</v>
      </c>
      <c r="C307" s="29" t="s">
        <v>42</v>
      </c>
      <c r="D307" s="29" t="s">
        <v>820</v>
      </c>
      <c r="E307" s="29" t="s">
        <v>683</v>
      </c>
      <c r="F307" s="29" t="s">
        <v>810</v>
      </c>
      <c r="G307" s="29" t="s">
        <v>35</v>
      </c>
      <c r="H307" s="29" t="s">
        <v>64</v>
      </c>
      <c r="I307" s="29" t="s">
        <v>190</v>
      </c>
      <c r="J307" s="29" t="s">
        <v>685</v>
      </c>
      <c r="K307" s="29" t="s">
        <v>298</v>
      </c>
      <c r="L307" s="29" t="s">
        <v>29</v>
      </c>
      <c r="M307" s="29" t="n">
        <v>1809</v>
      </c>
      <c r="N307" s="29" t="n">
        <v>1509</v>
      </c>
      <c r="O307" s="29"/>
      <c r="P307" s="30" t="n">
        <f aca="false">(M307*N307/1000000)*(INDEX(AreaRate_Vals,MATCH(C307,AreaRate_Keys,0))+IFERROR(INDEX(GlazingUpg_Vals,MATCH(H307,GlazingUpg_Keys,0)),0))+INDEX(Hardware_Vals,MATCH("Windows",Hardware_Keys,0))</f>
        <v>7483.91965</v>
      </c>
      <c r="Q307" s="31" t="n">
        <f aca="false">INDEX(Markup_Vals,MATCH("Windows",MarkupCat_Keys,0))</f>
        <v>0.42</v>
      </c>
      <c r="R307" s="32" t="n">
        <f aca="false">P307*(1+Q307)</f>
        <v>10627.165903</v>
      </c>
      <c r="S307" s="32" t="n">
        <f aca="false">R307*(1-TradeDiscount)</f>
        <v>9351.90599464</v>
      </c>
      <c r="T307" s="32" t="n">
        <f aca="false">R307*(1-VolumeDiscount)</f>
        <v>8501.7327224</v>
      </c>
    </row>
    <row r="308" customFormat="false" ht="15" hidden="false" customHeight="false" outlineLevel="0" collapsed="false">
      <c r="A308" s="25" t="s">
        <v>821</v>
      </c>
      <c r="B308" s="25" t="s">
        <v>96</v>
      </c>
      <c r="C308" s="25" t="s">
        <v>42</v>
      </c>
      <c r="D308" s="25" t="s">
        <v>822</v>
      </c>
      <c r="E308" s="25" t="s">
        <v>683</v>
      </c>
      <c r="F308" s="25" t="s">
        <v>810</v>
      </c>
      <c r="G308" s="25" t="s">
        <v>36</v>
      </c>
      <c r="H308" s="25" t="s">
        <v>64</v>
      </c>
      <c r="I308" s="25" t="s">
        <v>190</v>
      </c>
      <c r="J308" s="25" t="s">
        <v>685</v>
      </c>
      <c r="K308" s="25" t="s">
        <v>298</v>
      </c>
      <c r="L308" s="25" t="s">
        <v>29</v>
      </c>
      <c r="M308" s="25" t="n">
        <v>1809</v>
      </c>
      <c r="N308" s="25" t="n">
        <v>1509</v>
      </c>
      <c r="O308" s="25"/>
      <c r="P308" s="26" t="n">
        <f aca="false">(M308*N308/1000000)*(INDEX(AreaRate_Vals,MATCH(C308,AreaRate_Keys,0))+IFERROR(INDEX(GlazingUpg_Vals,MATCH(H308,GlazingUpg_Keys,0)),0))+INDEX(Hardware_Vals,MATCH("Windows",Hardware_Keys,0))</f>
        <v>7483.91965</v>
      </c>
      <c r="Q308" s="27" t="n">
        <f aca="false">INDEX(Markup_Vals,MATCH("Windows",MarkupCat_Keys,0))</f>
        <v>0.42</v>
      </c>
      <c r="R308" s="28" t="n">
        <f aca="false">P308*(1+Q308)</f>
        <v>10627.165903</v>
      </c>
      <c r="S308" s="28" t="n">
        <f aca="false">R308*(1-TradeDiscount)</f>
        <v>9351.90599464</v>
      </c>
      <c r="T308" s="28" t="n">
        <f aca="false">R308*(1-VolumeDiscount)</f>
        <v>8501.7327224</v>
      </c>
    </row>
    <row r="309" customFormat="false" ht="15" hidden="false" customHeight="false" outlineLevel="0" collapsed="false">
      <c r="A309" s="29" t="s">
        <v>823</v>
      </c>
      <c r="B309" s="29" t="s">
        <v>96</v>
      </c>
      <c r="C309" s="29" t="s">
        <v>42</v>
      </c>
      <c r="D309" s="29" t="s">
        <v>824</v>
      </c>
      <c r="E309" s="29" t="s">
        <v>683</v>
      </c>
      <c r="F309" s="29" t="s">
        <v>810</v>
      </c>
      <c r="G309" s="29" t="s">
        <v>37</v>
      </c>
      <c r="H309" s="29" t="s">
        <v>64</v>
      </c>
      <c r="I309" s="29" t="s">
        <v>190</v>
      </c>
      <c r="J309" s="29" t="s">
        <v>685</v>
      </c>
      <c r="K309" s="29" t="s">
        <v>298</v>
      </c>
      <c r="L309" s="29" t="s">
        <v>29</v>
      </c>
      <c r="M309" s="29" t="n">
        <v>1809</v>
      </c>
      <c r="N309" s="29" t="n">
        <v>1509</v>
      </c>
      <c r="O309" s="29"/>
      <c r="P309" s="30" t="n">
        <f aca="false">(M309*N309/1000000)*(INDEX(AreaRate_Vals,MATCH(C309,AreaRate_Keys,0))+IFERROR(INDEX(GlazingUpg_Vals,MATCH(H309,GlazingUpg_Keys,0)),0))+INDEX(Hardware_Vals,MATCH("Windows",Hardware_Keys,0))</f>
        <v>7483.91965</v>
      </c>
      <c r="Q309" s="31" t="n">
        <f aca="false">INDEX(Markup_Vals,MATCH("Windows",MarkupCat_Keys,0))</f>
        <v>0.42</v>
      </c>
      <c r="R309" s="32" t="n">
        <f aca="false">P309*(1+Q309)</f>
        <v>10627.165903</v>
      </c>
      <c r="S309" s="32" t="n">
        <f aca="false">R309*(1-TradeDiscount)</f>
        <v>9351.90599464</v>
      </c>
      <c r="T309" s="32" t="n">
        <f aca="false">R309*(1-VolumeDiscount)</f>
        <v>8501.7327224</v>
      </c>
    </row>
    <row r="310" customFormat="false" ht="15" hidden="false" customHeight="false" outlineLevel="0" collapsed="false">
      <c r="A310" s="25" t="s">
        <v>825</v>
      </c>
      <c r="B310" s="25" t="s">
        <v>96</v>
      </c>
      <c r="C310" s="25" t="s">
        <v>42</v>
      </c>
      <c r="D310" s="25" t="s">
        <v>826</v>
      </c>
      <c r="E310" s="25" t="s">
        <v>683</v>
      </c>
      <c r="F310" s="25" t="s">
        <v>810</v>
      </c>
      <c r="G310" s="25" t="s">
        <v>39</v>
      </c>
      <c r="H310" s="25" t="s">
        <v>64</v>
      </c>
      <c r="I310" s="25" t="s">
        <v>190</v>
      </c>
      <c r="J310" s="25" t="s">
        <v>685</v>
      </c>
      <c r="K310" s="25" t="s">
        <v>298</v>
      </c>
      <c r="L310" s="25" t="s">
        <v>29</v>
      </c>
      <c r="M310" s="25" t="n">
        <v>1809</v>
      </c>
      <c r="N310" s="25" t="n">
        <v>1509</v>
      </c>
      <c r="O310" s="25"/>
      <c r="P310" s="26" t="n">
        <f aca="false">(M310*N310/1000000)*(INDEX(AreaRate_Vals,MATCH(C310,AreaRate_Keys,0))+IFERROR(INDEX(GlazingUpg_Vals,MATCH(H310,GlazingUpg_Keys,0)),0))+INDEX(Hardware_Vals,MATCH("Windows",Hardware_Keys,0))</f>
        <v>7483.91965</v>
      </c>
      <c r="Q310" s="27" t="n">
        <f aca="false">INDEX(Markup_Vals,MATCH("Windows",MarkupCat_Keys,0))</f>
        <v>0.42</v>
      </c>
      <c r="R310" s="28" t="n">
        <f aca="false">P310*(1+Q310)</f>
        <v>10627.165903</v>
      </c>
      <c r="S310" s="28" t="n">
        <f aca="false">R310*(1-TradeDiscount)</f>
        <v>9351.90599464</v>
      </c>
      <c r="T310" s="28" t="n">
        <f aca="false">R310*(1-VolumeDiscount)</f>
        <v>8501.7327224</v>
      </c>
    </row>
    <row r="311" customFormat="false" ht="15" hidden="false" customHeight="false" outlineLevel="0" collapsed="false">
      <c r="A311" s="29" t="s">
        <v>827</v>
      </c>
      <c r="B311" s="29" t="s">
        <v>96</v>
      </c>
      <c r="C311" s="29" t="s">
        <v>42</v>
      </c>
      <c r="D311" s="29" t="s">
        <v>828</v>
      </c>
      <c r="E311" s="29" t="s">
        <v>683</v>
      </c>
      <c r="F311" s="29" t="s">
        <v>810</v>
      </c>
      <c r="G311" s="29" t="s">
        <v>38</v>
      </c>
      <c r="H311" s="29" t="s">
        <v>64</v>
      </c>
      <c r="I311" s="29" t="s">
        <v>190</v>
      </c>
      <c r="J311" s="29" t="s">
        <v>685</v>
      </c>
      <c r="K311" s="29" t="s">
        <v>298</v>
      </c>
      <c r="L311" s="29" t="s">
        <v>29</v>
      </c>
      <c r="M311" s="29" t="n">
        <v>1809</v>
      </c>
      <c r="N311" s="29" t="n">
        <v>1509</v>
      </c>
      <c r="O311" s="29"/>
      <c r="P311" s="30" t="n">
        <f aca="false">(M311*N311/1000000)*(INDEX(AreaRate_Vals,MATCH(C311,AreaRate_Keys,0))+IFERROR(INDEX(GlazingUpg_Vals,MATCH(H311,GlazingUpg_Keys,0)),0))+INDEX(Hardware_Vals,MATCH("Windows",Hardware_Keys,0))</f>
        <v>7483.91965</v>
      </c>
      <c r="Q311" s="31" t="n">
        <f aca="false">INDEX(Markup_Vals,MATCH("Windows",MarkupCat_Keys,0))</f>
        <v>0.42</v>
      </c>
      <c r="R311" s="32" t="n">
        <f aca="false">P311*(1+Q311)</f>
        <v>10627.165903</v>
      </c>
      <c r="S311" s="32" t="n">
        <f aca="false">R311*(1-TradeDiscount)</f>
        <v>9351.90599464</v>
      </c>
      <c r="T311" s="32" t="n">
        <f aca="false">R311*(1-VolumeDiscount)</f>
        <v>8501.7327224</v>
      </c>
    </row>
    <row r="312" customFormat="false" ht="15" hidden="false" customHeight="false" outlineLevel="0" collapsed="false">
      <c r="A312" s="25" t="s">
        <v>829</v>
      </c>
      <c r="B312" s="25" t="s">
        <v>96</v>
      </c>
      <c r="C312" s="25" t="s">
        <v>42</v>
      </c>
      <c r="D312" s="25" t="s">
        <v>830</v>
      </c>
      <c r="E312" s="25" t="s">
        <v>683</v>
      </c>
      <c r="F312" s="25" t="s">
        <v>319</v>
      </c>
      <c r="G312" s="25" t="s">
        <v>35</v>
      </c>
      <c r="H312" s="25" t="s">
        <v>63</v>
      </c>
      <c r="I312" s="25" t="s">
        <v>190</v>
      </c>
      <c r="J312" s="25" t="s">
        <v>685</v>
      </c>
      <c r="K312" s="25" t="s">
        <v>298</v>
      </c>
      <c r="L312" s="25" t="s">
        <v>29</v>
      </c>
      <c r="M312" s="25" t="n">
        <v>2409</v>
      </c>
      <c r="N312" s="25" t="n">
        <v>1509</v>
      </c>
      <c r="O312" s="25"/>
      <c r="P312" s="26" t="n">
        <f aca="false">(M312*N312/1000000)*(INDEX(AreaRate_Vals,MATCH(C312,AreaRate_Keys,0))+IFERROR(INDEX(GlazingUpg_Vals,MATCH(H312,GlazingUpg_Keys,0)),0))+INDEX(Hardware_Vals,MATCH("Windows",Hardware_Keys,0))</f>
        <v>7883.8801</v>
      </c>
      <c r="Q312" s="27" t="n">
        <f aca="false">INDEX(Markup_Vals,MATCH("Windows",MarkupCat_Keys,0))</f>
        <v>0.42</v>
      </c>
      <c r="R312" s="28" t="n">
        <f aca="false">P312*(1+Q312)</f>
        <v>11195.109742</v>
      </c>
      <c r="S312" s="28" t="n">
        <f aca="false">R312*(1-TradeDiscount)</f>
        <v>9851.69657296</v>
      </c>
      <c r="T312" s="28" t="n">
        <f aca="false">R312*(1-VolumeDiscount)</f>
        <v>8956.0877936</v>
      </c>
    </row>
    <row r="313" customFormat="false" ht="15" hidden="false" customHeight="false" outlineLevel="0" collapsed="false">
      <c r="A313" s="29" t="s">
        <v>831</v>
      </c>
      <c r="B313" s="29" t="s">
        <v>96</v>
      </c>
      <c r="C313" s="29" t="s">
        <v>42</v>
      </c>
      <c r="D313" s="29" t="s">
        <v>832</v>
      </c>
      <c r="E313" s="29" t="s">
        <v>683</v>
      </c>
      <c r="F313" s="29" t="s">
        <v>319</v>
      </c>
      <c r="G313" s="29" t="s">
        <v>36</v>
      </c>
      <c r="H313" s="29" t="s">
        <v>63</v>
      </c>
      <c r="I313" s="29" t="s">
        <v>190</v>
      </c>
      <c r="J313" s="29" t="s">
        <v>685</v>
      </c>
      <c r="K313" s="29" t="s">
        <v>298</v>
      </c>
      <c r="L313" s="29" t="s">
        <v>29</v>
      </c>
      <c r="M313" s="29" t="n">
        <v>2409</v>
      </c>
      <c r="N313" s="29" t="n">
        <v>1509</v>
      </c>
      <c r="O313" s="29"/>
      <c r="P313" s="30" t="n">
        <f aca="false">(M313*N313/1000000)*(INDEX(AreaRate_Vals,MATCH(C313,AreaRate_Keys,0))+IFERROR(INDEX(GlazingUpg_Vals,MATCH(H313,GlazingUpg_Keys,0)),0))+INDEX(Hardware_Vals,MATCH("Windows",Hardware_Keys,0))</f>
        <v>7883.8801</v>
      </c>
      <c r="Q313" s="31" t="n">
        <f aca="false">INDEX(Markup_Vals,MATCH("Windows",MarkupCat_Keys,0))</f>
        <v>0.42</v>
      </c>
      <c r="R313" s="32" t="n">
        <f aca="false">P313*(1+Q313)</f>
        <v>11195.109742</v>
      </c>
      <c r="S313" s="32" t="n">
        <f aca="false">R313*(1-TradeDiscount)</f>
        <v>9851.69657296</v>
      </c>
      <c r="T313" s="32" t="n">
        <f aca="false">R313*(1-VolumeDiscount)</f>
        <v>8956.0877936</v>
      </c>
    </row>
    <row r="314" customFormat="false" ht="15" hidden="false" customHeight="false" outlineLevel="0" collapsed="false">
      <c r="A314" s="25" t="s">
        <v>833</v>
      </c>
      <c r="B314" s="25" t="s">
        <v>96</v>
      </c>
      <c r="C314" s="25" t="s">
        <v>42</v>
      </c>
      <c r="D314" s="25" t="s">
        <v>834</v>
      </c>
      <c r="E314" s="25" t="s">
        <v>683</v>
      </c>
      <c r="F314" s="25" t="s">
        <v>319</v>
      </c>
      <c r="G314" s="25" t="s">
        <v>37</v>
      </c>
      <c r="H314" s="25" t="s">
        <v>63</v>
      </c>
      <c r="I314" s="25" t="s">
        <v>190</v>
      </c>
      <c r="J314" s="25" t="s">
        <v>685</v>
      </c>
      <c r="K314" s="25" t="s">
        <v>298</v>
      </c>
      <c r="L314" s="25" t="s">
        <v>29</v>
      </c>
      <c r="M314" s="25" t="n">
        <v>2409</v>
      </c>
      <c r="N314" s="25" t="n">
        <v>1509</v>
      </c>
      <c r="O314" s="25"/>
      <c r="P314" s="26" t="n">
        <f aca="false">(M314*N314/1000000)*(INDEX(AreaRate_Vals,MATCH(C314,AreaRate_Keys,0))+IFERROR(INDEX(GlazingUpg_Vals,MATCH(H314,GlazingUpg_Keys,0)),0))+INDEX(Hardware_Vals,MATCH("Windows",Hardware_Keys,0))</f>
        <v>7883.8801</v>
      </c>
      <c r="Q314" s="27" t="n">
        <f aca="false">INDEX(Markup_Vals,MATCH("Windows",MarkupCat_Keys,0))</f>
        <v>0.42</v>
      </c>
      <c r="R314" s="28" t="n">
        <f aca="false">P314*(1+Q314)</f>
        <v>11195.109742</v>
      </c>
      <c r="S314" s="28" t="n">
        <f aca="false">R314*(1-TradeDiscount)</f>
        <v>9851.69657296</v>
      </c>
      <c r="T314" s="28" t="n">
        <f aca="false">R314*(1-VolumeDiscount)</f>
        <v>8956.0877936</v>
      </c>
    </row>
    <row r="315" customFormat="false" ht="15" hidden="false" customHeight="false" outlineLevel="0" collapsed="false">
      <c r="A315" s="29" t="s">
        <v>835</v>
      </c>
      <c r="B315" s="29" t="s">
        <v>96</v>
      </c>
      <c r="C315" s="29" t="s">
        <v>42</v>
      </c>
      <c r="D315" s="29" t="s">
        <v>836</v>
      </c>
      <c r="E315" s="29" t="s">
        <v>683</v>
      </c>
      <c r="F315" s="29" t="s">
        <v>319</v>
      </c>
      <c r="G315" s="29" t="s">
        <v>39</v>
      </c>
      <c r="H315" s="29" t="s">
        <v>63</v>
      </c>
      <c r="I315" s="29" t="s">
        <v>190</v>
      </c>
      <c r="J315" s="29" t="s">
        <v>685</v>
      </c>
      <c r="K315" s="29" t="s">
        <v>298</v>
      </c>
      <c r="L315" s="29" t="s">
        <v>29</v>
      </c>
      <c r="M315" s="29" t="n">
        <v>2409</v>
      </c>
      <c r="N315" s="29" t="n">
        <v>1509</v>
      </c>
      <c r="O315" s="29"/>
      <c r="P315" s="30" t="n">
        <f aca="false">(M315*N315/1000000)*(INDEX(AreaRate_Vals,MATCH(C315,AreaRate_Keys,0))+IFERROR(INDEX(GlazingUpg_Vals,MATCH(H315,GlazingUpg_Keys,0)),0))+INDEX(Hardware_Vals,MATCH("Windows",Hardware_Keys,0))</f>
        <v>7883.8801</v>
      </c>
      <c r="Q315" s="31" t="n">
        <f aca="false">INDEX(Markup_Vals,MATCH("Windows",MarkupCat_Keys,0))</f>
        <v>0.42</v>
      </c>
      <c r="R315" s="32" t="n">
        <f aca="false">P315*(1+Q315)</f>
        <v>11195.109742</v>
      </c>
      <c r="S315" s="32" t="n">
        <f aca="false">R315*(1-TradeDiscount)</f>
        <v>9851.69657296</v>
      </c>
      <c r="T315" s="32" t="n">
        <f aca="false">R315*(1-VolumeDiscount)</f>
        <v>8956.0877936</v>
      </c>
    </row>
    <row r="316" customFormat="false" ht="15" hidden="false" customHeight="false" outlineLevel="0" collapsed="false">
      <c r="A316" s="25" t="s">
        <v>837</v>
      </c>
      <c r="B316" s="25" t="s">
        <v>96</v>
      </c>
      <c r="C316" s="25" t="s">
        <v>42</v>
      </c>
      <c r="D316" s="25" t="s">
        <v>838</v>
      </c>
      <c r="E316" s="25" t="s">
        <v>683</v>
      </c>
      <c r="F316" s="25" t="s">
        <v>319</v>
      </c>
      <c r="G316" s="25" t="s">
        <v>38</v>
      </c>
      <c r="H316" s="25" t="s">
        <v>63</v>
      </c>
      <c r="I316" s="25" t="s">
        <v>190</v>
      </c>
      <c r="J316" s="25" t="s">
        <v>685</v>
      </c>
      <c r="K316" s="25" t="s">
        <v>298</v>
      </c>
      <c r="L316" s="25" t="s">
        <v>29</v>
      </c>
      <c r="M316" s="25" t="n">
        <v>2409</v>
      </c>
      <c r="N316" s="25" t="n">
        <v>1509</v>
      </c>
      <c r="O316" s="25"/>
      <c r="P316" s="26" t="n">
        <f aca="false">(M316*N316/1000000)*(INDEX(AreaRate_Vals,MATCH(C316,AreaRate_Keys,0))+IFERROR(INDEX(GlazingUpg_Vals,MATCH(H316,GlazingUpg_Keys,0)),0))+INDEX(Hardware_Vals,MATCH("Windows",Hardware_Keys,0))</f>
        <v>7883.8801</v>
      </c>
      <c r="Q316" s="27" t="n">
        <f aca="false">INDEX(Markup_Vals,MATCH("Windows",MarkupCat_Keys,0))</f>
        <v>0.42</v>
      </c>
      <c r="R316" s="28" t="n">
        <f aca="false">P316*(1+Q316)</f>
        <v>11195.109742</v>
      </c>
      <c r="S316" s="28" t="n">
        <f aca="false">R316*(1-TradeDiscount)</f>
        <v>9851.69657296</v>
      </c>
      <c r="T316" s="28" t="n">
        <f aca="false">R316*(1-VolumeDiscount)</f>
        <v>8956.0877936</v>
      </c>
    </row>
    <row r="317" customFormat="false" ht="15" hidden="false" customHeight="false" outlineLevel="0" collapsed="false">
      <c r="A317" s="29" t="s">
        <v>839</v>
      </c>
      <c r="B317" s="29" t="s">
        <v>96</v>
      </c>
      <c r="C317" s="29" t="s">
        <v>42</v>
      </c>
      <c r="D317" s="29" t="s">
        <v>840</v>
      </c>
      <c r="E317" s="29" t="s">
        <v>683</v>
      </c>
      <c r="F317" s="29" t="s">
        <v>319</v>
      </c>
      <c r="G317" s="29" t="s">
        <v>35</v>
      </c>
      <c r="H317" s="29" t="s">
        <v>64</v>
      </c>
      <c r="I317" s="29" t="s">
        <v>190</v>
      </c>
      <c r="J317" s="29" t="s">
        <v>685</v>
      </c>
      <c r="K317" s="29" t="s">
        <v>298</v>
      </c>
      <c r="L317" s="29" t="s">
        <v>29</v>
      </c>
      <c r="M317" s="29" t="n">
        <v>2409</v>
      </c>
      <c r="N317" s="29" t="n">
        <v>1509</v>
      </c>
      <c r="O317" s="29"/>
      <c r="P317" s="30" t="n">
        <f aca="false">(M317*N317/1000000)*(INDEX(AreaRate_Vals,MATCH(C317,AreaRate_Keys,0))+IFERROR(INDEX(GlazingUpg_Vals,MATCH(H317,GlazingUpg_Keys,0)),0))+INDEX(Hardware_Vals,MATCH("Windows",Hardware_Keys,0))</f>
        <v>9883.22965</v>
      </c>
      <c r="Q317" s="31" t="n">
        <f aca="false">INDEX(Markup_Vals,MATCH("Windows",MarkupCat_Keys,0))</f>
        <v>0.42</v>
      </c>
      <c r="R317" s="32" t="n">
        <f aca="false">P317*(1+Q317)</f>
        <v>14034.186103</v>
      </c>
      <c r="S317" s="32" t="n">
        <f aca="false">R317*(1-TradeDiscount)</f>
        <v>12350.08377064</v>
      </c>
      <c r="T317" s="32" t="n">
        <f aca="false">R317*(1-VolumeDiscount)</f>
        <v>11227.3488824</v>
      </c>
    </row>
    <row r="318" customFormat="false" ht="15" hidden="false" customHeight="false" outlineLevel="0" collapsed="false">
      <c r="A318" s="25" t="s">
        <v>841</v>
      </c>
      <c r="B318" s="25" t="s">
        <v>96</v>
      </c>
      <c r="C318" s="25" t="s">
        <v>42</v>
      </c>
      <c r="D318" s="25" t="s">
        <v>842</v>
      </c>
      <c r="E318" s="25" t="s">
        <v>683</v>
      </c>
      <c r="F318" s="25" t="s">
        <v>319</v>
      </c>
      <c r="G318" s="25" t="s">
        <v>36</v>
      </c>
      <c r="H318" s="25" t="s">
        <v>64</v>
      </c>
      <c r="I318" s="25" t="s">
        <v>190</v>
      </c>
      <c r="J318" s="25" t="s">
        <v>685</v>
      </c>
      <c r="K318" s="25" t="s">
        <v>298</v>
      </c>
      <c r="L318" s="25" t="s">
        <v>29</v>
      </c>
      <c r="M318" s="25" t="n">
        <v>2409</v>
      </c>
      <c r="N318" s="25" t="n">
        <v>1509</v>
      </c>
      <c r="O318" s="25"/>
      <c r="P318" s="26" t="n">
        <f aca="false">(M318*N318/1000000)*(INDEX(AreaRate_Vals,MATCH(C318,AreaRate_Keys,0))+IFERROR(INDEX(GlazingUpg_Vals,MATCH(H318,GlazingUpg_Keys,0)),0))+INDEX(Hardware_Vals,MATCH("Windows",Hardware_Keys,0))</f>
        <v>9883.22965</v>
      </c>
      <c r="Q318" s="27" t="n">
        <f aca="false">INDEX(Markup_Vals,MATCH("Windows",MarkupCat_Keys,0))</f>
        <v>0.42</v>
      </c>
      <c r="R318" s="28" t="n">
        <f aca="false">P318*(1+Q318)</f>
        <v>14034.186103</v>
      </c>
      <c r="S318" s="28" t="n">
        <f aca="false">R318*(1-TradeDiscount)</f>
        <v>12350.08377064</v>
      </c>
      <c r="T318" s="28" t="n">
        <f aca="false">R318*(1-VolumeDiscount)</f>
        <v>11227.3488824</v>
      </c>
    </row>
    <row r="319" customFormat="false" ht="15" hidden="false" customHeight="false" outlineLevel="0" collapsed="false">
      <c r="A319" s="29" t="s">
        <v>843</v>
      </c>
      <c r="B319" s="29" t="s">
        <v>96</v>
      </c>
      <c r="C319" s="29" t="s">
        <v>42</v>
      </c>
      <c r="D319" s="29" t="s">
        <v>844</v>
      </c>
      <c r="E319" s="29" t="s">
        <v>683</v>
      </c>
      <c r="F319" s="29" t="s">
        <v>319</v>
      </c>
      <c r="G319" s="29" t="s">
        <v>37</v>
      </c>
      <c r="H319" s="29" t="s">
        <v>64</v>
      </c>
      <c r="I319" s="29" t="s">
        <v>190</v>
      </c>
      <c r="J319" s="29" t="s">
        <v>685</v>
      </c>
      <c r="K319" s="29" t="s">
        <v>298</v>
      </c>
      <c r="L319" s="29" t="s">
        <v>29</v>
      </c>
      <c r="M319" s="29" t="n">
        <v>2409</v>
      </c>
      <c r="N319" s="29" t="n">
        <v>1509</v>
      </c>
      <c r="O319" s="29"/>
      <c r="P319" s="30" t="n">
        <f aca="false">(M319*N319/1000000)*(INDEX(AreaRate_Vals,MATCH(C319,AreaRate_Keys,0))+IFERROR(INDEX(GlazingUpg_Vals,MATCH(H319,GlazingUpg_Keys,0)),0))+INDEX(Hardware_Vals,MATCH("Windows",Hardware_Keys,0))</f>
        <v>9883.22965</v>
      </c>
      <c r="Q319" s="31" t="n">
        <f aca="false">INDEX(Markup_Vals,MATCH("Windows",MarkupCat_Keys,0))</f>
        <v>0.42</v>
      </c>
      <c r="R319" s="32" t="n">
        <f aca="false">P319*(1+Q319)</f>
        <v>14034.186103</v>
      </c>
      <c r="S319" s="32" t="n">
        <f aca="false">R319*(1-TradeDiscount)</f>
        <v>12350.08377064</v>
      </c>
      <c r="T319" s="32" t="n">
        <f aca="false">R319*(1-VolumeDiscount)</f>
        <v>11227.3488824</v>
      </c>
    </row>
    <row r="320" customFormat="false" ht="15" hidden="false" customHeight="false" outlineLevel="0" collapsed="false">
      <c r="A320" s="25" t="s">
        <v>845</v>
      </c>
      <c r="B320" s="25" t="s">
        <v>96</v>
      </c>
      <c r="C320" s="25" t="s">
        <v>42</v>
      </c>
      <c r="D320" s="25" t="s">
        <v>846</v>
      </c>
      <c r="E320" s="25" t="s">
        <v>683</v>
      </c>
      <c r="F320" s="25" t="s">
        <v>319</v>
      </c>
      <c r="G320" s="25" t="s">
        <v>39</v>
      </c>
      <c r="H320" s="25" t="s">
        <v>64</v>
      </c>
      <c r="I320" s="25" t="s">
        <v>190</v>
      </c>
      <c r="J320" s="25" t="s">
        <v>685</v>
      </c>
      <c r="K320" s="25" t="s">
        <v>298</v>
      </c>
      <c r="L320" s="25" t="s">
        <v>29</v>
      </c>
      <c r="M320" s="25" t="n">
        <v>2409</v>
      </c>
      <c r="N320" s="25" t="n">
        <v>1509</v>
      </c>
      <c r="O320" s="25"/>
      <c r="P320" s="26" t="n">
        <f aca="false">(M320*N320/1000000)*(INDEX(AreaRate_Vals,MATCH(C320,AreaRate_Keys,0))+IFERROR(INDEX(GlazingUpg_Vals,MATCH(H320,GlazingUpg_Keys,0)),0))+INDEX(Hardware_Vals,MATCH("Windows",Hardware_Keys,0))</f>
        <v>9883.22965</v>
      </c>
      <c r="Q320" s="27" t="n">
        <f aca="false">INDEX(Markup_Vals,MATCH("Windows",MarkupCat_Keys,0))</f>
        <v>0.42</v>
      </c>
      <c r="R320" s="28" t="n">
        <f aca="false">P320*(1+Q320)</f>
        <v>14034.186103</v>
      </c>
      <c r="S320" s="28" t="n">
        <f aca="false">R320*(1-TradeDiscount)</f>
        <v>12350.08377064</v>
      </c>
      <c r="T320" s="28" t="n">
        <f aca="false">R320*(1-VolumeDiscount)</f>
        <v>11227.3488824</v>
      </c>
    </row>
    <row r="321" customFormat="false" ht="15" hidden="false" customHeight="false" outlineLevel="0" collapsed="false">
      <c r="A321" s="29" t="s">
        <v>847</v>
      </c>
      <c r="B321" s="29" t="s">
        <v>96</v>
      </c>
      <c r="C321" s="29" t="s">
        <v>42</v>
      </c>
      <c r="D321" s="29" t="s">
        <v>848</v>
      </c>
      <c r="E321" s="29" t="s">
        <v>683</v>
      </c>
      <c r="F321" s="29" t="s">
        <v>319</v>
      </c>
      <c r="G321" s="29" t="s">
        <v>38</v>
      </c>
      <c r="H321" s="29" t="s">
        <v>64</v>
      </c>
      <c r="I321" s="29" t="s">
        <v>190</v>
      </c>
      <c r="J321" s="29" t="s">
        <v>685</v>
      </c>
      <c r="K321" s="29" t="s">
        <v>298</v>
      </c>
      <c r="L321" s="29" t="s">
        <v>29</v>
      </c>
      <c r="M321" s="29" t="n">
        <v>2409</v>
      </c>
      <c r="N321" s="29" t="n">
        <v>1509</v>
      </c>
      <c r="O321" s="29"/>
      <c r="P321" s="30" t="n">
        <f aca="false">(M321*N321/1000000)*(INDEX(AreaRate_Vals,MATCH(C321,AreaRate_Keys,0))+IFERROR(INDEX(GlazingUpg_Vals,MATCH(H321,GlazingUpg_Keys,0)),0))+INDEX(Hardware_Vals,MATCH("Windows",Hardware_Keys,0))</f>
        <v>9883.22965</v>
      </c>
      <c r="Q321" s="31" t="n">
        <f aca="false">INDEX(Markup_Vals,MATCH("Windows",MarkupCat_Keys,0))</f>
        <v>0.42</v>
      </c>
      <c r="R321" s="32" t="n">
        <f aca="false">P321*(1+Q321)</f>
        <v>14034.186103</v>
      </c>
      <c r="S321" s="32" t="n">
        <f aca="false">R321*(1-TradeDiscount)</f>
        <v>12350.08377064</v>
      </c>
      <c r="T321" s="32" t="n">
        <f aca="false">R321*(1-VolumeDiscount)</f>
        <v>11227.3488824</v>
      </c>
    </row>
    <row r="322" customFormat="false" ht="15" hidden="false" customHeight="false" outlineLevel="0" collapsed="false">
      <c r="A322" s="25" t="s">
        <v>849</v>
      </c>
      <c r="B322" s="25" t="s">
        <v>96</v>
      </c>
      <c r="C322" s="25" t="s">
        <v>42</v>
      </c>
      <c r="D322" s="25" t="s">
        <v>850</v>
      </c>
      <c r="E322" s="25" t="s">
        <v>851</v>
      </c>
      <c r="F322" s="25" t="s">
        <v>684</v>
      </c>
      <c r="G322" s="25" t="s">
        <v>35</v>
      </c>
      <c r="H322" s="25" t="s">
        <v>63</v>
      </c>
      <c r="I322" s="25" t="s">
        <v>190</v>
      </c>
      <c r="J322" s="25" t="s">
        <v>685</v>
      </c>
      <c r="K322" s="25" t="s">
        <v>192</v>
      </c>
      <c r="L322" s="25" t="s">
        <v>29</v>
      </c>
      <c r="M322" s="25" t="n">
        <v>609</v>
      </c>
      <c r="N322" s="25" t="n">
        <v>909</v>
      </c>
      <c r="O322" s="25"/>
      <c r="P322" s="26" t="n">
        <f aca="false">(M322*N322/1000000)*(INDEX(AreaRate_Vals,MATCH(C322,AreaRate_Keys,0))+IFERROR(INDEX(GlazingUpg_Vals,MATCH(H322,GlazingUpg_Keys,0)),0))+INDEX(Hardware_Vals,MATCH("Windows",Hardware_Keys,0))</f>
        <v>1412.5201</v>
      </c>
      <c r="Q322" s="27" t="n">
        <f aca="false">INDEX(Markup_Vals,MATCH("Windows",MarkupCat_Keys,0))</f>
        <v>0.42</v>
      </c>
      <c r="R322" s="28" t="n">
        <f aca="false">P322*(1+Q322)</f>
        <v>2005.778542</v>
      </c>
      <c r="S322" s="28" t="n">
        <f aca="false">R322*(1-TradeDiscount)</f>
        <v>1765.08511696</v>
      </c>
      <c r="T322" s="28" t="n">
        <f aca="false">R322*(1-VolumeDiscount)</f>
        <v>1604.6228336</v>
      </c>
    </row>
    <row r="323" customFormat="false" ht="15" hidden="false" customHeight="false" outlineLevel="0" collapsed="false">
      <c r="A323" s="29" t="s">
        <v>852</v>
      </c>
      <c r="B323" s="29" t="s">
        <v>96</v>
      </c>
      <c r="C323" s="29" t="s">
        <v>42</v>
      </c>
      <c r="D323" s="29" t="s">
        <v>853</v>
      </c>
      <c r="E323" s="29" t="s">
        <v>851</v>
      </c>
      <c r="F323" s="29" t="s">
        <v>684</v>
      </c>
      <c r="G323" s="29" t="s">
        <v>36</v>
      </c>
      <c r="H323" s="29" t="s">
        <v>63</v>
      </c>
      <c r="I323" s="29" t="s">
        <v>190</v>
      </c>
      <c r="J323" s="29" t="s">
        <v>685</v>
      </c>
      <c r="K323" s="29" t="s">
        <v>192</v>
      </c>
      <c r="L323" s="29" t="s">
        <v>29</v>
      </c>
      <c r="M323" s="29" t="n">
        <v>609</v>
      </c>
      <c r="N323" s="29" t="n">
        <v>909</v>
      </c>
      <c r="O323" s="29"/>
      <c r="P323" s="30" t="n">
        <f aca="false">(M323*N323/1000000)*(INDEX(AreaRate_Vals,MATCH(C323,AreaRate_Keys,0))+IFERROR(INDEX(GlazingUpg_Vals,MATCH(H323,GlazingUpg_Keys,0)),0))+INDEX(Hardware_Vals,MATCH("Windows",Hardware_Keys,0))</f>
        <v>1412.5201</v>
      </c>
      <c r="Q323" s="31" t="n">
        <f aca="false">INDEX(Markup_Vals,MATCH("Windows",MarkupCat_Keys,0))</f>
        <v>0.42</v>
      </c>
      <c r="R323" s="32" t="n">
        <f aca="false">P323*(1+Q323)</f>
        <v>2005.778542</v>
      </c>
      <c r="S323" s="32" t="n">
        <f aca="false">R323*(1-TradeDiscount)</f>
        <v>1765.08511696</v>
      </c>
      <c r="T323" s="32" t="n">
        <f aca="false">R323*(1-VolumeDiscount)</f>
        <v>1604.6228336</v>
      </c>
    </row>
    <row r="324" customFormat="false" ht="15" hidden="false" customHeight="false" outlineLevel="0" collapsed="false">
      <c r="A324" s="25" t="s">
        <v>854</v>
      </c>
      <c r="B324" s="25" t="s">
        <v>96</v>
      </c>
      <c r="C324" s="25" t="s">
        <v>42</v>
      </c>
      <c r="D324" s="25" t="s">
        <v>855</v>
      </c>
      <c r="E324" s="25" t="s">
        <v>851</v>
      </c>
      <c r="F324" s="25" t="s">
        <v>684</v>
      </c>
      <c r="G324" s="25" t="s">
        <v>37</v>
      </c>
      <c r="H324" s="25" t="s">
        <v>63</v>
      </c>
      <c r="I324" s="25" t="s">
        <v>190</v>
      </c>
      <c r="J324" s="25" t="s">
        <v>685</v>
      </c>
      <c r="K324" s="25" t="s">
        <v>192</v>
      </c>
      <c r="L324" s="25" t="s">
        <v>29</v>
      </c>
      <c r="M324" s="25" t="n">
        <v>609</v>
      </c>
      <c r="N324" s="25" t="n">
        <v>909</v>
      </c>
      <c r="O324" s="25"/>
      <c r="P324" s="26" t="n">
        <f aca="false">(M324*N324/1000000)*(INDEX(AreaRate_Vals,MATCH(C324,AreaRate_Keys,0))+IFERROR(INDEX(GlazingUpg_Vals,MATCH(H324,GlazingUpg_Keys,0)),0))+INDEX(Hardware_Vals,MATCH("Windows",Hardware_Keys,0))</f>
        <v>1412.5201</v>
      </c>
      <c r="Q324" s="27" t="n">
        <f aca="false">INDEX(Markup_Vals,MATCH("Windows",MarkupCat_Keys,0))</f>
        <v>0.42</v>
      </c>
      <c r="R324" s="28" t="n">
        <f aca="false">P324*(1+Q324)</f>
        <v>2005.778542</v>
      </c>
      <c r="S324" s="28" t="n">
        <f aca="false">R324*(1-TradeDiscount)</f>
        <v>1765.08511696</v>
      </c>
      <c r="T324" s="28" t="n">
        <f aca="false">R324*(1-VolumeDiscount)</f>
        <v>1604.6228336</v>
      </c>
    </row>
    <row r="325" customFormat="false" ht="15" hidden="false" customHeight="false" outlineLevel="0" collapsed="false">
      <c r="A325" s="29" t="s">
        <v>856</v>
      </c>
      <c r="B325" s="29" t="s">
        <v>96</v>
      </c>
      <c r="C325" s="29" t="s">
        <v>42</v>
      </c>
      <c r="D325" s="29" t="s">
        <v>857</v>
      </c>
      <c r="E325" s="29" t="s">
        <v>851</v>
      </c>
      <c r="F325" s="29" t="s">
        <v>684</v>
      </c>
      <c r="G325" s="29" t="s">
        <v>39</v>
      </c>
      <c r="H325" s="29" t="s">
        <v>63</v>
      </c>
      <c r="I325" s="29" t="s">
        <v>190</v>
      </c>
      <c r="J325" s="29" t="s">
        <v>685</v>
      </c>
      <c r="K325" s="29" t="s">
        <v>192</v>
      </c>
      <c r="L325" s="29" t="s">
        <v>29</v>
      </c>
      <c r="M325" s="29" t="n">
        <v>609</v>
      </c>
      <c r="N325" s="29" t="n">
        <v>909</v>
      </c>
      <c r="O325" s="29"/>
      <c r="P325" s="30" t="n">
        <f aca="false">(M325*N325/1000000)*(INDEX(AreaRate_Vals,MATCH(C325,AreaRate_Keys,0))+IFERROR(INDEX(GlazingUpg_Vals,MATCH(H325,GlazingUpg_Keys,0)),0))+INDEX(Hardware_Vals,MATCH("Windows",Hardware_Keys,0))</f>
        <v>1412.5201</v>
      </c>
      <c r="Q325" s="31" t="n">
        <f aca="false">INDEX(Markup_Vals,MATCH("Windows",MarkupCat_Keys,0))</f>
        <v>0.42</v>
      </c>
      <c r="R325" s="32" t="n">
        <f aca="false">P325*(1+Q325)</f>
        <v>2005.778542</v>
      </c>
      <c r="S325" s="32" t="n">
        <f aca="false">R325*(1-TradeDiscount)</f>
        <v>1765.08511696</v>
      </c>
      <c r="T325" s="32" t="n">
        <f aca="false">R325*(1-VolumeDiscount)</f>
        <v>1604.6228336</v>
      </c>
    </row>
    <row r="326" customFormat="false" ht="15" hidden="false" customHeight="false" outlineLevel="0" collapsed="false">
      <c r="A326" s="25" t="s">
        <v>858</v>
      </c>
      <c r="B326" s="25" t="s">
        <v>96</v>
      </c>
      <c r="C326" s="25" t="s">
        <v>42</v>
      </c>
      <c r="D326" s="25" t="s">
        <v>859</v>
      </c>
      <c r="E326" s="25" t="s">
        <v>851</v>
      </c>
      <c r="F326" s="25" t="s">
        <v>684</v>
      </c>
      <c r="G326" s="25" t="s">
        <v>38</v>
      </c>
      <c r="H326" s="25" t="s">
        <v>63</v>
      </c>
      <c r="I326" s="25" t="s">
        <v>190</v>
      </c>
      <c r="J326" s="25" t="s">
        <v>685</v>
      </c>
      <c r="K326" s="25" t="s">
        <v>192</v>
      </c>
      <c r="L326" s="25" t="s">
        <v>29</v>
      </c>
      <c r="M326" s="25" t="n">
        <v>609</v>
      </c>
      <c r="N326" s="25" t="n">
        <v>909</v>
      </c>
      <c r="O326" s="25"/>
      <c r="P326" s="26" t="n">
        <f aca="false">(M326*N326/1000000)*(INDEX(AreaRate_Vals,MATCH(C326,AreaRate_Keys,0))+IFERROR(INDEX(GlazingUpg_Vals,MATCH(H326,GlazingUpg_Keys,0)),0))+INDEX(Hardware_Vals,MATCH("Windows",Hardware_Keys,0))</f>
        <v>1412.5201</v>
      </c>
      <c r="Q326" s="27" t="n">
        <f aca="false">INDEX(Markup_Vals,MATCH("Windows",MarkupCat_Keys,0))</f>
        <v>0.42</v>
      </c>
      <c r="R326" s="28" t="n">
        <f aca="false">P326*(1+Q326)</f>
        <v>2005.778542</v>
      </c>
      <c r="S326" s="28" t="n">
        <f aca="false">R326*(1-TradeDiscount)</f>
        <v>1765.08511696</v>
      </c>
      <c r="T326" s="28" t="n">
        <f aca="false">R326*(1-VolumeDiscount)</f>
        <v>1604.6228336</v>
      </c>
    </row>
    <row r="327" customFormat="false" ht="15" hidden="false" customHeight="false" outlineLevel="0" collapsed="false">
      <c r="A327" s="29" t="s">
        <v>860</v>
      </c>
      <c r="B327" s="29" t="s">
        <v>96</v>
      </c>
      <c r="C327" s="29" t="s">
        <v>42</v>
      </c>
      <c r="D327" s="29" t="s">
        <v>861</v>
      </c>
      <c r="E327" s="29" t="s">
        <v>851</v>
      </c>
      <c r="F327" s="29" t="s">
        <v>684</v>
      </c>
      <c r="G327" s="29" t="s">
        <v>35</v>
      </c>
      <c r="H327" s="29" t="s">
        <v>64</v>
      </c>
      <c r="I327" s="29" t="s">
        <v>190</v>
      </c>
      <c r="J327" s="29" t="s">
        <v>685</v>
      </c>
      <c r="K327" s="29" t="s">
        <v>192</v>
      </c>
      <c r="L327" s="29" t="s">
        <v>29</v>
      </c>
      <c r="M327" s="29" t="n">
        <v>609</v>
      </c>
      <c r="N327" s="29" t="n">
        <v>909</v>
      </c>
      <c r="O327" s="29"/>
      <c r="P327" s="30" t="n">
        <f aca="false">(M327*N327/1000000)*(INDEX(AreaRate_Vals,MATCH(C327,AreaRate_Keys,0))+IFERROR(INDEX(GlazingUpg_Vals,MATCH(H327,GlazingUpg_Keys,0)),0))+INDEX(Hardware_Vals,MATCH("Windows",Hardware_Keys,0))</f>
        <v>1716.98965</v>
      </c>
      <c r="Q327" s="31" t="n">
        <f aca="false">INDEX(Markup_Vals,MATCH("Windows",MarkupCat_Keys,0))</f>
        <v>0.42</v>
      </c>
      <c r="R327" s="32" t="n">
        <f aca="false">P327*(1+Q327)</f>
        <v>2438.125303</v>
      </c>
      <c r="S327" s="32" t="n">
        <f aca="false">R327*(1-TradeDiscount)</f>
        <v>2145.55026664</v>
      </c>
      <c r="T327" s="32" t="n">
        <f aca="false">R327*(1-VolumeDiscount)</f>
        <v>1950.5002424</v>
      </c>
    </row>
    <row r="328" customFormat="false" ht="15" hidden="false" customHeight="false" outlineLevel="0" collapsed="false">
      <c r="A328" s="25" t="s">
        <v>862</v>
      </c>
      <c r="B328" s="25" t="s">
        <v>96</v>
      </c>
      <c r="C328" s="25" t="s">
        <v>42</v>
      </c>
      <c r="D328" s="25" t="s">
        <v>863</v>
      </c>
      <c r="E328" s="25" t="s">
        <v>851</v>
      </c>
      <c r="F328" s="25" t="s">
        <v>684</v>
      </c>
      <c r="G328" s="25" t="s">
        <v>36</v>
      </c>
      <c r="H328" s="25" t="s">
        <v>64</v>
      </c>
      <c r="I328" s="25" t="s">
        <v>190</v>
      </c>
      <c r="J328" s="25" t="s">
        <v>685</v>
      </c>
      <c r="K328" s="25" t="s">
        <v>192</v>
      </c>
      <c r="L328" s="25" t="s">
        <v>29</v>
      </c>
      <c r="M328" s="25" t="n">
        <v>609</v>
      </c>
      <c r="N328" s="25" t="n">
        <v>909</v>
      </c>
      <c r="O328" s="25"/>
      <c r="P328" s="26" t="n">
        <f aca="false">(M328*N328/1000000)*(INDEX(AreaRate_Vals,MATCH(C328,AreaRate_Keys,0))+IFERROR(INDEX(GlazingUpg_Vals,MATCH(H328,GlazingUpg_Keys,0)),0))+INDEX(Hardware_Vals,MATCH("Windows",Hardware_Keys,0))</f>
        <v>1716.98965</v>
      </c>
      <c r="Q328" s="27" t="n">
        <f aca="false">INDEX(Markup_Vals,MATCH("Windows",MarkupCat_Keys,0))</f>
        <v>0.42</v>
      </c>
      <c r="R328" s="28" t="n">
        <f aca="false">P328*(1+Q328)</f>
        <v>2438.125303</v>
      </c>
      <c r="S328" s="28" t="n">
        <f aca="false">R328*(1-TradeDiscount)</f>
        <v>2145.55026664</v>
      </c>
      <c r="T328" s="28" t="n">
        <f aca="false">R328*(1-VolumeDiscount)</f>
        <v>1950.5002424</v>
      </c>
    </row>
    <row r="329" customFormat="false" ht="15" hidden="false" customHeight="false" outlineLevel="0" collapsed="false">
      <c r="A329" s="29" t="s">
        <v>864</v>
      </c>
      <c r="B329" s="29" t="s">
        <v>96</v>
      </c>
      <c r="C329" s="29" t="s">
        <v>42</v>
      </c>
      <c r="D329" s="29" t="s">
        <v>865</v>
      </c>
      <c r="E329" s="29" t="s">
        <v>851</v>
      </c>
      <c r="F329" s="29" t="s">
        <v>684</v>
      </c>
      <c r="G329" s="29" t="s">
        <v>37</v>
      </c>
      <c r="H329" s="29" t="s">
        <v>64</v>
      </c>
      <c r="I329" s="29" t="s">
        <v>190</v>
      </c>
      <c r="J329" s="29" t="s">
        <v>685</v>
      </c>
      <c r="K329" s="29" t="s">
        <v>192</v>
      </c>
      <c r="L329" s="29" t="s">
        <v>29</v>
      </c>
      <c r="M329" s="29" t="n">
        <v>609</v>
      </c>
      <c r="N329" s="29" t="n">
        <v>909</v>
      </c>
      <c r="O329" s="29"/>
      <c r="P329" s="30" t="n">
        <f aca="false">(M329*N329/1000000)*(INDEX(AreaRate_Vals,MATCH(C329,AreaRate_Keys,0))+IFERROR(INDEX(GlazingUpg_Vals,MATCH(H329,GlazingUpg_Keys,0)),0))+INDEX(Hardware_Vals,MATCH("Windows",Hardware_Keys,0))</f>
        <v>1716.98965</v>
      </c>
      <c r="Q329" s="31" t="n">
        <f aca="false">INDEX(Markup_Vals,MATCH("Windows",MarkupCat_Keys,0))</f>
        <v>0.42</v>
      </c>
      <c r="R329" s="32" t="n">
        <f aca="false">P329*(1+Q329)</f>
        <v>2438.125303</v>
      </c>
      <c r="S329" s="32" t="n">
        <f aca="false">R329*(1-TradeDiscount)</f>
        <v>2145.55026664</v>
      </c>
      <c r="T329" s="32" t="n">
        <f aca="false">R329*(1-VolumeDiscount)</f>
        <v>1950.5002424</v>
      </c>
    </row>
    <row r="330" customFormat="false" ht="15" hidden="false" customHeight="false" outlineLevel="0" collapsed="false">
      <c r="A330" s="25" t="s">
        <v>866</v>
      </c>
      <c r="B330" s="25" t="s">
        <v>96</v>
      </c>
      <c r="C330" s="25" t="s">
        <v>42</v>
      </c>
      <c r="D330" s="25" t="s">
        <v>867</v>
      </c>
      <c r="E330" s="25" t="s">
        <v>851</v>
      </c>
      <c r="F330" s="25" t="s">
        <v>684</v>
      </c>
      <c r="G330" s="25" t="s">
        <v>39</v>
      </c>
      <c r="H330" s="25" t="s">
        <v>64</v>
      </c>
      <c r="I330" s="25" t="s">
        <v>190</v>
      </c>
      <c r="J330" s="25" t="s">
        <v>685</v>
      </c>
      <c r="K330" s="25" t="s">
        <v>192</v>
      </c>
      <c r="L330" s="25" t="s">
        <v>29</v>
      </c>
      <c r="M330" s="25" t="n">
        <v>609</v>
      </c>
      <c r="N330" s="25" t="n">
        <v>909</v>
      </c>
      <c r="O330" s="25"/>
      <c r="P330" s="26" t="n">
        <f aca="false">(M330*N330/1000000)*(INDEX(AreaRate_Vals,MATCH(C330,AreaRate_Keys,0))+IFERROR(INDEX(GlazingUpg_Vals,MATCH(H330,GlazingUpg_Keys,0)),0))+INDEX(Hardware_Vals,MATCH("Windows",Hardware_Keys,0))</f>
        <v>1716.98965</v>
      </c>
      <c r="Q330" s="27" t="n">
        <f aca="false">INDEX(Markup_Vals,MATCH("Windows",MarkupCat_Keys,0))</f>
        <v>0.42</v>
      </c>
      <c r="R330" s="28" t="n">
        <f aca="false">P330*(1+Q330)</f>
        <v>2438.125303</v>
      </c>
      <c r="S330" s="28" t="n">
        <f aca="false">R330*(1-TradeDiscount)</f>
        <v>2145.55026664</v>
      </c>
      <c r="T330" s="28" t="n">
        <f aca="false">R330*(1-VolumeDiscount)</f>
        <v>1950.5002424</v>
      </c>
    </row>
    <row r="331" customFormat="false" ht="15" hidden="false" customHeight="false" outlineLevel="0" collapsed="false">
      <c r="A331" s="29" t="s">
        <v>868</v>
      </c>
      <c r="B331" s="29" t="s">
        <v>96</v>
      </c>
      <c r="C331" s="29" t="s">
        <v>42</v>
      </c>
      <c r="D331" s="29" t="s">
        <v>869</v>
      </c>
      <c r="E331" s="29" t="s">
        <v>851</v>
      </c>
      <c r="F331" s="29" t="s">
        <v>684</v>
      </c>
      <c r="G331" s="29" t="s">
        <v>38</v>
      </c>
      <c r="H331" s="29" t="s">
        <v>64</v>
      </c>
      <c r="I331" s="29" t="s">
        <v>190</v>
      </c>
      <c r="J331" s="29" t="s">
        <v>685</v>
      </c>
      <c r="K331" s="29" t="s">
        <v>192</v>
      </c>
      <c r="L331" s="29" t="s">
        <v>29</v>
      </c>
      <c r="M331" s="29" t="n">
        <v>609</v>
      </c>
      <c r="N331" s="29" t="n">
        <v>909</v>
      </c>
      <c r="O331" s="29"/>
      <c r="P331" s="30" t="n">
        <f aca="false">(M331*N331/1000000)*(INDEX(AreaRate_Vals,MATCH(C331,AreaRate_Keys,0))+IFERROR(INDEX(GlazingUpg_Vals,MATCH(H331,GlazingUpg_Keys,0)),0))+INDEX(Hardware_Vals,MATCH("Windows",Hardware_Keys,0))</f>
        <v>1716.98965</v>
      </c>
      <c r="Q331" s="31" t="n">
        <f aca="false">INDEX(Markup_Vals,MATCH("Windows",MarkupCat_Keys,0))</f>
        <v>0.42</v>
      </c>
      <c r="R331" s="32" t="n">
        <f aca="false">P331*(1+Q331)</f>
        <v>2438.125303</v>
      </c>
      <c r="S331" s="32" t="n">
        <f aca="false">R331*(1-TradeDiscount)</f>
        <v>2145.55026664</v>
      </c>
      <c r="T331" s="32" t="n">
        <f aca="false">R331*(1-VolumeDiscount)</f>
        <v>1950.5002424</v>
      </c>
    </row>
    <row r="332" customFormat="false" ht="15" hidden="false" customHeight="false" outlineLevel="0" collapsed="false">
      <c r="A332" s="25" t="s">
        <v>870</v>
      </c>
      <c r="B332" s="25" t="s">
        <v>96</v>
      </c>
      <c r="C332" s="25" t="s">
        <v>42</v>
      </c>
      <c r="D332" s="25" t="s">
        <v>871</v>
      </c>
      <c r="E332" s="25" t="s">
        <v>851</v>
      </c>
      <c r="F332" s="25" t="s">
        <v>706</v>
      </c>
      <c r="G332" s="25" t="s">
        <v>35</v>
      </c>
      <c r="H332" s="25" t="s">
        <v>63</v>
      </c>
      <c r="I332" s="25" t="s">
        <v>190</v>
      </c>
      <c r="J332" s="25" t="s">
        <v>685</v>
      </c>
      <c r="K332" s="25" t="s">
        <v>192</v>
      </c>
      <c r="L332" s="25" t="s">
        <v>29</v>
      </c>
      <c r="M332" s="25" t="n">
        <v>609</v>
      </c>
      <c r="N332" s="25" t="n">
        <v>1209</v>
      </c>
      <c r="O332" s="25"/>
      <c r="P332" s="26" t="n">
        <f aca="false">(M332*N332/1000000)*(INDEX(AreaRate_Vals,MATCH(C332,AreaRate_Keys,0))+IFERROR(INDEX(GlazingUpg_Vals,MATCH(H332,GlazingUpg_Keys,0)),0))+INDEX(Hardware_Vals,MATCH("Windows",Hardware_Keys,0))</f>
        <v>1796.1901</v>
      </c>
      <c r="Q332" s="27" t="n">
        <f aca="false">INDEX(Markup_Vals,MATCH("Windows",MarkupCat_Keys,0))</f>
        <v>0.42</v>
      </c>
      <c r="R332" s="28" t="n">
        <f aca="false">P332*(1+Q332)</f>
        <v>2550.589942</v>
      </c>
      <c r="S332" s="28" t="n">
        <f aca="false">R332*(1-TradeDiscount)</f>
        <v>2244.51914896</v>
      </c>
      <c r="T332" s="28" t="n">
        <f aca="false">R332*(1-VolumeDiscount)</f>
        <v>2040.4719536</v>
      </c>
    </row>
    <row r="333" customFormat="false" ht="15" hidden="false" customHeight="false" outlineLevel="0" collapsed="false">
      <c r="A333" s="29" t="s">
        <v>872</v>
      </c>
      <c r="B333" s="29" t="s">
        <v>96</v>
      </c>
      <c r="C333" s="29" t="s">
        <v>42</v>
      </c>
      <c r="D333" s="29" t="s">
        <v>873</v>
      </c>
      <c r="E333" s="29" t="s">
        <v>851</v>
      </c>
      <c r="F333" s="29" t="s">
        <v>706</v>
      </c>
      <c r="G333" s="29" t="s">
        <v>36</v>
      </c>
      <c r="H333" s="29" t="s">
        <v>63</v>
      </c>
      <c r="I333" s="29" t="s">
        <v>190</v>
      </c>
      <c r="J333" s="29" t="s">
        <v>685</v>
      </c>
      <c r="K333" s="29" t="s">
        <v>192</v>
      </c>
      <c r="L333" s="29" t="s">
        <v>29</v>
      </c>
      <c r="M333" s="29" t="n">
        <v>609</v>
      </c>
      <c r="N333" s="29" t="n">
        <v>1209</v>
      </c>
      <c r="O333" s="29"/>
      <c r="P333" s="30" t="n">
        <f aca="false">(M333*N333/1000000)*(INDEX(AreaRate_Vals,MATCH(C333,AreaRate_Keys,0))+IFERROR(INDEX(GlazingUpg_Vals,MATCH(H333,GlazingUpg_Keys,0)),0))+INDEX(Hardware_Vals,MATCH("Windows",Hardware_Keys,0))</f>
        <v>1796.1901</v>
      </c>
      <c r="Q333" s="31" t="n">
        <f aca="false">INDEX(Markup_Vals,MATCH("Windows",MarkupCat_Keys,0))</f>
        <v>0.42</v>
      </c>
      <c r="R333" s="32" t="n">
        <f aca="false">P333*(1+Q333)</f>
        <v>2550.589942</v>
      </c>
      <c r="S333" s="32" t="n">
        <f aca="false">R333*(1-TradeDiscount)</f>
        <v>2244.51914896</v>
      </c>
      <c r="T333" s="32" t="n">
        <f aca="false">R333*(1-VolumeDiscount)</f>
        <v>2040.4719536</v>
      </c>
    </row>
    <row r="334" customFormat="false" ht="15" hidden="false" customHeight="false" outlineLevel="0" collapsed="false">
      <c r="A334" s="25" t="s">
        <v>874</v>
      </c>
      <c r="B334" s="25" t="s">
        <v>96</v>
      </c>
      <c r="C334" s="25" t="s">
        <v>42</v>
      </c>
      <c r="D334" s="25" t="s">
        <v>875</v>
      </c>
      <c r="E334" s="25" t="s">
        <v>851</v>
      </c>
      <c r="F334" s="25" t="s">
        <v>706</v>
      </c>
      <c r="G334" s="25" t="s">
        <v>37</v>
      </c>
      <c r="H334" s="25" t="s">
        <v>63</v>
      </c>
      <c r="I334" s="25" t="s">
        <v>190</v>
      </c>
      <c r="J334" s="25" t="s">
        <v>685</v>
      </c>
      <c r="K334" s="25" t="s">
        <v>192</v>
      </c>
      <c r="L334" s="25" t="s">
        <v>29</v>
      </c>
      <c r="M334" s="25" t="n">
        <v>609</v>
      </c>
      <c r="N334" s="25" t="n">
        <v>1209</v>
      </c>
      <c r="O334" s="25"/>
      <c r="P334" s="26" t="n">
        <f aca="false">(M334*N334/1000000)*(INDEX(AreaRate_Vals,MATCH(C334,AreaRate_Keys,0))+IFERROR(INDEX(GlazingUpg_Vals,MATCH(H334,GlazingUpg_Keys,0)),0))+INDEX(Hardware_Vals,MATCH("Windows",Hardware_Keys,0))</f>
        <v>1796.1901</v>
      </c>
      <c r="Q334" s="27" t="n">
        <f aca="false">INDEX(Markup_Vals,MATCH("Windows",MarkupCat_Keys,0))</f>
        <v>0.42</v>
      </c>
      <c r="R334" s="28" t="n">
        <f aca="false">P334*(1+Q334)</f>
        <v>2550.589942</v>
      </c>
      <c r="S334" s="28" t="n">
        <f aca="false">R334*(1-TradeDiscount)</f>
        <v>2244.51914896</v>
      </c>
      <c r="T334" s="28" t="n">
        <f aca="false">R334*(1-VolumeDiscount)</f>
        <v>2040.4719536</v>
      </c>
    </row>
    <row r="335" customFormat="false" ht="15" hidden="false" customHeight="false" outlineLevel="0" collapsed="false">
      <c r="A335" s="29" t="s">
        <v>876</v>
      </c>
      <c r="B335" s="29" t="s">
        <v>96</v>
      </c>
      <c r="C335" s="29" t="s">
        <v>42</v>
      </c>
      <c r="D335" s="29" t="s">
        <v>877</v>
      </c>
      <c r="E335" s="29" t="s">
        <v>851</v>
      </c>
      <c r="F335" s="29" t="s">
        <v>706</v>
      </c>
      <c r="G335" s="29" t="s">
        <v>39</v>
      </c>
      <c r="H335" s="29" t="s">
        <v>63</v>
      </c>
      <c r="I335" s="29" t="s">
        <v>190</v>
      </c>
      <c r="J335" s="29" t="s">
        <v>685</v>
      </c>
      <c r="K335" s="29" t="s">
        <v>192</v>
      </c>
      <c r="L335" s="29" t="s">
        <v>29</v>
      </c>
      <c r="M335" s="29" t="n">
        <v>609</v>
      </c>
      <c r="N335" s="29" t="n">
        <v>1209</v>
      </c>
      <c r="O335" s="29"/>
      <c r="P335" s="30" t="n">
        <f aca="false">(M335*N335/1000000)*(INDEX(AreaRate_Vals,MATCH(C335,AreaRate_Keys,0))+IFERROR(INDEX(GlazingUpg_Vals,MATCH(H335,GlazingUpg_Keys,0)),0))+INDEX(Hardware_Vals,MATCH("Windows",Hardware_Keys,0))</f>
        <v>1796.1901</v>
      </c>
      <c r="Q335" s="31" t="n">
        <f aca="false">INDEX(Markup_Vals,MATCH("Windows",MarkupCat_Keys,0))</f>
        <v>0.42</v>
      </c>
      <c r="R335" s="32" t="n">
        <f aca="false">P335*(1+Q335)</f>
        <v>2550.589942</v>
      </c>
      <c r="S335" s="32" t="n">
        <f aca="false">R335*(1-TradeDiscount)</f>
        <v>2244.51914896</v>
      </c>
      <c r="T335" s="32" t="n">
        <f aca="false">R335*(1-VolumeDiscount)</f>
        <v>2040.4719536</v>
      </c>
    </row>
    <row r="336" customFormat="false" ht="15" hidden="false" customHeight="false" outlineLevel="0" collapsed="false">
      <c r="A336" s="25" t="s">
        <v>878</v>
      </c>
      <c r="B336" s="25" t="s">
        <v>96</v>
      </c>
      <c r="C336" s="25" t="s">
        <v>42</v>
      </c>
      <c r="D336" s="25" t="s">
        <v>879</v>
      </c>
      <c r="E336" s="25" t="s">
        <v>851</v>
      </c>
      <c r="F336" s="25" t="s">
        <v>706</v>
      </c>
      <c r="G336" s="25" t="s">
        <v>38</v>
      </c>
      <c r="H336" s="25" t="s">
        <v>63</v>
      </c>
      <c r="I336" s="25" t="s">
        <v>190</v>
      </c>
      <c r="J336" s="25" t="s">
        <v>685</v>
      </c>
      <c r="K336" s="25" t="s">
        <v>192</v>
      </c>
      <c r="L336" s="25" t="s">
        <v>29</v>
      </c>
      <c r="M336" s="25" t="n">
        <v>609</v>
      </c>
      <c r="N336" s="25" t="n">
        <v>1209</v>
      </c>
      <c r="O336" s="25"/>
      <c r="P336" s="26" t="n">
        <f aca="false">(M336*N336/1000000)*(INDEX(AreaRate_Vals,MATCH(C336,AreaRate_Keys,0))+IFERROR(INDEX(GlazingUpg_Vals,MATCH(H336,GlazingUpg_Keys,0)),0))+INDEX(Hardware_Vals,MATCH("Windows",Hardware_Keys,0))</f>
        <v>1796.1901</v>
      </c>
      <c r="Q336" s="27" t="n">
        <f aca="false">INDEX(Markup_Vals,MATCH("Windows",MarkupCat_Keys,0))</f>
        <v>0.42</v>
      </c>
      <c r="R336" s="28" t="n">
        <f aca="false">P336*(1+Q336)</f>
        <v>2550.589942</v>
      </c>
      <c r="S336" s="28" t="n">
        <f aca="false">R336*(1-TradeDiscount)</f>
        <v>2244.51914896</v>
      </c>
      <c r="T336" s="28" t="n">
        <f aca="false">R336*(1-VolumeDiscount)</f>
        <v>2040.4719536</v>
      </c>
    </row>
    <row r="337" customFormat="false" ht="15" hidden="false" customHeight="false" outlineLevel="0" collapsed="false">
      <c r="A337" s="29" t="s">
        <v>880</v>
      </c>
      <c r="B337" s="29" t="s">
        <v>96</v>
      </c>
      <c r="C337" s="29" t="s">
        <v>42</v>
      </c>
      <c r="D337" s="29" t="s">
        <v>881</v>
      </c>
      <c r="E337" s="29" t="s">
        <v>851</v>
      </c>
      <c r="F337" s="29" t="s">
        <v>706</v>
      </c>
      <c r="G337" s="29" t="s">
        <v>35</v>
      </c>
      <c r="H337" s="29" t="s">
        <v>64</v>
      </c>
      <c r="I337" s="29" t="s">
        <v>190</v>
      </c>
      <c r="J337" s="29" t="s">
        <v>685</v>
      </c>
      <c r="K337" s="29" t="s">
        <v>192</v>
      </c>
      <c r="L337" s="29" t="s">
        <v>29</v>
      </c>
      <c r="M337" s="29" t="n">
        <v>609</v>
      </c>
      <c r="N337" s="29" t="n">
        <v>1209</v>
      </c>
      <c r="O337" s="29"/>
      <c r="P337" s="30" t="n">
        <f aca="false">(M337*N337/1000000)*(INDEX(AreaRate_Vals,MATCH(C337,AreaRate_Keys,0))+IFERROR(INDEX(GlazingUpg_Vals,MATCH(H337,GlazingUpg_Keys,0)),0))+INDEX(Hardware_Vals,MATCH("Windows",Hardware_Keys,0))</f>
        <v>2201.14465</v>
      </c>
      <c r="Q337" s="31" t="n">
        <f aca="false">INDEX(Markup_Vals,MATCH("Windows",MarkupCat_Keys,0))</f>
        <v>0.42</v>
      </c>
      <c r="R337" s="32" t="n">
        <f aca="false">P337*(1+Q337)</f>
        <v>3125.625403</v>
      </c>
      <c r="S337" s="32" t="n">
        <f aca="false">R337*(1-TradeDiscount)</f>
        <v>2750.55035464</v>
      </c>
      <c r="T337" s="32" t="n">
        <f aca="false">R337*(1-VolumeDiscount)</f>
        <v>2500.5003224</v>
      </c>
    </row>
    <row r="338" customFormat="false" ht="15" hidden="false" customHeight="false" outlineLevel="0" collapsed="false">
      <c r="A338" s="25" t="s">
        <v>882</v>
      </c>
      <c r="B338" s="25" t="s">
        <v>96</v>
      </c>
      <c r="C338" s="25" t="s">
        <v>42</v>
      </c>
      <c r="D338" s="25" t="s">
        <v>883</v>
      </c>
      <c r="E338" s="25" t="s">
        <v>851</v>
      </c>
      <c r="F338" s="25" t="s">
        <v>706</v>
      </c>
      <c r="G338" s="25" t="s">
        <v>36</v>
      </c>
      <c r="H338" s="25" t="s">
        <v>64</v>
      </c>
      <c r="I338" s="25" t="s">
        <v>190</v>
      </c>
      <c r="J338" s="25" t="s">
        <v>685</v>
      </c>
      <c r="K338" s="25" t="s">
        <v>192</v>
      </c>
      <c r="L338" s="25" t="s">
        <v>29</v>
      </c>
      <c r="M338" s="25" t="n">
        <v>609</v>
      </c>
      <c r="N338" s="25" t="n">
        <v>1209</v>
      </c>
      <c r="O338" s="25"/>
      <c r="P338" s="26" t="n">
        <f aca="false">(M338*N338/1000000)*(INDEX(AreaRate_Vals,MATCH(C338,AreaRate_Keys,0))+IFERROR(INDEX(GlazingUpg_Vals,MATCH(H338,GlazingUpg_Keys,0)),0))+INDEX(Hardware_Vals,MATCH("Windows",Hardware_Keys,0))</f>
        <v>2201.14465</v>
      </c>
      <c r="Q338" s="27" t="n">
        <f aca="false">INDEX(Markup_Vals,MATCH("Windows",MarkupCat_Keys,0))</f>
        <v>0.42</v>
      </c>
      <c r="R338" s="28" t="n">
        <f aca="false">P338*(1+Q338)</f>
        <v>3125.625403</v>
      </c>
      <c r="S338" s="28" t="n">
        <f aca="false">R338*(1-TradeDiscount)</f>
        <v>2750.55035464</v>
      </c>
      <c r="T338" s="28" t="n">
        <f aca="false">R338*(1-VolumeDiscount)</f>
        <v>2500.5003224</v>
      </c>
    </row>
    <row r="339" customFormat="false" ht="15" hidden="false" customHeight="false" outlineLevel="0" collapsed="false">
      <c r="A339" s="29" t="s">
        <v>884</v>
      </c>
      <c r="B339" s="29" t="s">
        <v>96</v>
      </c>
      <c r="C339" s="29" t="s">
        <v>42</v>
      </c>
      <c r="D339" s="29" t="s">
        <v>885</v>
      </c>
      <c r="E339" s="29" t="s">
        <v>851</v>
      </c>
      <c r="F339" s="29" t="s">
        <v>706</v>
      </c>
      <c r="G339" s="29" t="s">
        <v>37</v>
      </c>
      <c r="H339" s="29" t="s">
        <v>64</v>
      </c>
      <c r="I339" s="29" t="s">
        <v>190</v>
      </c>
      <c r="J339" s="29" t="s">
        <v>685</v>
      </c>
      <c r="K339" s="29" t="s">
        <v>192</v>
      </c>
      <c r="L339" s="29" t="s">
        <v>29</v>
      </c>
      <c r="M339" s="29" t="n">
        <v>609</v>
      </c>
      <c r="N339" s="29" t="n">
        <v>1209</v>
      </c>
      <c r="O339" s="29"/>
      <c r="P339" s="30" t="n">
        <f aca="false">(M339*N339/1000000)*(INDEX(AreaRate_Vals,MATCH(C339,AreaRate_Keys,0))+IFERROR(INDEX(GlazingUpg_Vals,MATCH(H339,GlazingUpg_Keys,0)),0))+INDEX(Hardware_Vals,MATCH("Windows",Hardware_Keys,0))</f>
        <v>2201.14465</v>
      </c>
      <c r="Q339" s="31" t="n">
        <f aca="false">INDEX(Markup_Vals,MATCH("Windows",MarkupCat_Keys,0))</f>
        <v>0.42</v>
      </c>
      <c r="R339" s="32" t="n">
        <f aca="false">P339*(1+Q339)</f>
        <v>3125.625403</v>
      </c>
      <c r="S339" s="32" t="n">
        <f aca="false">R339*(1-TradeDiscount)</f>
        <v>2750.55035464</v>
      </c>
      <c r="T339" s="32" t="n">
        <f aca="false">R339*(1-VolumeDiscount)</f>
        <v>2500.5003224</v>
      </c>
    </row>
    <row r="340" customFormat="false" ht="15" hidden="false" customHeight="false" outlineLevel="0" collapsed="false">
      <c r="A340" s="25" t="s">
        <v>886</v>
      </c>
      <c r="B340" s="25" t="s">
        <v>96</v>
      </c>
      <c r="C340" s="25" t="s">
        <v>42</v>
      </c>
      <c r="D340" s="25" t="s">
        <v>887</v>
      </c>
      <c r="E340" s="25" t="s">
        <v>851</v>
      </c>
      <c r="F340" s="25" t="s">
        <v>706</v>
      </c>
      <c r="G340" s="25" t="s">
        <v>39</v>
      </c>
      <c r="H340" s="25" t="s">
        <v>64</v>
      </c>
      <c r="I340" s="25" t="s">
        <v>190</v>
      </c>
      <c r="J340" s="25" t="s">
        <v>685</v>
      </c>
      <c r="K340" s="25" t="s">
        <v>192</v>
      </c>
      <c r="L340" s="25" t="s">
        <v>29</v>
      </c>
      <c r="M340" s="25" t="n">
        <v>609</v>
      </c>
      <c r="N340" s="25" t="n">
        <v>1209</v>
      </c>
      <c r="O340" s="25"/>
      <c r="P340" s="26" t="n">
        <f aca="false">(M340*N340/1000000)*(INDEX(AreaRate_Vals,MATCH(C340,AreaRate_Keys,0))+IFERROR(INDEX(GlazingUpg_Vals,MATCH(H340,GlazingUpg_Keys,0)),0))+INDEX(Hardware_Vals,MATCH("Windows",Hardware_Keys,0))</f>
        <v>2201.14465</v>
      </c>
      <c r="Q340" s="27" t="n">
        <f aca="false">INDEX(Markup_Vals,MATCH("Windows",MarkupCat_Keys,0))</f>
        <v>0.42</v>
      </c>
      <c r="R340" s="28" t="n">
        <f aca="false">P340*(1+Q340)</f>
        <v>3125.625403</v>
      </c>
      <c r="S340" s="28" t="n">
        <f aca="false">R340*(1-TradeDiscount)</f>
        <v>2750.55035464</v>
      </c>
      <c r="T340" s="28" t="n">
        <f aca="false">R340*(1-VolumeDiscount)</f>
        <v>2500.5003224</v>
      </c>
    </row>
    <row r="341" customFormat="false" ht="15" hidden="false" customHeight="false" outlineLevel="0" collapsed="false">
      <c r="A341" s="29" t="s">
        <v>888</v>
      </c>
      <c r="B341" s="29" t="s">
        <v>96</v>
      </c>
      <c r="C341" s="29" t="s">
        <v>42</v>
      </c>
      <c r="D341" s="29" t="s">
        <v>889</v>
      </c>
      <c r="E341" s="29" t="s">
        <v>851</v>
      </c>
      <c r="F341" s="29" t="s">
        <v>706</v>
      </c>
      <c r="G341" s="29" t="s">
        <v>38</v>
      </c>
      <c r="H341" s="29" t="s">
        <v>64</v>
      </c>
      <c r="I341" s="29" t="s">
        <v>190</v>
      </c>
      <c r="J341" s="29" t="s">
        <v>685</v>
      </c>
      <c r="K341" s="29" t="s">
        <v>192</v>
      </c>
      <c r="L341" s="29" t="s">
        <v>29</v>
      </c>
      <c r="M341" s="29" t="n">
        <v>609</v>
      </c>
      <c r="N341" s="29" t="n">
        <v>1209</v>
      </c>
      <c r="O341" s="29"/>
      <c r="P341" s="30" t="n">
        <f aca="false">(M341*N341/1000000)*(INDEX(AreaRate_Vals,MATCH(C341,AreaRate_Keys,0))+IFERROR(INDEX(GlazingUpg_Vals,MATCH(H341,GlazingUpg_Keys,0)),0))+INDEX(Hardware_Vals,MATCH("Windows",Hardware_Keys,0))</f>
        <v>2201.14465</v>
      </c>
      <c r="Q341" s="31" t="n">
        <f aca="false">INDEX(Markup_Vals,MATCH("Windows",MarkupCat_Keys,0))</f>
        <v>0.42</v>
      </c>
      <c r="R341" s="32" t="n">
        <f aca="false">P341*(1+Q341)</f>
        <v>3125.625403</v>
      </c>
      <c r="S341" s="32" t="n">
        <f aca="false">R341*(1-TradeDiscount)</f>
        <v>2750.55035464</v>
      </c>
      <c r="T341" s="32" t="n">
        <f aca="false">R341*(1-VolumeDiscount)</f>
        <v>2500.5003224</v>
      </c>
    </row>
    <row r="342" customFormat="false" ht="15" hidden="false" customHeight="false" outlineLevel="0" collapsed="false">
      <c r="A342" s="25" t="s">
        <v>890</v>
      </c>
      <c r="B342" s="25" t="s">
        <v>96</v>
      </c>
      <c r="C342" s="25" t="s">
        <v>42</v>
      </c>
      <c r="D342" s="25" t="s">
        <v>891</v>
      </c>
      <c r="E342" s="25" t="s">
        <v>851</v>
      </c>
      <c r="F342" s="25" t="s">
        <v>727</v>
      </c>
      <c r="G342" s="25" t="s">
        <v>35</v>
      </c>
      <c r="H342" s="25" t="s">
        <v>63</v>
      </c>
      <c r="I342" s="25" t="s">
        <v>190</v>
      </c>
      <c r="J342" s="25" t="s">
        <v>685</v>
      </c>
      <c r="K342" s="25" t="s">
        <v>192</v>
      </c>
      <c r="L342" s="25" t="s">
        <v>29</v>
      </c>
      <c r="M342" s="25" t="n">
        <v>909</v>
      </c>
      <c r="N342" s="25" t="n">
        <v>1209</v>
      </c>
      <c r="O342" s="25"/>
      <c r="P342" s="26" t="n">
        <f aca="false">(M342*N342/1000000)*(INDEX(AreaRate_Vals,MATCH(C342,AreaRate_Keys,0))+IFERROR(INDEX(GlazingUpg_Vals,MATCH(H342,GlazingUpg_Keys,0)),0))+INDEX(Hardware_Vals,MATCH("Windows",Hardware_Keys,0))</f>
        <v>2557.8601</v>
      </c>
      <c r="Q342" s="27" t="n">
        <f aca="false">INDEX(Markup_Vals,MATCH("Windows",MarkupCat_Keys,0))</f>
        <v>0.42</v>
      </c>
      <c r="R342" s="28" t="n">
        <f aca="false">P342*(1+Q342)</f>
        <v>3632.161342</v>
      </c>
      <c r="S342" s="28" t="n">
        <f aca="false">R342*(1-TradeDiscount)</f>
        <v>3196.30198096</v>
      </c>
      <c r="T342" s="28" t="n">
        <f aca="false">R342*(1-VolumeDiscount)</f>
        <v>2905.7290736</v>
      </c>
    </row>
    <row r="343" customFormat="false" ht="15" hidden="false" customHeight="false" outlineLevel="0" collapsed="false">
      <c r="A343" s="29" t="s">
        <v>892</v>
      </c>
      <c r="B343" s="29" t="s">
        <v>96</v>
      </c>
      <c r="C343" s="29" t="s">
        <v>42</v>
      </c>
      <c r="D343" s="29" t="s">
        <v>893</v>
      </c>
      <c r="E343" s="29" t="s">
        <v>851</v>
      </c>
      <c r="F343" s="29" t="s">
        <v>727</v>
      </c>
      <c r="G343" s="29" t="s">
        <v>36</v>
      </c>
      <c r="H343" s="29" t="s">
        <v>63</v>
      </c>
      <c r="I343" s="29" t="s">
        <v>190</v>
      </c>
      <c r="J343" s="29" t="s">
        <v>685</v>
      </c>
      <c r="K343" s="29" t="s">
        <v>192</v>
      </c>
      <c r="L343" s="29" t="s">
        <v>29</v>
      </c>
      <c r="M343" s="29" t="n">
        <v>909</v>
      </c>
      <c r="N343" s="29" t="n">
        <v>1209</v>
      </c>
      <c r="O343" s="29"/>
      <c r="P343" s="30" t="n">
        <f aca="false">(M343*N343/1000000)*(INDEX(AreaRate_Vals,MATCH(C343,AreaRate_Keys,0))+IFERROR(INDEX(GlazingUpg_Vals,MATCH(H343,GlazingUpg_Keys,0)),0))+INDEX(Hardware_Vals,MATCH("Windows",Hardware_Keys,0))</f>
        <v>2557.8601</v>
      </c>
      <c r="Q343" s="31" t="n">
        <f aca="false">INDEX(Markup_Vals,MATCH("Windows",MarkupCat_Keys,0))</f>
        <v>0.42</v>
      </c>
      <c r="R343" s="32" t="n">
        <f aca="false">P343*(1+Q343)</f>
        <v>3632.161342</v>
      </c>
      <c r="S343" s="32" t="n">
        <f aca="false">R343*(1-TradeDiscount)</f>
        <v>3196.30198096</v>
      </c>
      <c r="T343" s="32" t="n">
        <f aca="false">R343*(1-VolumeDiscount)</f>
        <v>2905.7290736</v>
      </c>
    </row>
    <row r="344" customFormat="false" ht="15" hidden="false" customHeight="false" outlineLevel="0" collapsed="false">
      <c r="A344" s="25" t="s">
        <v>894</v>
      </c>
      <c r="B344" s="25" t="s">
        <v>96</v>
      </c>
      <c r="C344" s="25" t="s">
        <v>42</v>
      </c>
      <c r="D344" s="25" t="s">
        <v>895</v>
      </c>
      <c r="E344" s="25" t="s">
        <v>851</v>
      </c>
      <c r="F344" s="25" t="s">
        <v>727</v>
      </c>
      <c r="G344" s="25" t="s">
        <v>37</v>
      </c>
      <c r="H344" s="25" t="s">
        <v>63</v>
      </c>
      <c r="I344" s="25" t="s">
        <v>190</v>
      </c>
      <c r="J344" s="25" t="s">
        <v>685</v>
      </c>
      <c r="K344" s="25" t="s">
        <v>192</v>
      </c>
      <c r="L344" s="25" t="s">
        <v>29</v>
      </c>
      <c r="M344" s="25" t="n">
        <v>909</v>
      </c>
      <c r="N344" s="25" t="n">
        <v>1209</v>
      </c>
      <c r="O344" s="25"/>
      <c r="P344" s="26" t="n">
        <f aca="false">(M344*N344/1000000)*(INDEX(AreaRate_Vals,MATCH(C344,AreaRate_Keys,0))+IFERROR(INDEX(GlazingUpg_Vals,MATCH(H344,GlazingUpg_Keys,0)),0))+INDEX(Hardware_Vals,MATCH("Windows",Hardware_Keys,0))</f>
        <v>2557.8601</v>
      </c>
      <c r="Q344" s="27" t="n">
        <f aca="false">INDEX(Markup_Vals,MATCH("Windows",MarkupCat_Keys,0))</f>
        <v>0.42</v>
      </c>
      <c r="R344" s="28" t="n">
        <f aca="false">P344*(1+Q344)</f>
        <v>3632.161342</v>
      </c>
      <c r="S344" s="28" t="n">
        <f aca="false">R344*(1-TradeDiscount)</f>
        <v>3196.30198096</v>
      </c>
      <c r="T344" s="28" t="n">
        <f aca="false">R344*(1-VolumeDiscount)</f>
        <v>2905.7290736</v>
      </c>
    </row>
    <row r="345" customFormat="false" ht="15" hidden="false" customHeight="false" outlineLevel="0" collapsed="false">
      <c r="A345" s="29" t="s">
        <v>896</v>
      </c>
      <c r="B345" s="29" t="s">
        <v>96</v>
      </c>
      <c r="C345" s="29" t="s">
        <v>42</v>
      </c>
      <c r="D345" s="29" t="s">
        <v>897</v>
      </c>
      <c r="E345" s="29" t="s">
        <v>851</v>
      </c>
      <c r="F345" s="29" t="s">
        <v>727</v>
      </c>
      <c r="G345" s="29" t="s">
        <v>39</v>
      </c>
      <c r="H345" s="29" t="s">
        <v>63</v>
      </c>
      <c r="I345" s="29" t="s">
        <v>190</v>
      </c>
      <c r="J345" s="29" t="s">
        <v>685</v>
      </c>
      <c r="K345" s="29" t="s">
        <v>192</v>
      </c>
      <c r="L345" s="29" t="s">
        <v>29</v>
      </c>
      <c r="M345" s="29" t="n">
        <v>909</v>
      </c>
      <c r="N345" s="29" t="n">
        <v>1209</v>
      </c>
      <c r="O345" s="29"/>
      <c r="P345" s="30" t="n">
        <f aca="false">(M345*N345/1000000)*(INDEX(AreaRate_Vals,MATCH(C345,AreaRate_Keys,0))+IFERROR(INDEX(GlazingUpg_Vals,MATCH(H345,GlazingUpg_Keys,0)),0))+INDEX(Hardware_Vals,MATCH("Windows",Hardware_Keys,0))</f>
        <v>2557.8601</v>
      </c>
      <c r="Q345" s="31" t="n">
        <f aca="false">INDEX(Markup_Vals,MATCH("Windows",MarkupCat_Keys,0))</f>
        <v>0.42</v>
      </c>
      <c r="R345" s="32" t="n">
        <f aca="false">P345*(1+Q345)</f>
        <v>3632.161342</v>
      </c>
      <c r="S345" s="32" t="n">
        <f aca="false">R345*(1-TradeDiscount)</f>
        <v>3196.30198096</v>
      </c>
      <c r="T345" s="32" t="n">
        <f aca="false">R345*(1-VolumeDiscount)</f>
        <v>2905.7290736</v>
      </c>
    </row>
    <row r="346" customFormat="false" ht="15" hidden="false" customHeight="false" outlineLevel="0" collapsed="false">
      <c r="A346" s="25" t="s">
        <v>898</v>
      </c>
      <c r="B346" s="25" t="s">
        <v>96</v>
      </c>
      <c r="C346" s="25" t="s">
        <v>42</v>
      </c>
      <c r="D346" s="25" t="s">
        <v>899</v>
      </c>
      <c r="E346" s="25" t="s">
        <v>851</v>
      </c>
      <c r="F346" s="25" t="s">
        <v>727</v>
      </c>
      <c r="G346" s="25" t="s">
        <v>38</v>
      </c>
      <c r="H346" s="25" t="s">
        <v>63</v>
      </c>
      <c r="I346" s="25" t="s">
        <v>190</v>
      </c>
      <c r="J346" s="25" t="s">
        <v>685</v>
      </c>
      <c r="K346" s="25" t="s">
        <v>192</v>
      </c>
      <c r="L346" s="25" t="s">
        <v>29</v>
      </c>
      <c r="M346" s="25" t="n">
        <v>909</v>
      </c>
      <c r="N346" s="25" t="n">
        <v>1209</v>
      </c>
      <c r="O346" s="25"/>
      <c r="P346" s="26" t="n">
        <f aca="false">(M346*N346/1000000)*(INDEX(AreaRate_Vals,MATCH(C346,AreaRate_Keys,0))+IFERROR(INDEX(GlazingUpg_Vals,MATCH(H346,GlazingUpg_Keys,0)),0))+INDEX(Hardware_Vals,MATCH("Windows",Hardware_Keys,0))</f>
        <v>2557.8601</v>
      </c>
      <c r="Q346" s="27" t="n">
        <f aca="false">INDEX(Markup_Vals,MATCH("Windows",MarkupCat_Keys,0))</f>
        <v>0.42</v>
      </c>
      <c r="R346" s="28" t="n">
        <f aca="false">P346*(1+Q346)</f>
        <v>3632.161342</v>
      </c>
      <c r="S346" s="28" t="n">
        <f aca="false">R346*(1-TradeDiscount)</f>
        <v>3196.30198096</v>
      </c>
      <c r="T346" s="28" t="n">
        <f aca="false">R346*(1-VolumeDiscount)</f>
        <v>2905.7290736</v>
      </c>
    </row>
    <row r="347" customFormat="false" ht="15" hidden="false" customHeight="false" outlineLevel="0" collapsed="false">
      <c r="A347" s="29" t="s">
        <v>900</v>
      </c>
      <c r="B347" s="29" t="s">
        <v>96</v>
      </c>
      <c r="C347" s="29" t="s">
        <v>42</v>
      </c>
      <c r="D347" s="29" t="s">
        <v>901</v>
      </c>
      <c r="E347" s="29" t="s">
        <v>851</v>
      </c>
      <c r="F347" s="29" t="s">
        <v>727</v>
      </c>
      <c r="G347" s="29" t="s">
        <v>35</v>
      </c>
      <c r="H347" s="29" t="s">
        <v>64</v>
      </c>
      <c r="I347" s="29" t="s">
        <v>190</v>
      </c>
      <c r="J347" s="29" t="s">
        <v>685</v>
      </c>
      <c r="K347" s="29" t="s">
        <v>192</v>
      </c>
      <c r="L347" s="29" t="s">
        <v>29</v>
      </c>
      <c r="M347" s="29" t="n">
        <v>909</v>
      </c>
      <c r="N347" s="29" t="n">
        <v>1209</v>
      </c>
      <c r="O347" s="29"/>
      <c r="P347" s="30" t="n">
        <f aca="false">(M347*N347/1000000)*(INDEX(AreaRate_Vals,MATCH(C347,AreaRate_Keys,0))+IFERROR(INDEX(GlazingUpg_Vals,MATCH(H347,GlazingUpg_Keys,0)),0))+INDEX(Hardware_Vals,MATCH("Windows",Hardware_Keys,0))</f>
        <v>3162.29965</v>
      </c>
      <c r="Q347" s="31" t="n">
        <f aca="false">INDEX(Markup_Vals,MATCH("Windows",MarkupCat_Keys,0))</f>
        <v>0.42</v>
      </c>
      <c r="R347" s="32" t="n">
        <f aca="false">P347*(1+Q347)</f>
        <v>4490.465503</v>
      </c>
      <c r="S347" s="32" t="n">
        <f aca="false">R347*(1-TradeDiscount)</f>
        <v>3951.60964264</v>
      </c>
      <c r="T347" s="32" t="n">
        <f aca="false">R347*(1-VolumeDiscount)</f>
        <v>3592.3724024</v>
      </c>
    </row>
    <row r="348" customFormat="false" ht="15" hidden="false" customHeight="false" outlineLevel="0" collapsed="false">
      <c r="A348" s="25" t="s">
        <v>902</v>
      </c>
      <c r="B348" s="25" t="s">
        <v>96</v>
      </c>
      <c r="C348" s="25" t="s">
        <v>42</v>
      </c>
      <c r="D348" s="25" t="s">
        <v>903</v>
      </c>
      <c r="E348" s="25" t="s">
        <v>851</v>
      </c>
      <c r="F348" s="25" t="s">
        <v>727</v>
      </c>
      <c r="G348" s="25" t="s">
        <v>36</v>
      </c>
      <c r="H348" s="25" t="s">
        <v>64</v>
      </c>
      <c r="I348" s="25" t="s">
        <v>190</v>
      </c>
      <c r="J348" s="25" t="s">
        <v>685</v>
      </c>
      <c r="K348" s="25" t="s">
        <v>192</v>
      </c>
      <c r="L348" s="25" t="s">
        <v>29</v>
      </c>
      <c r="M348" s="25" t="n">
        <v>909</v>
      </c>
      <c r="N348" s="25" t="n">
        <v>1209</v>
      </c>
      <c r="O348" s="25"/>
      <c r="P348" s="26" t="n">
        <f aca="false">(M348*N348/1000000)*(INDEX(AreaRate_Vals,MATCH(C348,AreaRate_Keys,0))+IFERROR(INDEX(GlazingUpg_Vals,MATCH(H348,GlazingUpg_Keys,0)),0))+INDEX(Hardware_Vals,MATCH("Windows",Hardware_Keys,0))</f>
        <v>3162.29965</v>
      </c>
      <c r="Q348" s="27" t="n">
        <f aca="false">INDEX(Markup_Vals,MATCH("Windows",MarkupCat_Keys,0))</f>
        <v>0.42</v>
      </c>
      <c r="R348" s="28" t="n">
        <f aca="false">P348*(1+Q348)</f>
        <v>4490.465503</v>
      </c>
      <c r="S348" s="28" t="n">
        <f aca="false">R348*(1-TradeDiscount)</f>
        <v>3951.60964264</v>
      </c>
      <c r="T348" s="28" t="n">
        <f aca="false">R348*(1-VolumeDiscount)</f>
        <v>3592.3724024</v>
      </c>
    </row>
    <row r="349" customFormat="false" ht="15" hidden="false" customHeight="false" outlineLevel="0" collapsed="false">
      <c r="A349" s="29" t="s">
        <v>904</v>
      </c>
      <c r="B349" s="29" t="s">
        <v>96</v>
      </c>
      <c r="C349" s="29" t="s">
        <v>42</v>
      </c>
      <c r="D349" s="29" t="s">
        <v>905</v>
      </c>
      <c r="E349" s="29" t="s">
        <v>851</v>
      </c>
      <c r="F349" s="29" t="s">
        <v>727</v>
      </c>
      <c r="G349" s="29" t="s">
        <v>37</v>
      </c>
      <c r="H349" s="29" t="s">
        <v>64</v>
      </c>
      <c r="I349" s="29" t="s">
        <v>190</v>
      </c>
      <c r="J349" s="29" t="s">
        <v>685</v>
      </c>
      <c r="K349" s="29" t="s">
        <v>192</v>
      </c>
      <c r="L349" s="29" t="s">
        <v>29</v>
      </c>
      <c r="M349" s="29" t="n">
        <v>909</v>
      </c>
      <c r="N349" s="29" t="n">
        <v>1209</v>
      </c>
      <c r="O349" s="29"/>
      <c r="P349" s="30" t="n">
        <f aca="false">(M349*N349/1000000)*(INDEX(AreaRate_Vals,MATCH(C349,AreaRate_Keys,0))+IFERROR(INDEX(GlazingUpg_Vals,MATCH(H349,GlazingUpg_Keys,0)),0))+INDEX(Hardware_Vals,MATCH("Windows",Hardware_Keys,0))</f>
        <v>3162.29965</v>
      </c>
      <c r="Q349" s="31" t="n">
        <f aca="false">INDEX(Markup_Vals,MATCH("Windows",MarkupCat_Keys,0))</f>
        <v>0.42</v>
      </c>
      <c r="R349" s="32" t="n">
        <f aca="false">P349*(1+Q349)</f>
        <v>4490.465503</v>
      </c>
      <c r="S349" s="32" t="n">
        <f aca="false">R349*(1-TradeDiscount)</f>
        <v>3951.60964264</v>
      </c>
      <c r="T349" s="32" t="n">
        <f aca="false">R349*(1-VolumeDiscount)</f>
        <v>3592.3724024</v>
      </c>
    </row>
    <row r="350" customFormat="false" ht="15" hidden="false" customHeight="false" outlineLevel="0" collapsed="false">
      <c r="A350" s="25" t="s">
        <v>906</v>
      </c>
      <c r="B350" s="25" t="s">
        <v>96</v>
      </c>
      <c r="C350" s="25" t="s">
        <v>42</v>
      </c>
      <c r="D350" s="25" t="s">
        <v>907</v>
      </c>
      <c r="E350" s="25" t="s">
        <v>851</v>
      </c>
      <c r="F350" s="25" t="s">
        <v>727</v>
      </c>
      <c r="G350" s="25" t="s">
        <v>39</v>
      </c>
      <c r="H350" s="25" t="s">
        <v>64</v>
      </c>
      <c r="I350" s="25" t="s">
        <v>190</v>
      </c>
      <c r="J350" s="25" t="s">
        <v>685</v>
      </c>
      <c r="K350" s="25" t="s">
        <v>192</v>
      </c>
      <c r="L350" s="25" t="s">
        <v>29</v>
      </c>
      <c r="M350" s="25" t="n">
        <v>909</v>
      </c>
      <c r="N350" s="25" t="n">
        <v>1209</v>
      </c>
      <c r="O350" s="25"/>
      <c r="P350" s="26" t="n">
        <f aca="false">(M350*N350/1000000)*(INDEX(AreaRate_Vals,MATCH(C350,AreaRate_Keys,0))+IFERROR(INDEX(GlazingUpg_Vals,MATCH(H350,GlazingUpg_Keys,0)),0))+INDEX(Hardware_Vals,MATCH("Windows",Hardware_Keys,0))</f>
        <v>3162.29965</v>
      </c>
      <c r="Q350" s="27" t="n">
        <f aca="false">INDEX(Markup_Vals,MATCH("Windows",MarkupCat_Keys,0))</f>
        <v>0.42</v>
      </c>
      <c r="R350" s="28" t="n">
        <f aca="false">P350*(1+Q350)</f>
        <v>4490.465503</v>
      </c>
      <c r="S350" s="28" t="n">
        <f aca="false">R350*(1-TradeDiscount)</f>
        <v>3951.60964264</v>
      </c>
      <c r="T350" s="28" t="n">
        <f aca="false">R350*(1-VolumeDiscount)</f>
        <v>3592.3724024</v>
      </c>
    </row>
    <row r="351" customFormat="false" ht="15" hidden="false" customHeight="false" outlineLevel="0" collapsed="false">
      <c r="A351" s="29" t="s">
        <v>908</v>
      </c>
      <c r="B351" s="29" t="s">
        <v>96</v>
      </c>
      <c r="C351" s="29" t="s">
        <v>42</v>
      </c>
      <c r="D351" s="29" t="s">
        <v>909</v>
      </c>
      <c r="E351" s="29" t="s">
        <v>851</v>
      </c>
      <c r="F351" s="29" t="s">
        <v>727</v>
      </c>
      <c r="G351" s="29" t="s">
        <v>38</v>
      </c>
      <c r="H351" s="29" t="s">
        <v>64</v>
      </c>
      <c r="I351" s="29" t="s">
        <v>190</v>
      </c>
      <c r="J351" s="29" t="s">
        <v>685</v>
      </c>
      <c r="K351" s="29" t="s">
        <v>192</v>
      </c>
      <c r="L351" s="29" t="s">
        <v>29</v>
      </c>
      <c r="M351" s="29" t="n">
        <v>909</v>
      </c>
      <c r="N351" s="29" t="n">
        <v>1209</v>
      </c>
      <c r="O351" s="29"/>
      <c r="P351" s="30" t="n">
        <f aca="false">(M351*N351/1000000)*(INDEX(AreaRate_Vals,MATCH(C351,AreaRate_Keys,0))+IFERROR(INDEX(GlazingUpg_Vals,MATCH(H351,GlazingUpg_Keys,0)),0))+INDEX(Hardware_Vals,MATCH("Windows",Hardware_Keys,0))</f>
        <v>3162.29965</v>
      </c>
      <c r="Q351" s="31" t="n">
        <f aca="false">INDEX(Markup_Vals,MATCH("Windows",MarkupCat_Keys,0))</f>
        <v>0.42</v>
      </c>
      <c r="R351" s="32" t="n">
        <f aca="false">P351*(1+Q351)</f>
        <v>4490.465503</v>
      </c>
      <c r="S351" s="32" t="n">
        <f aca="false">R351*(1-TradeDiscount)</f>
        <v>3951.60964264</v>
      </c>
      <c r="T351" s="32" t="n">
        <f aca="false">R351*(1-VolumeDiscount)</f>
        <v>3592.3724024</v>
      </c>
    </row>
    <row r="352" customFormat="false" ht="15" hidden="false" customHeight="false" outlineLevel="0" collapsed="false">
      <c r="A352" s="25" t="s">
        <v>910</v>
      </c>
      <c r="B352" s="25" t="s">
        <v>96</v>
      </c>
      <c r="C352" s="25" t="s">
        <v>42</v>
      </c>
      <c r="D352" s="25" t="s">
        <v>911</v>
      </c>
      <c r="E352" s="25" t="s">
        <v>851</v>
      </c>
      <c r="F352" s="25" t="s">
        <v>748</v>
      </c>
      <c r="G352" s="25" t="s">
        <v>35</v>
      </c>
      <c r="H352" s="25" t="s">
        <v>63</v>
      </c>
      <c r="I352" s="25" t="s">
        <v>190</v>
      </c>
      <c r="J352" s="25" t="s">
        <v>685</v>
      </c>
      <c r="K352" s="25" t="s">
        <v>192</v>
      </c>
      <c r="L352" s="25" t="s">
        <v>29</v>
      </c>
      <c r="M352" s="25" t="n">
        <v>1209</v>
      </c>
      <c r="N352" s="25" t="n">
        <v>1209</v>
      </c>
      <c r="O352" s="25"/>
      <c r="P352" s="26" t="n">
        <f aca="false">(M352*N352/1000000)*(INDEX(AreaRate_Vals,MATCH(C352,AreaRate_Keys,0))+IFERROR(INDEX(GlazingUpg_Vals,MATCH(H352,GlazingUpg_Keys,0)),0))+INDEX(Hardware_Vals,MATCH("Windows",Hardware_Keys,0))</f>
        <v>3319.5301</v>
      </c>
      <c r="Q352" s="27" t="n">
        <f aca="false">INDEX(Markup_Vals,MATCH("Windows",MarkupCat_Keys,0))</f>
        <v>0.42</v>
      </c>
      <c r="R352" s="28" t="n">
        <f aca="false">P352*(1+Q352)</f>
        <v>4713.732742</v>
      </c>
      <c r="S352" s="28" t="n">
        <f aca="false">R352*(1-TradeDiscount)</f>
        <v>4148.08481296</v>
      </c>
      <c r="T352" s="28" t="n">
        <f aca="false">R352*(1-VolumeDiscount)</f>
        <v>3770.9861936</v>
      </c>
    </row>
    <row r="353" customFormat="false" ht="15" hidden="false" customHeight="false" outlineLevel="0" collapsed="false">
      <c r="A353" s="29" t="s">
        <v>912</v>
      </c>
      <c r="B353" s="29" t="s">
        <v>96</v>
      </c>
      <c r="C353" s="29" t="s">
        <v>42</v>
      </c>
      <c r="D353" s="29" t="s">
        <v>913</v>
      </c>
      <c r="E353" s="29" t="s">
        <v>851</v>
      </c>
      <c r="F353" s="29" t="s">
        <v>748</v>
      </c>
      <c r="G353" s="29" t="s">
        <v>36</v>
      </c>
      <c r="H353" s="29" t="s">
        <v>63</v>
      </c>
      <c r="I353" s="29" t="s">
        <v>190</v>
      </c>
      <c r="J353" s="29" t="s">
        <v>685</v>
      </c>
      <c r="K353" s="29" t="s">
        <v>192</v>
      </c>
      <c r="L353" s="29" t="s">
        <v>29</v>
      </c>
      <c r="M353" s="29" t="n">
        <v>1209</v>
      </c>
      <c r="N353" s="29" t="n">
        <v>1209</v>
      </c>
      <c r="O353" s="29"/>
      <c r="P353" s="30" t="n">
        <f aca="false">(M353*N353/1000000)*(INDEX(AreaRate_Vals,MATCH(C353,AreaRate_Keys,0))+IFERROR(INDEX(GlazingUpg_Vals,MATCH(H353,GlazingUpg_Keys,0)),0))+INDEX(Hardware_Vals,MATCH("Windows",Hardware_Keys,0))</f>
        <v>3319.5301</v>
      </c>
      <c r="Q353" s="31" t="n">
        <f aca="false">INDEX(Markup_Vals,MATCH("Windows",MarkupCat_Keys,0))</f>
        <v>0.42</v>
      </c>
      <c r="R353" s="32" t="n">
        <f aca="false">P353*(1+Q353)</f>
        <v>4713.732742</v>
      </c>
      <c r="S353" s="32" t="n">
        <f aca="false">R353*(1-TradeDiscount)</f>
        <v>4148.08481296</v>
      </c>
      <c r="T353" s="32" t="n">
        <f aca="false">R353*(1-VolumeDiscount)</f>
        <v>3770.9861936</v>
      </c>
    </row>
    <row r="354" customFormat="false" ht="15" hidden="false" customHeight="false" outlineLevel="0" collapsed="false">
      <c r="A354" s="25" t="s">
        <v>914</v>
      </c>
      <c r="B354" s="25" t="s">
        <v>96</v>
      </c>
      <c r="C354" s="25" t="s">
        <v>42</v>
      </c>
      <c r="D354" s="25" t="s">
        <v>915</v>
      </c>
      <c r="E354" s="25" t="s">
        <v>851</v>
      </c>
      <c r="F354" s="25" t="s">
        <v>748</v>
      </c>
      <c r="G354" s="25" t="s">
        <v>37</v>
      </c>
      <c r="H354" s="25" t="s">
        <v>63</v>
      </c>
      <c r="I354" s="25" t="s">
        <v>190</v>
      </c>
      <c r="J354" s="25" t="s">
        <v>685</v>
      </c>
      <c r="K354" s="25" t="s">
        <v>192</v>
      </c>
      <c r="L354" s="25" t="s">
        <v>29</v>
      </c>
      <c r="M354" s="25" t="n">
        <v>1209</v>
      </c>
      <c r="N354" s="25" t="n">
        <v>1209</v>
      </c>
      <c r="O354" s="25"/>
      <c r="P354" s="26" t="n">
        <f aca="false">(M354*N354/1000000)*(INDEX(AreaRate_Vals,MATCH(C354,AreaRate_Keys,0))+IFERROR(INDEX(GlazingUpg_Vals,MATCH(H354,GlazingUpg_Keys,0)),0))+INDEX(Hardware_Vals,MATCH("Windows",Hardware_Keys,0))</f>
        <v>3319.5301</v>
      </c>
      <c r="Q354" s="27" t="n">
        <f aca="false">INDEX(Markup_Vals,MATCH("Windows",MarkupCat_Keys,0))</f>
        <v>0.42</v>
      </c>
      <c r="R354" s="28" t="n">
        <f aca="false">P354*(1+Q354)</f>
        <v>4713.732742</v>
      </c>
      <c r="S354" s="28" t="n">
        <f aca="false">R354*(1-TradeDiscount)</f>
        <v>4148.08481296</v>
      </c>
      <c r="T354" s="28" t="n">
        <f aca="false">R354*(1-VolumeDiscount)</f>
        <v>3770.9861936</v>
      </c>
    </row>
    <row r="355" customFormat="false" ht="15" hidden="false" customHeight="false" outlineLevel="0" collapsed="false">
      <c r="A355" s="29" t="s">
        <v>916</v>
      </c>
      <c r="B355" s="29" t="s">
        <v>96</v>
      </c>
      <c r="C355" s="29" t="s">
        <v>42</v>
      </c>
      <c r="D355" s="29" t="s">
        <v>917</v>
      </c>
      <c r="E355" s="29" t="s">
        <v>851</v>
      </c>
      <c r="F355" s="29" t="s">
        <v>748</v>
      </c>
      <c r="G355" s="29" t="s">
        <v>39</v>
      </c>
      <c r="H355" s="29" t="s">
        <v>63</v>
      </c>
      <c r="I355" s="29" t="s">
        <v>190</v>
      </c>
      <c r="J355" s="29" t="s">
        <v>685</v>
      </c>
      <c r="K355" s="29" t="s">
        <v>192</v>
      </c>
      <c r="L355" s="29" t="s">
        <v>29</v>
      </c>
      <c r="M355" s="29" t="n">
        <v>1209</v>
      </c>
      <c r="N355" s="29" t="n">
        <v>1209</v>
      </c>
      <c r="O355" s="29"/>
      <c r="P355" s="30" t="n">
        <f aca="false">(M355*N355/1000000)*(INDEX(AreaRate_Vals,MATCH(C355,AreaRate_Keys,0))+IFERROR(INDEX(GlazingUpg_Vals,MATCH(H355,GlazingUpg_Keys,0)),0))+INDEX(Hardware_Vals,MATCH("Windows",Hardware_Keys,0))</f>
        <v>3319.5301</v>
      </c>
      <c r="Q355" s="31" t="n">
        <f aca="false">INDEX(Markup_Vals,MATCH("Windows",MarkupCat_Keys,0))</f>
        <v>0.42</v>
      </c>
      <c r="R355" s="32" t="n">
        <f aca="false">P355*(1+Q355)</f>
        <v>4713.732742</v>
      </c>
      <c r="S355" s="32" t="n">
        <f aca="false">R355*(1-TradeDiscount)</f>
        <v>4148.08481296</v>
      </c>
      <c r="T355" s="32" t="n">
        <f aca="false">R355*(1-VolumeDiscount)</f>
        <v>3770.9861936</v>
      </c>
    </row>
    <row r="356" customFormat="false" ht="15" hidden="false" customHeight="false" outlineLevel="0" collapsed="false">
      <c r="A356" s="25" t="s">
        <v>918</v>
      </c>
      <c r="B356" s="25" t="s">
        <v>96</v>
      </c>
      <c r="C356" s="25" t="s">
        <v>42</v>
      </c>
      <c r="D356" s="25" t="s">
        <v>919</v>
      </c>
      <c r="E356" s="25" t="s">
        <v>851</v>
      </c>
      <c r="F356" s="25" t="s">
        <v>748</v>
      </c>
      <c r="G356" s="25" t="s">
        <v>38</v>
      </c>
      <c r="H356" s="25" t="s">
        <v>63</v>
      </c>
      <c r="I356" s="25" t="s">
        <v>190</v>
      </c>
      <c r="J356" s="25" t="s">
        <v>685</v>
      </c>
      <c r="K356" s="25" t="s">
        <v>192</v>
      </c>
      <c r="L356" s="25" t="s">
        <v>29</v>
      </c>
      <c r="M356" s="25" t="n">
        <v>1209</v>
      </c>
      <c r="N356" s="25" t="n">
        <v>1209</v>
      </c>
      <c r="O356" s="25"/>
      <c r="P356" s="26" t="n">
        <f aca="false">(M356*N356/1000000)*(INDEX(AreaRate_Vals,MATCH(C356,AreaRate_Keys,0))+IFERROR(INDEX(GlazingUpg_Vals,MATCH(H356,GlazingUpg_Keys,0)),0))+INDEX(Hardware_Vals,MATCH("Windows",Hardware_Keys,0))</f>
        <v>3319.5301</v>
      </c>
      <c r="Q356" s="27" t="n">
        <f aca="false">INDEX(Markup_Vals,MATCH("Windows",MarkupCat_Keys,0))</f>
        <v>0.42</v>
      </c>
      <c r="R356" s="28" t="n">
        <f aca="false">P356*(1+Q356)</f>
        <v>4713.732742</v>
      </c>
      <c r="S356" s="28" t="n">
        <f aca="false">R356*(1-TradeDiscount)</f>
        <v>4148.08481296</v>
      </c>
      <c r="T356" s="28" t="n">
        <f aca="false">R356*(1-VolumeDiscount)</f>
        <v>3770.9861936</v>
      </c>
    </row>
    <row r="357" customFormat="false" ht="15" hidden="false" customHeight="false" outlineLevel="0" collapsed="false">
      <c r="A357" s="29" t="s">
        <v>920</v>
      </c>
      <c r="B357" s="29" t="s">
        <v>96</v>
      </c>
      <c r="C357" s="29" t="s">
        <v>42</v>
      </c>
      <c r="D357" s="29" t="s">
        <v>921</v>
      </c>
      <c r="E357" s="29" t="s">
        <v>851</v>
      </c>
      <c r="F357" s="29" t="s">
        <v>748</v>
      </c>
      <c r="G357" s="29" t="s">
        <v>35</v>
      </c>
      <c r="H357" s="29" t="s">
        <v>64</v>
      </c>
      <c r="I357" s="29" t="s">
        <v>190</v>
      </c>
      <c r="J357" s="29" t="s">
        <v>685</v>
      </c>
      <c r="K357" s="29" t="s">
        <v>192</v>
      </c>
      <c r="L357" s="29" t="s">
        <v>29</v>
      </c>
      <c r="M357" s="29" t="n">
        <v>1209</v>
      </c>
      <c r="N357" s="29" t="n">
        <v>1209</v>
      </c>
      <c r="O357" s="29"/>
      <c r="P357" s="30" t="n">
        <f aca="false">(M357*N357/1000000)*(INDEX(AreaRate_Vals,MATCH(C357,AreaRate_Keys,0))+IFERROR(INDEX(GlazingUpg_Vals,MATCH(H357,GlazingUpg_Keys,0)),0))+INDEX(Hardware_Vals,MATCH("Windows",Hardware_Keys,0))</f>
        <v>4123.45465</v>
      </c>
      <c r="Q357" s="31" t="n">
        <f aca="false">INDEX(Markup_Vals,MATCH("Windows",MarkupCat_Keys,0))</f>
        <v>0.42</v>
      </c>
      <c r="R357" s="32" t="n">
        <f aca="false">P357*(1+Q357)</f>
        <v>5855.305603</v>
      </c>
      <c r="S357" s="32" t="n">
        <f aca="false">R357*(1-TradeDiscount)</f>
        <v>5152.66893064</v>
      </c>
      <c r="T357" s="32" t="n">
        <f aca="false">R357*(1-VolumeDiscount)</f>
        <v>4684.2444824</v>
      </c>
    </row>
    <row r="358" customFormat="false" ht="15" hidden="false" customHeight="false" outlineLevel="0" collapsed="false">
      <c r="A358" s="25" t="s">
        <v>922</v>
      </c>
      <c r="B358" s="25" t="s">
        <v>96</v>
      </c>
      <c r="C358" s="25" t="s">
        <v>42</v>
      </c>
      <c r="D358" s="25" t="s">
        <v>923</v>
      </c>
      <c r="E358" s="25" t="s">
        <v>851</v>
      </c>
      <c r="F358" s="25" t="s">
        <v>748</v>
      </c>
      <c r="G358" s="25" t="s">
        <v>36</v>
      </c>
      <c r="H358" s="25" t="s">
        <v>64</v>
      </c>
      <c r="I358" s="25" t="s">
        <v>190</v>
      </c>
      <c r="J358" s="25" t="s">
        <v>685</v>
      </c>
      <c r="K358" s="25" t="s">
        <v>192</v>
      </c>
      <c r="L358" s="25" t="s">
        <v>29</v>
      </c>
      <c r="M358" s="25" t="n">
        <v>1209</v>
      </c>
      <c r="N358" s="25" t="n">
        <v>1209</v>
      </c>
      <c r="O358" s="25"/>
      <c r="P358" s="26" t="n">
        <f aca="false">(M358*N358/1000000)*(INDEX(AreaRate_Vals,MATCH(C358,AreaRate_Keys,0))+IFERROR(INDEX(GlazingUpg_Vals,MATCH(H358,GlazingUpg_Keys,0)),0))+INDEX(Hardware_Vals,MATCH("Windows",Hardware_Keys,0))</f>
        <v>4123.45465</v>
      </c>
      <c r="Q358" s="27" t="n">
        <f aca="false">INDEX(Markup_Vals,MATCH("Windows",MarkupCat_Keys,0))</f>
        <v>0.42</v>
      </c>
      <c r="R358" s="28" t="n">
        <f aca="false">P358*(1+Q358)</f>
        <v>5855.305603</v>
      </c>
      <c r="S358" s="28" t="n">
        <f aca="false">R358*(1-TradeDiscount)</f>
        <v>5152.66893064</v>
      </c>
      <c r="T358" s="28" t="n">
        <f aca="false">R358*(1-VolumeDiscount)</f>
        <v>4684.2444824</v>
      </c>
    </row>
    <row r="359" customFormat="false" ht="15" hidden="false" customHeight="false" outlineLevel="0" collapsed="false">
      <c r="A359" s="29" t="s">
        <v>924</v>
      </c>
      <c r="B359" s="29" t="s">
        <v>96</v>
      </c>
      <c r="C359" s="29" t="s">
        <v>42</v>
      </c>
      <c r="D359" s="29" t="s">
        <v>925</v>
      </c>
      <c r="E359" s="29" t="s">
        <v>851</v>
      </c>
      <c r="F359" s="29" t="s">
        <v>748</v>
      </c>
      <c r="G359" s="29" t="s">
        <v>37</v>
      </c>
      <c r="H359" s="29" t="s">
        <v>64</v>
      </c>
      <c r="I359" s="29" t="s">
        <v>190</v>
      </c>
      <c r="J359" s="29" t="s">
        <v>685</v>
      </c>
      <c r="K359" s="29" t="s">
        <v>192</v>
      </c>
      <c r="L359" s="29" t="s">
        <v>29</v>
      </c>
      <c r="M359" s="29" t="n">
        <v>1209</v>
      </c>
      <c r="N359" s="29" t="n">
        <v>1209</v>
      </c>
      <c r="O359" s="29"/>
      <c r="P359" s="30" t="n">
        <f aca="false">(M359*N359/1000000)*(INDEX(AreaRate_Vals,MATCH(C359,AreaRate_Keys,0))+IFERROR(INDEX(GlazingUpg_Vals,MATCH(H359,GlazingUpg_Keys,0)),0))+INDEX(Hardware_Vals,MATCH("Windows",Hardware_Keys,0))</f>
        <v>4123.45465</v>
      </c>
      <c r="Q359" s="31" t="n">
        <f aca="false">INDEX(Markup_Vals,MATCH("Windows",MarkupCat_Keys,0))</f>
        <v>0.42</v>
      </c>
      <c r="R359" s="32" t="n">
        <f aca="false">P359*(1+Q359)</f>
        <v>5855.305603</v>
      </c>
      <c r="S359" s="32" t="n">
        <f aca="false">R359*(1-TradeDiscount)</f>
        <v>5152.66893064</v>
      </c>
      <c r="T359" s="32" t="n">
        <f aca="false">R359*(1-VolumeDiscount)</f>
        <v>4684.2444824</v>
      </c>
    </row>
    <row r="360" customFormat="false" ht="15" hidden="false" customHeight="false" outlineLevel="0" collapsed="false">
      <c r="A360" s="25" t="s">
        <v>926</v>
      </c>
      <c r="B360" s="25" t="s">
        <v>96</v>
      </c>
      <c r="C360" s="25" t="s">
        <v>42</v>
      </c>
      <c r="D360" s="25" t="s">
        <v>927</v>
      </c>
      <c r="E360" s="25" t="s">
        <v>851</v>
      </c>
      <c r="F360" s="25" t="s">
        <v>748</v>
      </c>
      <c r="G360" s="25" t="s">
        <v>39</v>
      </c>
      <c r="H360" s="25" t="s">
        <v>64</v>
      </c>
      <c r="I360" s="25" t="s">
        <v>190</v>
      </c>
      <c r="J360" s="25" t="s">
        <v>685</v>
      </c>
      <c r="K360" s="25" t="s">
        <v>192</v>
      </c>
      <c r="L360" s="25" t="s">
        <v>29</v>
      </c>
      <c r="M360" s="25" t="n">
        <v>1209</v>
      </c>
      <c r="N360" s="25" t="n">
        <v>1209</v>
      </c>
      <c r="O360" s="25"/>
      <c r="P360" s="26" t="n">
        <f aca="false">(M360*N360/1000000)*(INDEX(AreaRate_Vals,MATCH(C360,AreaRate_Keys,0))+IFERROR(INDEX(GlazingUpg_Vals,MATCH(H360,GlazingUpg_Keys,0)),0))+INDEX(Hardware_Vals,MATCH("Windows",Hardware_Keys,0))</f>
        <v>4123.45465</v>
      </c>
      <c r="Q360" s="27" t="n">
        <f aca="false">INDEX(Markup_Vals,MATCH("Windows",MarkupCat_Keys,0))</f>
        <v>0.42</v>
      </c>
      <c r="R360" s="28" t="n">
        <f aca="false">P360*(1+Q360)</f>
        <v>5855.305603</v>
      </c>
      <c r="S360" s="28" t="n">
        <f aca="false">R360*(1-TradeDiscount)</f>
        <v>5152.66893064</v>
      </c>
      <c r="T360" s="28" t="n">
        <f aca="false">R360*(1-VolumeDiscount)</f>
        <v>4684.2444824</v>
      </c>
    </row>
    <row r="361" customFormat="false" ht="15" hidden="false" customHeight="false" outlineLevel="0" collapsed="false">
      <c r="A361" s="29" t="s">
        <v>928</v>
      </c>
      <c r="B361" s="29" t="s">
        <v>96</v>
      </c>
      <c r="C361" s="29" t="s">
        <v>42</v>
      </c>
      <c r="D361" s="29" t="s">
        <v>929</v>
      </c>
      <c r="E361" s="29" t="s">
        <v>851</v>
      </c>
      <c r="F361" s="29" t="s">
        <v>748</v>
      </c>
      <c r="G361" s="29" t="s">
        <v>38</v>
      </c>
      <c r="H361" s="29" t="s">
        <v>64</v>
      </c>
      <c r="I361" s="29" t="s">
        <v>190</v>
      </c>
      <c r="J361" s="29" t="s">
        <v>685</v>
      </c>
      <c r="K361" s="29" t="s">
        <v>192</v>
      </c>
      <c r="L361" s="29" t="s">
        <v>29</v>
      </c>
      <c r="M361" s="29" t="n">
        <v>1209</v>
      </c>
      <c r="N361" s="29" t="n">
        <v>1209</v>
      </c>
      <c r="O361" s="29"/>
      <c r="P361" s="30" t="n">
        <f aca="false">(M361*N361/1000000)*(INDEX(AreaRate_Vals,MATCH(C361,AreaRate_Keys,0))+IFERROR(INDEX(GlazingUpg_Vals,MATCH(H361,GlazingUpg_Keys,0)),0))+INDEX(Hardware_Vals,MATCH("Windows",Hardware_Keys,0))</f>
        <v>4123.45465</v>
      </c>
      <c r="Q361" s="31" t="n">
        <f aca="false">INDEX(Markup_Vals,MATCH("Windows",MarkupCat_Keys,0))</f>
        <v>0.42</v>
      </c>
      <c r="R361" s="32" t="n">
        <f aca="false">P361*(1+Q361)</f>
        <v>5855.305603</v>
      </c>
      <c r="S361" s="32" t="n">
        <f aca="false">R361*(1-TradeDiscount)</f>
        <v>5152.66893064</v>
      </c>
      <c r="T361" s="32" t="n">
        <f aca="false">R361*(1-VolumeDiscount)</f>
        <v>4684.2444824</v>
      </c>
    </row>
    <row r="362" customFormat="false" ht="15" hidden="false" customHeight="false" outlineLevel="0" collapsed="false">
      <c r="A362" s="25" t="s">
        <v>930</v>
      </c>
      <c r="B362" s="25" t="s">
        <v>96</v>
      </c>
      <c r="C362" s="25" t="s">
        <v>42</v>
      </c>
      <c r="D362" s="25" t="s">
        <v>931</v>
      </c>
      <c r="E362" s="25" t="s">
        <v>851</v>
      </c>
      <c r="F362" s="25" t="s">
        <v>769</v>
      </c>
      <c r="G362" s="25" t="s">
        <v>35</v>
      </c>
      <c r="H362" s="25" t="s">
        <v>63</v>
      </c>
      <c r="I362" s="25" t="s">
        <v>190</v>
      </c>
      <c r="J362" s="25" t="s">
        <v>685</v>
      </c>
      <c r="K362" s="25" t="s">
        <v>192</v>
      </c>
      <c r="L362" s="25" t="s">
        <v>29</v>
      </c>
      <c r="M362" s="25" t="n">
        <v>1209</v>
      </c>
      <c r="N362" s="25" t="n">
        <v>1509</v>
      </c>
      <c r="O362" s="25"/>
      <c r="P362" s="26" t="n">
        <f aca="false">(M362*N362/1000000)*(INDEX(AreaRate_Vals,MATCH(C362,AreaRate_Keys,0))+IFERROR(INDEX(GlazingUpg_Vals,MATCH(H362,GlazingUpg_Keys,0)),0))+INDEX(Hardware_Vals,MATCH("Windows",Hardware_Keys,0))</f>
        <v>4081.2001</v>
      </c>
      <c r="Q362" s="27" t="n">
        <f aca="false">INDEX(Markup_Vals,MATCH("Windows",MarkupCat_Keys,0))</f>
        <v>0.42</v>
      </c>
      <c r="R362" s="28" t="n">
        <f aca="false">P362*(1+Q362)</f>
        <v>5795.304142</v>
      </c>
      <c r="S362" s="28" t="n">
        <f aca="false">R362*(1-TradeDiscount)</f>
        <v>5099.86764496</v>
      </c>
      <c r="T362" s="28" t="n">
        <f aca="false">R362*(1-VolumeDiscount)</f>
        <v>4636.2433136</v>
      </c>
    </row>
    <row r="363" customFormat="false" ht="15" hidden="false" customHeight="false" outlineLevel="0" collapsed="false">
      <c r="A363" s="29" t="s">
        <v>932</v>
      </c>
      <c r="B363" s="29" t="s">
        <v>96</v>
      </c>
      <c r="C363" s="29" t="s">
        <v>42</v>
      </c>
      <c r="D363" s="29" t="s">
        <v>933</v>
      </c>
      <c r="E363" s="29" t="s">
        <v>851</v>
      </c>
      <c r="F363" s="29" t="s">
        <v>769</v>
      </c>
      <c r="G363" s="29" t="s">
        <v>36</v>
      </c>
      <c r="H363" s="29" t="s">
        <v>63</v>
      </c>
      <c r="I363" s="29" t="s">
        <v>190</v>
      </c>
      <c r="J363" s="29" t="s">
        <v>685</v>
      </c>
      <c r="K363" s="29" t="s">
        <v>192</v>
      </c>
      <c r="L363" s="29" t="s">
        <v>29</v>
      </c>
      <c r="M363" s="29" t="n">
        <v>1209</v>
      </c>
      <c r="N363" s="29" t="n">
        <v>1509</v>
      </c>
      <c r="O363" s="29"/>
      <c r="P363" s="30" t="n">
        <f aca="false">(M363*N363/1000000)*(INDEX(AreaRate_Vals,MATCH(C363,AreaRate_Keys,0))+IFERROR(INDEX(GlazingUpg_Vals,MATCH(H363,GlazingUpg_Keys,0)),0))+INDEX(Hardware_Vals,MATCH("Windows",Hardware_Keys,0))</f>
        <v>4081.2001</v>
      </c>
      <c r="Q363" s="31" t="n">
        <f aca="false">INDEX(Markup_Vals,MATCH("Windows",MarkupCat_Keys,0))</f>
        <v>0.42</v>
      </c>
      <c r="R363" s="32" t="n">
        <f aca="false">P363*(1+Q363)</f>
        <v>5795.304142</v>
      </c>
      <c r="S363" s="32" t="n">
        <f aca="false">R363*(1-TradeDiscount)</f>
        <v>5099.86764496</v>
      </c>
      <c r="T363" s="32" t="n">
        <f aca="false">R363*(1-VolumeDiscount)</f>
        <v>4636.2433136</v>
      </c>
    </row>
    <row r="364" customFormat="false" ht="15" hidden="false" customHeight="false" outlineLevel="0" collapsed="false">
      <c r="A364" s="25" t="s">
        <v>934</v>
      </c>
      <c r="B364" s="25" t="s">
        <v>96</v>
      </c>
      <c r="C364" s="25" t="s">
        <v>42</v>
      </c>
      <c r="D364" s="25" t="s">
        <v>935</v>
      </c>
      <c r="E364" s="25" t="s">
        <v>851</v>
      </c>
      <c r="F364" s="25" t="s">
        <v>769</v>
      </c>
      <c r="G364" s="25" t="s">
        <v>37</v>
      </c>
      <c r="H364" s="25" t="s">
        <v>63</v>
      </c>
      <c r="I364" s="25" t="s">
        <v>190</v>
      </c>
      <c r="J364" s="25" t="s">
        <v>685</v>
      </c>
      <c r="K364" s="25" t="s">
        <v>192</v>
      </c>
      <c r="L364" s="25" t="s">
        <v>29</v>
      </c>
      <c r="M364" s="25" t="n">
        <v>1209</v>
      </c>
      <c r="N364" s="25" t="n">
        <v>1509</v>
      </c>
      <c r="O364" s="25"/>
      <c r="P364" s="26" t="n">
        <f aca="false">(M364*N364/1000000)*(INDEX(AreaRate_Vals,MATCH(C364,AreaRate_Keys,0))+IFERROR(INDEX(GlazingUpg_Vals,MATCH(H364,GlazingUpg_Keys,0)),0))+INDEX(Hardware_Vals,MATCH("Windows",Hardware_Keys,0))</f>
        <v>4081.2001</v>
      </c>
      <c r="Q364" s="27" t="n">
        <f aca="false">INDEX(Markup_Vals,MATCH("Windows",MarkupCat_Keys,0))</f>
        <v>0.42</v>
      </c>
      <c r="R364" s="28" t="n">
        <f aca="false">P364*(1+Q364)</f>
        <v>5795.304142</v>
      </c>
      <c r="S364" s="28" t="n">
        <f aca="false">R364*(1-TradeDiscount)</f>
        <v>5099.86764496</v>
      </c>
      <c r="T364" s="28" t="n">
        <f aca="false">R364*(1-VolumeDiscount)</f>
        <v>4636.2433136</v>
      </c>
    </row>
    <row r="365" customFormat="false" ht="15" hidden="false" customHeight="false" outlineLevel="0" collapsed="false">
      <c r="A365" s="29" t="s">
        <v>936</v>
      </c>
      <c r="B365" s="29" t="s">
        <v>96</v>
      </c>
      <c r="C365" s="29" t="s">
        <v>42</v>
      </c>
      <c r="D365" s="29" t="s">
        <v>937</v>
      </c>
      <c r="E365" s="29" t="s">
        <v>851</v>
      </c>
      <c r="F365" s="29" t="s">
        <v>769</v>
      </c>
      <c r="G365" s="29" t="s">
        <v>39</v>
      </c>
      <c r="H365" s="29" t="s">
        <v>63</v>
      </c>
      <c r="I365" s="29" t="s">
        <v>190</v>
      </c>
      <c r="J365" s="29" t="s">
        <v>685</v>
      </c>
      <c r="K365" s="29" t="s">
        <v>192</v>
      </c>
      <c r="L365" s="29" t="s">
        <v>29</v>
      </c>
      <c r="M365" s="29" t="n">
        <v>1209</v>
      </c>
      <c r="N365" s="29" t="n">
        <v>1509</v>
      </c>
      <c r="O365" s="29"/>
      <c r="P365" s="30" t="n">
        <f aca="false">(M365*N365/1000000)*(INDEX(AreaRate_Vals,MATCH(C365,AreaRate_Keys,0))+IFERROR(INDEX(GlazingUpg_Vals,MATCH(H365,GlazingUpg_Keys,0)),0))+INDEX(Hardware_Vals,MATCH("Windows",Hardware_Keys,0))</f>
        <v>4081.2001</v>
      </c>
      <c r="Q365" s="31" t="n">
        <f aca="false">INDEX(Markup_Vals,MATCH("Windows",MarkupCat_Keys,0))</f>
        <v>0.42</v>
      </c>
      <c r="R365" s="32" t="n">
        <f aca="false">P365*(1+Q365)</f>
        <v>5795.304142</v>
      </c>
      <c r="S365" s="32" t="n">
        <f aca="false">R365*(1-TradeDiscount)</f>
        <v>5099.86764496</v>
      </c>
      <c r="T365" s="32" t="n">
        <f aca="false">R365*(1-VolumeDiscount)</f>
        <v>4636.2433136</v>
      </c>
    </row>
    <row r="366" customFormat="false" ht="15" hidden="false" customHeight="false" outlineLevel="0" collapsed="false">
      <c r="A366" s="25" t="s">
        <v>938</v>
      </c>
      <c r="B366" s="25" t="s">
        <v>96</v>
      </c>
      <c r="C366" s="25" t="s">
        <v>42</v>
      </c>
      <c r="D366" s="25" t="s">
        <v>939</v>
      </c>
      <c r="E366" s="25" t="s">
        <v>851</v>
      </c>
      <c r="F366" s="25" t="s">
        <v>769</v>
      </c>
      <c r="G366" s="25" t="s">
        <v>38</v>
      </c>
      <c r="H366" s="25" t="s">
        <v>63</v>
      </c>
      <c r="I366" s="25" t="s">
        <v>190</v>
      </c>
      <c r="J366" s="25" t="s">
        <v>685</v>
      </c>
      <c r="K366" s="25" t="s">
        <v>192</v>
      </c>
      <c r="L366" s="25" t="s">
        <v>29</v>
      </c>
      <c r="M366" s="25" t="n">
        <v>1209</v>
      </c>
      <c r="N366" s="25" t="n">
        <v>1509</v>
      </c>
      <c r="O366" s="25"/>
      <c r="P366" s="26" t="n">
        <f aca="false">(M366*N366/1000000)*(INDEX(AreaRate_Vals,MATCH(C366,AreaRate_Keys,0))+IFERROR(INDEX(GlazingUpg_Vals,MATCH(H366,GlazingUpg_Keys,0)),0))+INDEX(Hardware_Vals,MATCH("Windows",Hardware_Keys,0))</f>
        <v>4081.2001</v>
      </c>
      <c r="Q366" s="27" t="n">
        <f aca="false">INDEX(Markup_Vals,MATCH("Windows",MarkupCat_Keys,0))</f>
        <v>0.42</v>
      </c>
      <c r="R366" s="28" t="n">
        <f aca="false">P366*(1+Q366)</f>
        <v>5795.304142</v>
      </c>
      <c r="S366" s="28" t="n">
        <f aca="false">R366*(1-TradeDiscount)</f>
        <v>5099.86764496</v>
      </c>
      <c r="T366" s="28" t="n">
        <f aca="false">R366*(1-VolumeDiscount)</f>
        <v>4636.2433136</v>
      </c>
    </row>
    <row r="367" customFormat="false" ht="15" hidden="false" customHeight="false" outlineLevel="0" collapsed="false">
      <c r="A367" s="29" t="s">
        <v>940</v>
      </c>
      <c r="B367" s="29" t="s">
        <v>96</v>
      </c>
      <c r="C367" s="29" t="s">
        <v>42</v>
      </c>
      <c r="D367" s="29" t="s">
        <v>941</v>
      </c>
      <c r="E367" s="29" t="s">
        <v>851</v>
      </c>
      <c r="F367" s="29" t="s">
        <v>769</v>
      </c>
      <c r="G367" s="29" t="s">
        <v>35</v>
      </c>
      <c r="H367" s="29" t="s">
        <v>64</v>
      </c>
      <c r="I367" s="29" t="s">
        <v>190</v>
      </c>
      <c r="J367" s="29" t="s">
        <v>685</v>
      </c>
      <c r="K367" s="29" t="s">
        <v>192</v>
      </c>
      <c r="L367" s="29" t="s">
        <v>29</v>
      </c>
      <c r="M367" s="29" t="n">
        <v>1209</v>
      </c>
      <c r="N367" s="29" t="n">
        <v>1509</v>
      </c>
      <c r="O367" s="29"/>
      <c r="P367" s="30" t="n">
        <f aca="false">(M367*N367/1000000)*(INDEX(AreaRate_Vals,MATCH(C367,AreaRate_Keys,0))+IFERROR(INDEX(GlazingUpg_Vals,MATCH(H367,GlazingUpg_Keys,0)),0))+INDEX(Hardware_Vals,MATCH("Windows",Hardware_Keys,0))</f>
        <v>5084.60965</v>
      </c>
      <c r="Q367" s="31" t="n">
        <f aca="false">INDEX(Markup_Vals,MATCH("Windows",MarkupCat_Keys,0))</f>
        <v>0.42</v>
      </c>
      <c r="R367" s="32" t="n">
        <f aca="false">P367*(1+Q367)</f>
        <v>7220.145703</v>
      </c>
      <c r="S367" s="32" t="n">
        <f aca="false">R367*(1-TradeDiscount)</f>
        <v>6353.72821864</v>
      </c>
      <c r="T367" s="32" t="n">
        <f aca="false">R367*(1-VolumeDiscount)</f>
        <v>5776.1165624</v>
      </c>
    </row>
    <row r="368" customFormat="false" ht="15" hidden="false" customHeight="false" outlineLevel="0" collapsed="false">
      <c r="A368" s="25" t="s">
        <v>942</v>
      </c>
      <c r="B368" s="25" t="s">
        <v>96</v>
      </c>
      <c r="C368" s="25" t="s">
        <v>42</v>
      </c>
      <c r="D368" s="25" t="s">
        <v>943</v>
      </c>
      <c r="E368" s="25" t="s">
        <v>851</v>
      </c>
      <c r="F368" s="25" t="s">
        <v>769</v>
      </c>
      <c r="G368" s="25" t="s">
        <v>36</v>
      </c>
      <c r="H368" s="25" t="s">
        <v>64</v>
      </c>
      <c r="I368" s="25" t="s">
        <v>190</v>
      </c>
      <c r="J368" s="25" t="s">
        <v>685</v>
      </c>
      <c r="K368" s="25" t="s">
        <v>192</v>
      </c>
      <c r="L368" s="25" t="s">
        <v>29</v>
      </c>
      <c r="M368" s="25" t="n">
        <v>1209</v>
      </c>
      <c r="N368" s="25" t="n">
        <v>1509</v>
      </c>
      <c r="O368" s="25"/>
      <c r="P368" s="26" t="n">
        <f aca="false">(M368*N368/1000000)*(INDEX(AreaRate_Vals,MATCH(C368,AreaRate_Keys,0))+IFERROR(INDEX(GlazingUpg_Vals,MATCH(H368,GlazingUpg_Keys,0)),0))+INDEX(Hardware_Vals,MATCH("Windows",Hardware_Keys,0))</f>
        <v>5084.60965</v>
      </c>
      <c r="Q368" s="27" t="n">
        <f aca="false">INDEX(Markup_Vals,MATCH("Windows",MarkupCat_Keys,0))</f>
        <v>0.42</v>
      </c>
      <c r="R368" s="28" t="n">
        <f aca="false">P368*(1+Q368)</f>
        <v>7220.145703</v>
      </c>
      <c r="S368" s="28" t="n">
        <f aca="false">R368*(1-TradeDiscount)</f>
        <v>6353.72821864</v>
      </c>
      <c r="T368" s="28" t="n">
        <f aca="false">R368*(1-VolumeDiscount)</f>
        <v>5776.1165624</v>
      </c>
    </row>
    <row r="369" customFormat="false" ht="15" hidden="false" customHeight="false" outlineLevel="0" collapsed="false">
      <c r="A369" s="29" t="s">
        <v>944</v>
      </c>
      <c r="B369" s="29" t="s">
        <v>96</v>
      </c>
      <c r="C369" s="29" t="s">
        <v>42</v>
      </c>
      <c r="D369" s="29" t="s">
        <v>945</v>
      </c>
      <c r="E369" s="29" t="s">
        <v>851</v>
      </c>
      <c r="F369" s="29" t="s">
        <v>769</v>
      </c>
      <c r="G369" s="29" t="s">
        <v>37</v>
      </c>
      <c r="H369" s="29" t="s">
        <v>64</v>
      </c>
      <c r="I369" s="29" t="s">
        <v>190</v>
      </c>
      <c r="J369" s="29" t="s">
        <v>685</v>
      </c>
      <c r="K369" s="29" t="s">
        <v>192</v>
      </c>
      <c r="L369" s="29" t="s">
        <v>29</v>
      </c>
      <c r="M369" s="29" t="n">
        <v>1209</v>
      </c>
      <c r="N369" s="29" t="n">
        <v>1509</v>
      </c>
      <c r="O369" s="29"/>
      <c r="P369" s="30" t="n">
        <f aca="false">(M369*N369/1000000)*(INDEX(AreaRate_Vals,MATCH(C369,AreaRate_Keys,0))+IFERROR(INDEX(GlazingUpg_Vals,MATCH(H369,GlazingUpg_Keys,0)),0))+INDEX(Hardware_Vals,MATCH("Windows",Hardware_Keys,0))</f>
        <v>5084.60965</v>
      </c>
      <c r="Q369" s="31" t="n">
        <f aca="false">INDEX(Markup_Vals,MATCH("Windows",MarkupCat_Keys,0))</f>
        <v>0.42</v>
      </c>
      <c r="R369" s="32" t="n">
        <f aca="false">P369*(1+Q369)</f>
        <v>7220.145703</v>
      </c>
      <c r="S369" s="32" t="n">
        <f aca="false">R369*(1-TradeDiscount)</f>
        <v>6353.72821864</v>
      </c>
      <c r="T369" s="32" t="n">
        <f aca="false">R369*(1-VolumeDiscount)</f>
        <v>5776.1165624</v>
      </c>
    </row>
    <row r="370" customFormat="false" ht="15" hidden="false" customHeight="false" outlineLevel="0" collapsed="false">
      <c r="A370" s="25" t="s">
        <v>946</v>
      </c>
      <c r="B370" s="25" t="s">
        <v>96</v>
      </c>
      <c r="C370" s="25" t="s">
        <v>42</v>
      </c>
      <c r="D370" s="25" t="s">
        <v>947</v>
      </c>
      <c r="E370" s="25" t="s">
        <v>851</v>
      </c>
      <c r="F370" s="25" t="s">
        <v>769</v>
      </c>
      <c r="G370" s="25" t="s">
        <v>39</v>
      </c>
      <c r="H370" s="25" t="s">
        <v>64</v>
      </c>
      <c r="I370" s="25" t="s">
        <v>190</v>
      </c>
      <c r="J370" s="25" t="s">
        <v>685</v>
      </c>
      <c r="K370" s="25" t="s">
        <v>192</v>
      </c>
      <c r="L370" s="25" t="s">
        <v>29</v>
      </c>
      <c r="M370" s="25" t="n">
        <v>1209</v>
      </c>
      <c r="N370" s="25" t="n">
        <v>1509</v>
      </c>
      <c r="O370" s="25"/>
      <c r="P370" s="26" t="n">
        <f aca="false">(M370*N370/1000000)*(INDEX(AreaRate_Vals,MATCH(C370,AreaRate_Keys,0))+IFERROR(INDEX(GlazingUpg_Vals,MATCH(H370,GlazingUpg_Keys,0)),0))+INDEX(Hardware_Vals,MATCH("Windows",Hardware_Keys,0))</f>
        <v>5084.60965</v>
      </c>
      <c r="Q370" s="27" t="n">
        <f aca="false">INDEX(Markup_Vals,MATCH("Windows",MarkupCat_Keys,0))</f>
        <v>0.42</v>
      </c>
      <c r="R370" s="28" t="n">
        <f aca="false">P370*(1+Q370)</f>
        <v>7220.145703</v>
      </c>
      <c r="S370" s="28" t="n">
        <f aca="false">R370*(1-TradeDiscount)</f>
        <v>6353.72821864</v>
      </c>
      <c r="T370" s="28" t="n">
        <f aca="false">R370*(1-VolumeDiscount)</f>
        <v>5776.1165624</v>
      </c>
    </row>
    <row r="371" customFormat="false" ht="15" hidden="false" customHeight="false" outlineLevel="0" collapsed="false">
      <c r="A371" s="29" t="s">
        <v>948</v>
      </c>
      <c r="B371" s="29" t="s">
        <v>96</v>
      </c>
      <c r="C371" s="29" t="s">
        <v>42</v>
      </c>
      <c r="D371" s="29" t="s">
        <v>949</v>
      </c>
      <c r="E371" s="29" t="s">
        <v>851</v>
      </c>
      <c r="F371" s="29" t="s">
        <v>769</v>
      </c>
      <c r="G371" s="29" t="s">
        <v>38</v>
      </c>
      <c r="H371" s="29" t="s">
        <v>64</v>
      </c>
      <c r="I371" s="29" t="s">
        <v>190</v>
      </c>
      <c r="J371" s="29" t="s">
        <v>685</v>
      </c>
      <c r="K371" s="29" t="s">
        <v>192</v>
      </c>
      <c r="L371" s="29" t="s">
        <v>29</v>
      </c>
      <c r="M371" s="29" t="n">
        <v>1209</v>
      </c>
      <c r="N371" s="29" t="n">
        <v>1509</v>
      </c>
      <c r="O371" s="29"/>
      <c r="P371" s="30" t="n">
        <f aca="false">(M371*N371/1000000)*(INDEX(AreaRate_Vals,MATCH(C371,AreaRate_Keys,0))+IFERROR(INDEX(GlazingUpg_Vals,MATCH(H371,GlazingUpg_Keys,0)),0))+INDEX(Hardware_Vals,MATCH("Windows",Hardware_Keys,0))</f>
        <v>5084.60965</v>
      </c>
      <c r="Q371" s="31" t="n">
        <f aca="false">INDEX(Markup_Vals,MATCH("Windows",MarkupCat_Keys,0))</f>
        <v>0.42</v>
      </c>
      <c r="R371" s="32" t="n">
        <f aca="false">P371*(1+Q371)</f>
        <v>7220.145703</v>
      </c>
      <c r="S371" s="32" t="n">
        <f aca="false">R371*(1-TradeDiscount)</f>
        <v>6353.72821864</v>
      </c>
      <c r="T371" s="32" t="n">
        <f aca="false">R371*(1-VolumeDiscount)</f>
        <v>5776.1165624</v>
      </c>
    </row>
    <row r="372" customFormat="false" ht="15" hidden="false" customHeight="false" outlineLevel="0" collapsed="false">
      <c r="A372" s="25" t="s">
        <v>950</v>
      </c>
      <c r="B372" s="25" t="s">
        <v>96</v>
      </c>
      <c r="C372" s="25" t="s">
        <v>42</v>
      </c>
      <c r="D372" s="25" t="s">
        <v>951</v>
      </c>
      <c r="E372" s="25" t="s">
        <v>851</v>
      </c>
      <c r="F372" s="25" t="s">
        <v>276</v>
      </c>
      <c r="G372" s="25" t="s">
        <v>35</v>
      </c>
      <c r="H372" s="25" t="s">
        <v>63</v>
      </c>
      <c r="I372" s="25" t="s">
        <v>190</v>
      </c>
      <c r="J372" s="25" t="s">
        <v>685</v>
      </c>
      <c r="K372" s="25" t="s">
        <v>298</v>
      </c>
      <c r="L372" s="25" t="s">
        <v>29</v>
      </c>
      <c r="M372" s="25" t="n">
        <v>1809</v>
      </c>
      <c r="N372" s="25" t="n">
        <v>1209</v>
      </c>
      <c r="O372" s="25"/>
      <c r="P372" s="26" t="n">
        <f aca="false">(M372*N372/1000000)*(INDEX(AreaRate_Vals,MATCH(C372,AreaRate_Keys,0))+IFERROR(INDEX(GlazingUpg_Vals,MATCH(H372,GlazingUpg_Keys,0)),0))+INDEX(Hardware_Vals,MATCH("Windows",Hardware_Keys,0))</f>
        <v>4842.8701</v>
      </c>
      <c r="Q372" s="27" t="n">
        <f aca="false">INDEX(Markup_Vals,MATCH("Windows",MarkupCat_Keys,0))</f>
        <v>0.42</v>
      </c>
      <c r="R372" s="28" t="n">
        <f aca="false">P372*(1+Q372)</f>
        <v>6876.875542</v>
      </c>
      <c r="S372" s="28" t="n">
        <f aca="false">R372*(1-TradeDiscount)</f>
        <v>6051.65047696</v>
      </c>
      <c r="T372" s="28" t="n">
        <f aca="false">R372*(1-VolumeDiscount)</f>
        <v>5501.5004336</v>
      </c>
    </row>
    <row r="373" customFormat="false" ht="15" hidden="false" customHeight="false" outlineLevel="0" collapsed="false">
      <c r="A373" s="29" t="s">
        <v>952</v>
      </c>
      <c r="B373" s="29" t="s">
        <v>96</v>
      </c>
      <c r="C373" s="29" t="s">
        <v>42</v>
      </c>
      <c r="D373" s="29" t="s">
        <v>953</v>
      </c>
      <c r="E373" s="29" t="s">
        <v>851</v>
      </c>
      <c r="F373" s="29" t="s">
        <v>276</v>
      </c>
      <c r="G373" s="29" t="s">
        <v>36</v>
      </c>
      <c r="H373" s="29" t="s">
        <v>63</v>
      </c>
      <c r="I373" s="29" t="s">
        <v>190</v>
      </c>
      <c r="J373" s="29" t="s">
        <v>685</v>
      </c>
      <c r="K373" s="29" t="s">
        <v>298</v>
      </c>
      <c r="L373" s="29" t="s">
        <v>29</v>
      </c>
      <c r="M373" s="29" t="n">
        <v>1809</v>
      </c>
      <c r="N373" s="29" t="n">
        <v>1209</v>
      </c>
      <c r="O373" s="29"/>
      <c r="P373" s="30" t="n">
        <f aca="false">(M373*N373/1000000)*(INDEX(AreaRate_Vals,MATCH(C373,AreaRate_Keys,0))+IFERROR(INDEX(GlazingUpg_Vals,MATCH(H373,GlazingUpg_Keys,0)),0))+INDEX(Hardware_Vals,MATCH("Windows",Hardware_Keys,0))</f>
        <v>4842.8701</v>
      </c>
      <c r="Q373" s="31" t="n">
        <f aca="false">INDEX(Markup_Vals,MATCH("Windows",MarkupCat_Keys,0))</f>
        <v>0.42</v>
      </c>
      <c r="R373" s="32" t="n">
        <f aca="false">P373*(1+Q373)</f>
        <v>6876.875542</v>
      </c>
      <c r="S373" s="32" t="n">
        <f aca="false">R373*(1-TradeDiscount)</f>
        <v>6051.65047696</v>
      </c>
      <c r="T373" s="32" t="n">
        <f aca="false">R373*(1-VolumeDiscount)</f>
        <v>5501.5004336</v>
      </c>
    </row>
    <row r="374" customFormat="false" ht="15" hidden="false" customHeight="false" outlineLevel="0" collapsed="false">
      <c r="A374" s="25" t="s">
        <v>954</v>
      </c>
      <c r="B374" s="25" t="s">
        <v>96</v>
      </c>
      <c r="C374" s="25" t="s">
        <v>42</v>
      </c>
      <c r="D374" s="25" t="s">
        <v>955</v>
      </c>
      <c r="E374" s="25" t="s">
        <v>851</v>
      </c>
      <c r="F374" s="25" t="s">
        <v>276</v>
      </c>
      <c r="G374" s="25" t="s">
        <v>37</v>
      </c>
      <c r="H374" s="25" t="s">
        <v>63</v>
      </c>
      <c r="I374" s="25" t="s">
        <v>190</v>
      </c>
      <c r="J374" s="25" t="s">
        <v>685</v>
      </c>
      <c r="K374" s="25" t="s">
        <v>298</v>
      </c>
      <c r="L374" s="25" t="s">
        <v>29</v>
      </c>
      <c r="M374" s="25" t="n">
        <v>1809</v>
      </c>
      <c r="N374" s="25" t="n">
        <v>1209</v>
      </c>
      <c r="O374" s="25"/>
      <c r="P374" s="26" t="n">
        <f aca="false">(M374*N374/1000000)*(INDEX(AreaRate_Vals,MATCH(C374,AreaRate_Keys,0))+IFERROR(INDEX(GlazingUpg_Vals,MATCH(H374,GlazingUpg_Keys,0)),0))+INDEX(Hardware_Vals,MATCH("Windows",Hardware_Keys,0))</f>
        <v>4842.8701</v>
      </c>
      <c r="Q374" s="27" t="n">
        <f aca="false">INDEX(Markup_Vals,MATCH("Windows",MarkupCat_Keys,0))</f>
        <v>0.42</v>
      </c>
      <c r="R374" s="28" t="n">
        <f aca="false">P374*(1+Q374)</f>
        <v>6876.875542</v>
      </c>
      <c r="S374" s="28" t="n">
        <f aca="false">R374*(1-TradeDiscount)</f>
        <v>6051.65047696</v>
      </c>
      <c r="T374" s="28" t="n">
        <f aca="false">R374*(1-VolumeDiscount)</f>
        <v>5501.5004336</v>
      </c>
    </row>
    <row r="375" customFormat="false" ht="15" hidden="false" customHeight="false" outlineLevel="0" collapsed="false">
      <c r="A375" s="29" t="s">
        <v>956</v>
      </c>
      <c r="B375" s="29" t="s">
        <v>96</v>
      </c>
      <c r="C375" s="29" t="s">
        <v>42</v>
      </c>
      <c r="D375" s="29" t="s">
        <v>957</v>
      </c>
      <c r="E375" s="29" t="s">
        <v>851</v>
      </c>
      <c r="F375" s="29" t="s">
        <v>276</v>
      </c>
      <c r="G375" s="29" t="s">
        <v>39</v>
      </c>
      <c r="H375" s="29" t="s">
        <v>63</v>
      </c>
      <c r="I375" s="29" t="s">
        <v>190</v>
      </c>
      <c r="J375" s="29" t="s">
        <v>685</v>
      </c>
      <c r="K375" s="29" t="s">
        <v>298</v>
      </c>
      <c r="L375" s="29" t="s">
        <v>29</v>
      </c>
      <c r="M375" s="29" t="n">
        <v>1809</v>
      </c>
      <c r="N375" s="29" t="n">
        <v>1209</v>
      </c>
      <c r="O375" s="29"/>
      <c r="P375" s="30" t="n">
        <f aca="false">(M375*N375/1000000)*(INDEX(AreaRate_Vals,MATCH(C375,AreaRate_Keys,0))+IFERROR(INDEX(GlazingUpg_Vals,MATCH(H375,GlazingUpg_Keys,0)),0))+INDEX(Hardware_Vals,MATCH("Windows",Hardware_Keys,0))</f>
        <v>4842.8701</v>
      </c>
      <c r="Q375" s="31" t="n">
        <f aca="false">INDEX(Markup_Vals,MATCH("Windows",MarkupCat_Keys,0))</f>
        <v>0.42</v>
      </c>
      <c r="R375" s="32" t="n">
        <f aca="false">P375*(1+Q375)</f>
        <v>6876.875542</v>
      </c>
      <c r="S375" s="32" t="n">
        <f aca="false">R375*(1-TradeDiscount)</f>
        <v>6051.65047696</v>
      </c>
      <c r="T375" s="32" t="n">
        <f aca="false">R375*(1-VolumeDiscount)</f>
        <v>5501.5004336</v>
      </c>
    </row>
    <row r="376" customFormat="false" ht="15" hidden="false" customHeight="false" outlineLevel="0" collapsed="false">
      <c r="A376" s="25" t="s">
        <v>958</v>
      </c>
      <c r="B376" s="25" t="s">
        <v>96</v>
      </c>
      <c r="C376" s="25" t="s">
        <v>42</v>
      </c>
      <c r="D376" s="25" t="s">
        <v>959</v>
      </c>
      <c r="E376" s="25" t="s">
        <v>851</v>
      </c>
      <c r="F376" s="25" t="s">
        <v>276</v>
      </c>
      <c r="G376" s="25" t="s">
        <v>38</v>
      </c>
      <c r="H376" s="25" t="s">
        <v>63</v>
      </c>
      <c r="I376" s="25" t="s">
        <v>190</v>
      </c>
      <c r="J376" s="25" t="s">
        <v>685</v>
      </c>
      <c r="K376" s="25" t="s">
        <v>298</v>
      </c>
      <c r="L376" s="25" t="s">
        <v>29</v>
      </c>
      <c r="M376" s="25" t="n">
        <v>1809</v>
      </c>
      <c r="N376" s="25" t="n">
        <v>1209</v>
      </c>
      <c r="O376" s="25"/>
      <c r="P376" s="26" t="n">
        <f aca="false">(M376*N376/1000000)*(INDEX(AreaRate_Vals,MATCH(C376,AreaRate_Keys,0))+IFERROR(INDEX(GlazingUpg_Vals,MATCH(H376,GlazingUpg_Keys,0)),0))+INDEX(Hardware_Vals,MATCH("Windows",Hardware_Keys,0))</f>
        <v>4842.8701</v>
      </c>
      <c r="Q376" s="27" t="n">
        <f aca="false">INDEX(Markup_Vals,MATCH("Windows",MarkupCat_Keys,0))</f>
        <v>0.42</v>
      </c>
      <c r="R376" s="28" t="n">
        <f aca="false">P376*(1+Q376)</f>
        <v>6876.875542</v>
      </c>
      <c r="S376" s="28" t="n">
        <f aca="false">R376*(1-TradeDiscount)</f>
        <v>6051.65047696</v>
      </c>
      <c r="T376" s="28" t="n">
        <f aca="false">R376*(1-VolumeDiscount)</f>
        <v>5501.5004336</v>
      </c>
    </row>
    <row r="377" customFormat="false" ht="15" hidden="false" customHeight="false" outlineLevel="0" collapsed="false">
      <c r="A377" s="29" t="s">
        <v>960</v>
      </c>
      <c r="B377" s="29" t="s">
        <v>96</v>
      </c>
      <c r="C377" s="29" t="s">
        <v>42</v>
      </c>
      <c r="D377" s="29" t="s">
        <v>961</v>
      </c>
      <c r="E377" s="29" t="s">
        <v>851</v>
      </c>
      <c r="F377" s="29" t="s">
        <v>276</v>
      </c>
      <c r="G377" s="29" t="s">
        <v>35</v>
      </c>
      <c r="H377" s="29" t="s">
        <v>64</v>
      </c>
      <c r="I377" s="29" t="s">
        <v>190</v>
      </c>
      <c r="J377" s="29" t="s">
        <v>685</v>
      </c>
      <c r="K377" s="29" t="s">
        <v>298</v>
      </c>
      <c r="L377" s="29" t="s">
        <v>29</v>
      </c>
      <c r="M377" s="29" t="n">
        <v>1809</v>
      </c>
      <c r="N377" s="29" t="n">
        <v>1209</v>
      </c>
      <c r="O377" s="29"/>
      <c r="P377" s="30" t="n">
        <f aca="false">(M377*N377/1000000)*(INDEX(AreaRate_Vals,MATCH(C377,AreaRate_Keys,0))+IFERROR(INDEX(GlazingUpg_Vals,MATCH(H377,GlazingUpg_Keys,0)),0))+INDEX(Hardware_Vals,MATCH("Windows",Hardware_Keys,0))</f>
        <v>6045.76465</v>
      </c>
      <c r="Q377" s="31" t="n">
        <f aca="false">INDEX(Markup_Vals,MATCH("Windows",MarkupCat_Keys,0))</f>
        <v>0.42</v>
      </c>
      <c r="R377" s="32" t="n">
        <f aca="false">P377*(1+Q377)</f>
        <v>8584.985803</v>
      </c>
      <c r="S377" s="32" t="n">
        <f aca="false">R377*(1-TradeDiscount)</f>
        <v>7554.78750664</v>
      </c>
      <c r="T377" s="32" t="n">
        <f aca="false">R377*(1-VolumeDiscount)</f>
        <v>6867.9886424</v>
      </c>
    </row>
    <row r="378" customFormat="false" ht="15" hidden="false" customHeight="false" outlineLevel="0" collapsed="false">
      <c r="A378" s="25" t="s">
        <v>962</v>
      </c>
      <c r="B378" s="25" t="s">
        <v>96</v>
      </c>
      <c r="C378" s="25" t="s">
        <v>42</v>
      </c>
      <c r="D378" s="25" t="s">
        <v>963</v>
      </c>
      <c r="E378" s="25" t="s">
        <v>851</v>
      </c>
      <c r="F378" s="25" t="s">
        <v>276</v>
      </c>
      <c r="G378" s="25" t="s">
        <v>36</v>
      </c>
      <c r="H378" s="25" t="s">
        <v>64</v>
      </c>
      <c r="I378" s="25" t="s">
        <v>190</v>
      </c>
      <c r="J378" s="25" t="s">
        <v>685</v>
      </c>
      <c r="K378" s="25" t="s">
        <v>298</v>
      </c>
      <c r="L378" s="25" t="s">
        <v>29</v>
      </c>
      <c r="M378" s="25" t="n">
        <v>1809</v>
      </c>
      <c r="N378" s="25" t="n">
        <v>1209</v>
      </c>
      <c r="O378" s="25"/>
      <c r="P378" s="26" t="n">
        <f aca="false">(M378*N378/1000000)*(INDEX(AreaRate_Vals,MATCH(C378,AreaRate_Keys,0))+IFERROR(INDEX(GlazingUpg_Vals,MATCH(H378,GlazingUpg_Keys,0)),0))+INDEX(Hardware_Vals,MATCH("Windows",Hardware_Keys,0))</f>
        <v>6045.76465</v>
      </c>
      <c r="Q378" s="27" t="n">
        <f aca="false">INDEX(Markup_Vals,MATCH("Windows",MarkupCat_Keys,0))</f>
        <v>0.42</v>
      </c>
      <c r="R378" s="28" t="n">
        <f aca="false">P378*(1+Q378)</f>
        <v>8584.985803</v>
      </c>
      <c r="S378" s="28" t="n">
        <f aca="false">R378*(1-TradeDiscount)</f>
        <v>7554.78750664</v>
      </c>
      <c r="T378" s="28" t="n">
        <f aca="false">R378*(1-VolumeDiscount)</f>
        <v>6867.9886424</v>
      </c>
    </row>
    <row r="379" customFormat="false" ht="15" hidden="false" customHeight="false" outlineLevel="0" collapsed="false">
      <c r="A379" s="29" t="s">
        <v>964</v>
      </c>
      <c r="B379" s="29" t="s">
        <v>96</v>
      </c>
      <c r="C379" s="29" t="s">
        <v>42</v>
      </c>
      <c r="D379" s="29" t="s">
        <v>965</v>
      </c>
      <c r="E379" s="29" t="s">
        <v>851</v>
      </c>
      <c r="F379" s="29" t="s">
        <v>276</v>
      </c>
      <c r="G379" s="29" t="s">
        <v>37</v>
      </c>
      <c r="H379" s="29" t="s">
        <v>64</v>
      </c>
      <c r="I379" s="29" t="s">
        <v>190</v>
      </c>
      <c r="J379" s="29" t="s">
        <v>685</v>
      </c>
      <c r="K379" s="29" t="s">
        <v>298</v>
      </c>
      <c r="L379" s="29" t="s">
        <v>29</v>
      </c>
      <c r="M379" s="29" t="n">
        <v>1809</v>
      </c>
      <c r="N379" s="29" t="n">
        <v>1209</v>
      </c>
      <c r="O379" s="29"/>
      <c r="P379" s="30" t="n">
        <f aca="false">(M379*N379/1000000)*(INDEX(AreaRate_Vals,MATCH(C379,AreaRate_Keys,0))+IFERROR(INDEX(GlazingUpg_Vals,MATCH(H379,GlazingUpg_Keys,0)),0))+INDEX(Hardware_Vals,MATCH("Windows",Hardware_Keys,0))</f>
        <v>6045.76465</v>
      </c>
      <c r="Q379" s="31" t="n">
        <f aca="false">INDEX(Markup_Vals,MATCH("Windows",MarkupCat_Keys,0))</f>
        <v>0.42</v>
      </c>
      <c r="R379" s="32" t="n">
        <f aca="false">P379*(1+Q379)</f>
        <v>8584.985803</v>
      </c>
      <c r="S379" s="32" t="n">
        <f aca="false">R379*(1-TradeDiscount)</f>
        <v>7554.78750664</v>
      </c>
      <c r="T379" s="32" t="n">
        <f aca="false">R379*(1-VolumeDiscount)</f>
        <v>6867.9886424</v>
      </c>
    </row>
    <row r="380" customFormat="false" ht="15" hidden="false" customHeight="false" outlineLevel="0" collapsed="false">
      <c r="A380" s="25" t="s">
        <v>966</v>
      </c>
      <c r="B380" s="25" t="s">
        <v>96</v>
      </c>
      <c r="C380" s="25" t="s">
        <v>42</v>
      </c>
      <c r="D380" s="25" t="s">
        <v>967</v>
      </c>
      <c r="E380" s="25" t="s">
        <v>851</v>
      </c>
      <c r="F380" s="25" t="s">
        <v>276</v>
      </c>
      <c r="G380" s="25" t="s">
        <v>39</v>
      </c>
      <c r="H380" s="25" t="s">
        <v>64</v>
      </c>
      <c r="I380" s="25" t="s">
        <v>190</v>
      </c>
      <c r="J380" s="25" t="s">
        <v>685</v>
      </c>
      <c r="K380" s="25" t="s">
        <v>298</v>
      </c>
      <c r="L380" s="25" t="s">
        <v>29</v>
      </c>
      <c r="M380" s="25" t="n">
        <v>1809</v>
      </c>
      <c r="N380" s="25" t="n">
        <v>1209</v>
      </c>
      <c r="O380" s="25"/>
      <c r="P380" s="26" t="n">
        <f aca="false">(M380*N380/1000000)*(INDEX(AreaRate_Vals,MATCH(C380,AreaRate_Keys,0))+IFERROR(INDEX(GlazingUpg_Vals,MATCH(H380,GlazingUpg_Keys,0)),0))+INDEX(Hardware_Vals,MATCH("Windows",Hardware_Keys,0))</f>
        <v>6045.76465</v>
      </c>
      <c r="Q380" s="27" t="n">
        <f aca="false">INDEX(Markup_Vals,MATCH("Windows",MarkupCat_Keys,0))</f>
        <v>0.42</v>
      </c>
      <c r="R380" s="28" t="n">
        <f aca="false">P380*(1+Q380)</f>
        <v>8584.985803</v>
      </c>
      <c r="S380" s="28" t="n">
        <f aca="false">R380*(1-TradeDiscount)</f>
        <v>7554.78750664</v>
      </c>
      <c r="T380" s="28" t="n">
        <f aca="false">R380*(1-VolumeDiscount)</f>
        <v>6867.9886424</v>
      </c>
    </row>
    <row r="381" customFormat="false" ht="15" hidden="false" customHeight="false" outlineLevel="0" collapsed="false">
      <c r="A381" s="29" t="s">
        <v>968</v>
      </c>
      <c r="B381" s="29" t="s">
        <v>96</v>
      </c>
      <c r="C381" s="29" t="s">
        <v>42</v>
      </c>
      <c r="D381" s="29" t="s">
        <v>969</v>
      </c>
      <c r="E381" s="29" t="s">
        <v>851</v>
      </c>
      <c r="F381" s="29" t="s">
        <v>276</v>
      </c>
      <c r="G381" s="29" t="s">
        <v>38</v>
      </c>
      <c r="H381" s="29" t="s">
        <v>64</v>
      </c>
      <c r="I381" s="29" t="s">
        <v>190</v>
      </c>
      <c r="J381" s="29" t="s">
        <v>685</v>
      </c>
      <c r="K381" s="29" t="s">
        <v>298</v>
      </c>
      <c r="L381" s="29" t="s">
        <v>29</v>
      </c>
      <c r="M381" s="29" t="n">
        <v>1809</v>
      </c>
      <c r="N381" s="29" t="n">
        <v>1209</v>
      </c>
      <c r="O381" s="29"/>
      <c r="P381" s="30" t="n">
        <f aca="false">(M381*N381/1000000)*(INDEX(AreaRate_Vals,MATCH(C381,AreaRate_Keys,0))+IFERROR(INDEX(GlazingUpg_Vals,MATCH(H381,GlazingUpg_Keys,0)),0))+INDEX(Hardware_Vals,MATCH("Windows",Hardware_Keys,0))</f>
        <v>6045.76465</v>
      </c>
      <c r="Q381" s="31" t="n">
        <f aca="false">INDEX(Markup_Vals,MATCH("Windows",MarkupCat_Keys,0))</f>
        <v>0.42</v>
      </c>
      <c r="R381" s="32" t="n">
        <f aca="false">P381*(1+Q381)</f>
        <v>8584.985803</v>
      </c>
      <c r="S381" s="32" t="n">
        <f aca="false">R381*(1-TradeDiscount)</f>
        <v>7554.78750664</v>
      </c>
      <c r="T381" s="32" t="n">
        <f aca="false">R381*(1-VolumeDiscount)</f>
        <v>6867.9886424</v>
      </c>
    </row>
    <row r="382" customFormat="false" ht="15" hidden="false" customHeight="false" outlineLevel="0" collapsed="false">
      <c r="A382" s="25" t="s">
        <v>970</v>
      </c>
      <c r="B382" s="25" t="s">
        <v>96</v>
      </c>
      <c r="C382" s="25" t="s">
        <v>42</v>
      </c>
      <c r="D382" s="25" t="s">
        <v>971</v>
      </c>
      <c r="E382" s="25" t="s">
        <v>851</v>
      </c>
      <c r="F382" s="25" t="s">
        <v>810</v>
      </c>
      <c r="G382" s="25" t="s">
        <v>35</v>
      </c>
      <c r="H382" s="25" t="s">
        <v>63</v>
      </c>
      <c r="I382" s="25" t="s">
        <v>190</v>
      </c>
      <c r="J382" s="25" t="s">
        <v>685</v>
      </c>
      <c r="K382" s="25" t="s">
        <v>298</v>
      </c>
      <c r="L382" s="25" t="s">
        <v>29</v>
      </c>
      <c r="M382" s="25" t="n">
        <v>1809</v>
      </c>
      <c r="N382" s="25" t="n">
        <v>1509</v>
      </c>
      <c r="O382" s="25"/>
      <c r="P382" s="26" t="n">
        <f aca="false">(M382*N382/1000000)*(INDEX(AreaRate_Vals,MATCH(C382,AreaRate_Keys,0))+IFERROR(INDEX(GlazingUpg_Vals,MATCH(H382,GlazingUpg_Keys,0)),0))+INDEX(Hardware_Vals,MATCH("Windows",Hardware_Keys,0))</f>
        <v>5982.5401</v>
      </c>
      <c r="Q382" s="27" t="n">
        <f aca="false">INDEX(Markup_Vals,MATCH("Windows",MarkupCat_Keys,0))</f>
        <v>0.42</v>
      </c>
      <c r="R382" s="28" t="n">
        <f aca="false">P382*(1+Q382)</f>
        <v>8495.206942</v>
      </c>
      <c r="S382" s="28" t="n">
        <f aca="false">R382*(1-TradeDiscount)</f>
        <v>7475.78210896</v>
      </c>
      <c r="T382" s="28" t="n">
        <f aca="false">R382*(1-VolumeDiscount)</f>
        <v>6796.1655536</v>
      </c>
    </row>
    <row r="383" customFormat="false" ht="15" hidden="false" customHeight="false" outlineLevel="0" collapsed="false">
      <c r="A383" s="29" t="s">
        <v>972</v>
      </c>
      <c r="B383" s="29" t="s">
        <v>96</v>
      </c>
      <c r="C383" s="29" t="s">
        <v>42</v>
      </c>
      <c r="D383" s="29" t="s">
        <v>973</v>
      </c>
      <c r="E383" s="29" t="s">
        <v>851</v>
      </c>
      <c r="F383" s="29" t="s">
        <v>810</v>
      </c>
      <c r="G383" s="29" t="s">
        <v>36</v>
      </c>
      <c r="H383" s="29" t="s">
        <v>63</v>
      </c>
      <c r="I383" s="29" t="s">
        <v>190</v>
      </c>
      <c r="J383" s="29" t="s">
        <v>685</v>
      </c>
      <c r="K383" s="29" t="s">
        <v>298</v>
      </c>
      <c r="L383" s="29" t="s">
        <v>29</v>
      </c>
      <c r="M383" s="29" t="n">
        <v>1809</v>
      </c>
      <c r="N383" s="29" t="n">
        <v>1509</v>
      </c>
      <c r="O383" s="29"/>
      <c r="P383" s="30" t="n">
        <f aca="false">(M383*N383/1000000)*(INDEX(AreaRate_Vals,MATCH(C383,AreaRate_Keys,0))+IFERROR(INDEX(GlazingUpg_Vals,MATCH(H383,GlazingUpg_Keys,0)),0))+INDEX(Hardware_Vals,MATCH("Windows",Hardware_Keys,0))</f>
        <v>5982.5401</v>
      </c>
      <c r="Q383" s="31" t="n">
        <f aca="false">INDEX(Markup_Vals,MATCH("Windows",MarkupCat_Keys,0))</f>
        <v>0.42</v>
      </c>
      <c r="R383" s="32" t="n">
        <f aca="false">P383*(1+Q383)</f>
        <v>8495.206942</v>
      </c>
      <c r="S383" s="32" t="n">
        <f aca="false">R383*(1-TradeDiscount)</f>
        <v>7475.78210896</v>
      </c>
      <c r="T383" s="32" t="n">
        <f aca="false">R383*(1-VolumeDiscount)</f>
        <v>6796.1655536</v>
      </c>
    </row>
    <row r="384" customFormat="false" ht="15" hidden="false" customHeight="false" outlineLevel="0" collapsed="false">
      <c r="A384" s="25" t="s">
        <v>974</v>
      </c>
      <c r="B384" s="25" t="s">
        <v>96</v>
      </c>
      <c r="C384" s="25" t="s">
        <v>42</v>
      </c>
      <c r="D384" s="25" t="s">
        <v>975</v>
      </c>
      <c r="E384" s="25" t="s">
        <v>851</v>
      </c>
      <c r="F384" s="25" t="s">
        <v>810</v>
      </c>
      <c r="G384" s="25" t="s">
        <v>37</v>
      </c>
      <c r="H384" s="25" t="s">
        <v>63</v>
      </c>
      <c r="I384" s="25" t="s">
        <v>190</v>
      </c>
      <c r="J384" s="25" t="s">
        <v>685</v>
      </c>
      <c r="K384" s="25" t="s">
        <v>298</v>
      </c>
      <c r="L384" s="25" t="s">
        <v>29</v>
      </c>
      <c r="M384" s="25" t="n">
        <v>1809</v>
      </c>
      <c r="N384" s="25" t="n">
        <v>1509</v>
      </c>
      <c r="O384" s="25"/>
      <c r="P384" s="26" t="n">
        <f aca="false">(M384*N384/1000000)*(INDEX(AreaRate_Vals,MATCH(C384,AreaRate_Keys,0))+IFERROR(INDEX(GlazingUpg_Vals,MATCH(H384,GlazingUpg_Keys,0)),0))+INDEX(Hardware_Vals,MATCH("Windows",Hardware_Keys,0))</f>
        <v>5982.5401</v>
      </c>
      <c r="Q384" s="27" t="n">
        <f aca="false">INDEX(Markup_Vals,MATCH("Windows",MarkupCat_Keys,0))</f>
        <v>0.42</v>
      </c>
      <c r="R384" s="28" t="n">
        <f aca="false">P384*(1+Q384)</f>
        <v>8495.206942</v>
      </c>
      <c r="S384" s="28" t="n">
        <f aca="false">R384*(1-TradeDiscount)</f>
        <v>7475.78210896</v>
      </c>
      <c r="T384" s="28" t="n">
        <f aca="false">R384*(1-VolumeDiscount)</f>
        <v>6796.1655536</v>
      </c>
    </row>
    <row r="385" customFormat="false" ht="15" hidden="false" customHeight="false" outlineLevel="0" collapsed="false">
      <c r="A385" s="29" t="s">
        <v>976</v>
      </c>
      <c r="B385" s="29" t="s">
        <v>96</v>
      </c>
      <c r="C385" s="29" t="s">
        <v>42</v>
      </c>
      <c r="D385" s="29" t="s">
        <v>977</v>
      </c>
      <c r="E385" s="29" t="s">
        <v>851</v>
      </c>
      <c r="F385" s="29" t="s">
        <v>810</v>
      </c>
      <c r="G385" s="29" t="s">
        <v>39</v>
      </c>
      <c r="H385" s="29" t="s">
        <v>63</v>
      </c>
      <c r="I385" s="29" t="s">
        <v>190</v>
      </c>
      <c r="J385" s="29" t="s">
        <v>685</v>
      </c>
      <c r="K385" s="29" t="s">
        <v>298</v>
      </c>
      <c r="L385" s="29" t="s">
        <v>29</v>
      </c>
      <c r="M385" s="29" t="n">
        <v>1809</v>
      </c>
      <c r="N385" s="29" t="n">
        <v>1509</v>
      </c>
      <c r="O385" s="29"/>
      <c r="P385" s="30" t="n">
        <f aca="false">(M385*N385/1000000)*(INDEX(AreaRate_Vals,MATCH(C385,AreaRate_Keys,0))+IFERROR(INDEX(GlazingUpg_Vals,MATCH(H385,GlazingUpg_Keys,0)),0))+INDEX(Hardware_Vals,MATCH("Windows",Hardware_Keys,0))</f>
        <v>5982.5401</v>
      </c>
      <c r="Q385" s="31" t="n">
        <f aca="false">INDEX(Markup_Vals,MATCH("Windows",MarkupCat_Keys,0))</f>
        <v>0.42</v>
      </c>
      <c r="R385" s="32" t="n">
        <f aca="false">P385*(1+Q385)</f>
        <v>8495.206942</v>
      </c>
      <c r="S385" s="32" t="n">
        <f aca="false">R385*(1-TradeDiscount)</f>
        <v>7475.78210896</v>
      </c>
      <c r="T385" s="32" t="n">
        <f aca="false">R385*(1-VolumeDiscount)</f>
        <v>6796.1655536</v>
      </c>
    </row>
    <row r="386" customFormat="false" ht="15" hidden="false" customHeight="false" outlineLevel="0" collapsed="false">
      <c r="A386" s="25" t="s">
        <v>978</v>
      </c>
      <c r="B386" s="25" t="s">
        <v>96</v>
      </c>
      <c r="C386" s="25" t="s">
        <v>42</v>
      </c>
      <c r="D386" s="25" t="s">
        <v>979</v>
      </c>
      <c r="E386" s="25" t="s">
        <v>851</v>
      </c>
      <c r="F386" s="25" t="s">
        <v>810</v>
      </c>
      <c r="G386" s="25" t="s">
        <v>38</v>
      </c>
      <c r="H386" s="25" t="s">
        <v>63</v>
      </c>
      <c r="I386" s="25" t="s">
        <v>190</v>
      </c>
      <c r="J386" s="25" t="s">
        <v>685</v>
      </c>
      <c r="K386" s="25" t="s">
        <v>298</v>
      </c>
      <c r="L386" s="25" t="s">
        <v>29</v>
      </c>
      <c r="M386" s="25" t="n">
        <v>1809</v>
      </c>
      <c r="N386" s="25" t="n">
        <v>1509</v>
      </c>
      <c r="O386" s="25"/>
      <c r="P386" s="26" t="n">
        <f aca="false">(M386*N386/1000000)*(INDEX(AreaRate_Vals,MATCH(C386,AreaRate_Keys,0))+IFERROR(INDEX(GlazingUpg_Vals,MATCH(H386,GlazingUpg_Keys,0)),0))+INDEX(Hardware_Vals,MATCH("Windows",Hardware_Keys,0))</f>
        <v>5982.5401</v>
      </c>
      <c r="Q386" s="27" t="n">
        <f aca="false">INDEX(Markup_Vals,MATCH("Windows",MarkupCat_Keys,0))</f>
        <v>0.42</v>
      </c>
      <c r="R386" s="28" t="n">
        <f aca="false">P386*(1+Q386)</f>
        <v>8495.206942</v>
      </c>
      <c r="S386" s="28" t="n">
        <f aca="false">R386*(1-TradeDiscount)</f>
        <v>7475.78210896</v>
      </c>
      <c r="T386" s="28" t="n">
        <f aca="false">R386*(1-VolumeDiscount)</f>
        <v>6796.1655536</v>
      </c>
    </row>
    <row r="387" customFormat="false" ht="15" hidden="false" customHeight="false" outlineLevel="0" collapsed="false">
      <c r="A387" s="29" t="s">
        <v>980</v>
      </c>
      <c r="B387" s="29" t="s">
        <v>96</v>
      </c>
      <c r="C387" s="29" t="s">
        <v>42</v>
      </c>
      <c r="D387" s="29" t="s">
        <v>981</v>
      </c>
      <c r="E387" s="29" t="s">
        <v>851</v>
      </c>
      <c r="F387" s="29" t="s">
        <v>810</v>
      </c>
      <c r="G387" s="29" t="s">
        <v>35</v>
      </c>
      <c r="H387" s="29" t="s">
        <v>64</v>
      </c>
      <c r="I387" s="29" t="s">
        <v>190</v>
      </c>
      <c r="J387" s="29" t="s">
        <v>685</v>
      </c>
      <c r="K387" s="29" t="s">
        <v>298</v>
      </c>
      <c r="L387" s="29" t="s">
        <v>29</v>
      </c>
      <c r="M387" s="29" t="n">
        <v>1809</v>
      </c>
      <c r="N387" s="29" t="n">
        <v>1509</v>
      </c>
      <c r="O387" s="29"/>
      <c r="P387" s="30" t="n">
        <f aca="false">(M387*N387/1000000)*(INDEX(AreaRate_Vals,MATCH(C387,AreaRate_Keys,0))+IFERROR(INDEX(GlazingUpg_Vals,MATCH(H387,GlazingUpg_Keys,0)),0))+INDEX(Hardware_Vals,MATCH("Windows",Hardware_Keys,0))</f>
        <v>7483.91965</v>
      </c>
      <c r="Q387" s="31" t="n">
        <f aca="false">INDEX(Markup_Vals,MATCH("Windows",MarkupCat_Keys,0))</f>
        <v>0.42</v>
      </c>
      <c r="R387" s="32" t="n">
        <f aca="false">P387*(1+Q387)</f>
        <v>10627.165903</v>
      </c>
      <c r="S387" s="32" t="n">
        <f aca="false">R387*(1-TradeDiscount)</f>
        <v>9351.90599464</v>
      </c>
      <c r="T387" s="32" t="n">
        <f aca="false">R387*(1-VolumeDiscount)</f>
        <v>8501.7327224</v>
      </c>
    </row>
    <row r="388" customFormat="false" ht="15" hidden="false" customHeight="false" outlineLevel="0" collapsed="false">
      <c r="A388" s="25" t="s">
        <v>982</v>
      </c>
      <c r="B388" s="25" t="s">
        <v>96</v>
      </c>
      <c r="C388" s="25" t="s">
        <v>42</v>
      </c>
      <c r="D388" s="25" t="s">
        <v>983</v>
      </c>
      <c r="E388" s="25" t="s">
        <v>851</v>
      </c>
      <c r="F388" s="25" t="s">
        <v>810</v>
      </c>
      <c r="G388" s="25" t="s">
        <v>36</v>
      </c>
      <c r="H388" s="25" t="s">
        <v>64</v>
      </c>
      <c r="I388" s="25" t="s">
        <v>190</v>
      </c>
      <c r="J388" s="25" t="s">
        <v>685</v>
      </c>
      <c r="K388" s="25" t="s">
        <v>298</v>
      </c>
      <c r="L388" s="25" t="s">
        <v>29</v>
      </c>
      <c r="M388" s="25" t="n">
        <v>1809</v>
      </c>
      <c r="N388" s="25" t="n">
        <v>1509</v>
      </c>
      <c r="O388" s="25"/>
      <c r="P388" s="26" t="n">
        <f aca="false">(M388*N388/1000000)*(INDEX(AreaRate_Vals,MATCH(C388,AreaRate_Keys,0))+IFERROR(INDEX(GlazingUpg_Vals,MATCH(H388,GlazingUpg_Keys,0)),0))+INDEX(Hardware_Vals,MATCH("Windows",Hardware_Keys,0))</f>
        <v>7483.91965</v>
      </c>
      <c r="Q388" s="27" t="n">
        <f aca="false">INDEX(Markup_Vals,MATCH("Windows",MarkupCat_Keys,0))</f>
        <v>0.42</v>
      </c>
      <c r="R388" s="28" t="n">
        <f aca="false">P388*(1+Q388)</f>
        <v>10627.165903</v>
      </c>
      <c r="S388" s="28" t="n">
        <f aca="false">R388*(1-TradeDiscount)</f>
        <v>9351.90599464</v>
      </c>
      <c r="T388" s="28" t="n">
        <f aca="false">R388*(1-VolumeDiscount)</f>
        <v>8501.7327224</v>
      </c>
    </row>
    <row r="389" customFormat="false" ht="15" hidden="false" customHeight="false" outlineLevel="0" collapsed="false">
      <c r="A389" s="29" t="s">
        <v>984</v>
      </c>
      <c r="B389" s="29" t="s">
        <v>96</v>
      </c>
      <c r="C389" s="29" t="s">
        <v>42</v>
      </c>
      <c r="D389" s="29" t="s">
        <v>985</v>
      </c>
      <c r="E389" s="29" t="s">
        <v>851</v>
      </c>
      <c r="F389" s="29" t="s">
        <v>810</v>
      </c>
      <c r="G389" s="29" t="s">
        <v>37</v>
      </c>
      <c r="H389" s="29" t="s">
        <v>64</v>
      </c>
      <c r="I389" s="29" t="s">
        <v>190</v>
      </c>
      <c r="J389" s="29" t="s">
        <v>685</v>
      </c>
      <c r="K389" s="29" t="s">
        <v>298</v>
      </c>
      <c r="L389" s="29" t="s">
        <v>29</v>
      </c>
      <c r="M389" s="29" t="n">
        <v>1809</v>
      </c>
      <c r="N389" s="29" t="n">
        <v>1509</v>
      </c>
      <c r="O389" s="29"/>
      <c r="P389" s="30" t="n">
        <f aca="false">(M389*N389/1000000)*(INDEX(AreaRate_Vals,MATCH(C389,AreaRate_Keys,0))+IFERROR(INDEX(GlazingUpg_Vals,MATCH(H389,GlazingUpg_Keys,0)),0))+INDEX(Hardware_Vals,MATCH("Windows",Hardware_Keys,0))</f>
        <v>7483.91965</v>
      </c>
      <c r="Q389" s="31" t="n">
        <f aca="false">INDEX(Markup_Vals,MATCH("Windows",MarkupCat_Keys,0))</f>
        <v>0.42</v>
      </c>
      <c r="R389" s="32" t="n">
        <f aca="false">P389*(1+Q389)</f>
        <v>10627.165903</v>
      </c>
      <c r="S389" s="32" t="n">
        <f aca="false">R389*(1-TradeDiscount)</f>
        <v>9351.90599464</v>
      </c>
      <c r="T389" s="32" t="n">
        <f aca="false">R389*(1-VolumeDiscount)</f>
        <v>8501.7327224</v>
      </c>
    </row>
    <row r="390" customFormat="false" ht="15" hidden="false" customHeight="false" outlineLevel="0" collapsed="false">
      <c r="A390" s="25" t="s">
        <v>986</v>
      </c>
      <c r="B390" s="25" t="s">
        <v>96</v>
      </c>
      <c r="C390" s="25" t="s">
        <v>42</v>
      </c>
      <c r="D390" s="25" t="s">
        <v>987</v>
      </c>
      <c r="E390" s="25" t="s">
        <v>851</v>
      </c>
      <c r="F390" s="25" t="s">
        <v>810</v>
      </c>
      <c r="G390" s="25" t="s">
        <v>39</v>
      </c>
      <c r="H390" s="25" t="s">
        <v>64</v>
      </c>
      <c r="I390" s="25" t="s">
        <v>190</v>
      </c>
      <c r="J390" s="25" t="s">
        <v>685</v>
      </c>
      <c r="K390" s="25" t="s">
        <v>298</v>
      </c>
      <c r="L390" s="25" t="s">
        <v>29</v>
      </c>
      <c r="M390" s="25" t="n">
        <v>1809</v>
      </c>
      <c r="N390" s="25" t="n">
        <v>1509</v>
      </c>
      <c r="O390" s="25"/>
      <c r="P390" s="26" t="n">
        <f aca="false">(M390*N390/1000000)*(INDEX(AreaRate_Vals,MATCH(C390,AreaRate_Keys,0))+IFERROR(INDEX(GlazingUpg_Vals,MATCH(H390,GlazingUpg_Keys,0)),0))+INDEX(Hardware_Vals,MATCH("Windows",Hardware_Keys,0))</f>
        <v>7483.91965</v>
      </c>
      <c r="Q390" s="27" t="n">
        <f aca="false">INDEX(Markup_Vals,MATCH("Windows",MarkupCat_Keys,0))</f>
        <v>0.42</v>
      </c>
      <c r="R390" s="28" t="n">
        <f aca="false">P390*(1+Q390)</f>
        <v>10627.165903</v>
      </c>
      <c r="S390" s="28" t="n">
        <f aca="false">R390*(1-TradeDiscount)</f>
        <v>9351.90599464</v>
      </c>
      <c r="T390" s="28" t="n">
        <f aca="false">R390*(1-VolumeDiscount)</f>
        <v>8501.7327224</v>
      </c>
    </row>
    <row r="391" customFormat="false" ht="15" hidden="false" customHeight="false" outlineLevel="0" collapsed="false">
      <c r="A391" s="29" t="s">
        <v>988</v>
      </c>
      <c r="B391" s="29" t="s">
        <v>96</v>
      </c>
      <c r="C391" s="29" t="s">
        <v>42</v>
      </c>
      <c r="D391" s="29" t="s">
        <v>989</v>
      </c>
      <c r="E391" s="29" t="s">
        <v>851</v>
      </c>
      <c r="F391" s="29" t="s">
        <v>810</v>
      </c>
      <c r="G391" s="29" t="s">
        <v>38</v>
      </c>
      <c r="H391" s="29" t="s">
        <v>64</v>
      </c>
      <c r="I391" s="29" t="s">
        <v>190</v>
      </c>
      <c r="J391" s="29" t="s">
        <v>685</v>
      </c>
      <c r="K391" s="29" t="s">
        <v>298</v>
      </c>
      <c r="L391" s="29" t="s">
        <v>29</v>
      </c>
      <c r="M391" s="29" t="n">
        <v>1809</v>
      </c>
      <c r="N391" s="29" t="n">
        <v>1509</v>
      </c>
      <c r="O391" s="29"/>
      <c r="P391" s="30" t="n">
        <f aca="false">(M391*N391/1000000)*(INDEX(AreaRate_Vals,MATCH(C391,AreaRate_Keys,0))+IFERROR(INDEX(GlazingUpg_Vals,MATCH(H391,GlazingUpg_Keys,0)),0))+INDEX(Hardware_Vals,MATCH("Windows",Hardware_Keys,0))</f>
        <v>7483.91965</v>
      </c>
      <c r="Q391" s="31" t="n">
        <f aca="false">INDEX(Markup_Vals,MATCH("Windows",MarkupCat_Keys,0))</f>
        <v>0.42</v>
      </c>
      <c r="R391" s="32" t="n">
        <f aca="false">P391*(1+Q391)</f>
        <v>10627.165903</v>
      </c>
      <c r="S391" s="32" t="n">
        <f aca="false">R391*(1-TradeDiscount)</f>
        <v>9351.90599464</v>
      </c>
      <c r="T391" s="32" t="n">
        <f aca="false">R391*(1-VolumeDiscount)</f>
        <v>8501.7327224</v>
      </c>
    </row>
    <row r="392" customFormat="false" ht="15" hidden="false" customHeight="false" outlineLevel="0" collapsed="false">
      <c r="A392" s="25" t="s">
        <v>990</v>
      </c>
      <c r="B392" s="25" t="s">
        <v>96</v>
      </c>
      <c r="C392" s="25" t="s">
        <v>42</v>
      </c>
      <c r="D392" s="25" t="s">
        <v>991</v>
      </c>
      <c r="E392" s="25" t="s">
        <v>851</v>
      </c>
      <c r="F392" s="25" t="s">
        <v>319</v>
      </c>
      <c r="G392" s="25" t="s">
        <v>35</v>
      </c>
      <c r="H392" s="25" t="s">
        <v>63</v>
      </c>
      <c r="I392" s="25" t="s">
        <v>190</v>
      </c>
      <c r="J392" s="25" t="s">
        <v>685</v>
      </c>
      <c r="K392" s="25" t="s">
        <v>298</v>
      </c>
      <c r="L392" s="25" t="s">
        <v>29</v>
      </c>
      <c r="M392" s="25" t="n">
        <v>2409</v>
      </c>
      <c r="N392" s="25" t="n">
        <v>1509</v>
      </c>
      <c r="O392" s="25"/>
      <c r="P392" s="26" t="n">
        <f aca="false">(M392*N392/1000000)*(INDEX(AreaRate_Vals,MATCH(C392,AreaRate_Keys,0))+IFERROR(INDEX(GlazingUpg_Vals,MATCH(H392,GlazingUpg_Keys,0)),0))+INDEX(Hardware_Vals,MATCH("Windows",Hardware_Keys,0))</f>
        <v>7883.8801</v>
      </c>
      <c r="Q392" s="27" t="n">
        <f aca="false">INDEX(Markup_Vals,MATCH("Windows",MarkupCat_Keys,0))</f>
        <v>0.42</v>
      </c>
      <c r="R392" s="28" t="n">
        <f aca="false">P392*(1+Q392)</f>
        <v>11195.109742</v>
      </c>
      <c r="S392" s="28" t="n">
        <f aca="false">R392*(1-TradeDiscount)</f>
        <v>9851.69657296</v>
      </c>
      <c r="T392" s="28" t="n">
        <f aca="false">R392*(1-VolumeDiscount)</f>
        <v>8956.0877936</v>
      </c>
    </row>
    <row r="393" customFormat="false" ht="15" hidden="false" customHeight="false" outlineLevel="0" collapsed="false">
      <c r="A393" s="29" t="s">
        <v>992</v>
      </c>
      <c r="B393" s="29" t="s">
        <v>96</v>
      </c>
      <c r="C393" s="29" t="s">
        <v>42</v>
      </c>
      <c r="D393" s="29" t="s">
        <v>993</v>
      </c>
      <c r="E393" s="29" t="s">
        <v>851</v>
      </c>
      <c r="F393" s="29" t="s">
        <v>319</v>
      </c>
      <c r="G393" s="29" t="s">
        <v>36</v>
      </c>
      <c r="H393" s="29" t="s">
        <v>63</v>
      </c>
      <c r="I393" s="29" t="s">
        <v>190</v>
      </c>
      <c r="J393" s="29" t="s">
        <v>685</v>
      </c>
      <c r="K393" s="29" t="s">
        <v>298</v>
      </c>
      <c r="L393" s="29" t="s">
        <v>29</v>
      </c>
      <c r="M393" s="29" t="n">
        <v>2409</v>
      </c>
      <c r="N393" s="29" t="n">
        <v>1509</v>
      </c>
      <c r="O393" s="29"/>
      <c r="P393" s="30" t="n">
        <f aca="false">(M393*N393/1000000)*(INDEX(AreaRate_Vals,MATCH(C393,AreaRate_Keys,0))+IFERROR(INDEX(GlazingUpg_Vals,MATCH(H393,GlazingUpg_Keys,0)),0))+INDEX(Hardware_Vals,MATCH("Windows",Hardware_Keys,0))</f>
        <v>7883.8801</v>
      </c>
      <c r="Q393" s="31" t="n">
        <f aca="false">INDEX(Markup_Vals,MATCH("Windows",MarkupCat_Keys,0))</f>
        <v>0.42</v>
      </c>
      <c r="R393" s="32" t="n">
        <f aca="false">P393*(1+Q393)</f>
        <v>11195.109742</v>
      </c>
      <c r="S393" s="32" t="n">
        <f aca="false">R393*(1-TradeDiscount)</f>
        <v>9851.69657296</v>
      </c>
      <c r="T393" s="32" t="n">
        <f aca="false">R393*(1-VolumeDiscount)</f>
        <v>8956.0877936</v>
      </c>
    </row>
    <row r="394" customFormat="false" ht="15" hidden="false" customHeight="false" outlineLevel="0" collapsed="false">
      <c r="A394" s="25" t="s">
        <v>994</v>
      </c>
      <c r="B394" s="25" t="s">
        <v>96</v>
      </c>
      <c r="C394" s="25" t="s">
        <v>42</v>
      </c>
      <c r="D394" s="25" t="s">
        <v>995</v>
      </c>
      <c r="E394" s="25" t="s">
        <v>851</v>
      </c>
      <c r="F394" s="25" t="s">
        <v>319</v>
      </c>
      <c r="G394" s="25" t="s">
        <v>37</v>
      </c>
      <c r="H394" s="25" t="s">
        <v>63</v>
      </c>
      <c r="I394" s="25" t="s">
        <v>190</v>
      </c>
      <c r="J394" s="25" t="s">
        <v>685</v>
      </c>
      <c r="K394" s="25" t="s">
        <v>298</v>
      </c>
      <c r="L394" s="25" t="s">
        <v>29</v>
      </c>
      <c r="M394" s="25" t="n">
        <v>2409</v>
      </c>
      <c r="N394" s="25" t="n">
        <v>1509</v>
      </c>
      <c r="O394" s="25"/>
      <c r="P394" s="26" t="n">
        <f aca="false">(M394*N394/1000000)*(INDEX(AreaRate_Vals,MATCH(C394,AreaRate_Keys,0))+IFERROR(INDEX(GlazingUpg_Vals,MATCH(H394,GlazingUpg_Keys,0)),0))+INDEX(Hardware_Vals,MATCH("Windows",Hardware_Keys,0))</f>
        <v>7883.8801</v>
      </c>
      <c r="Q394" s="27" t="n">
        <f aca="false">INDEX(Markup_Vals,MATCH("Windows",MarkupCat_Keys,0))</f>
        <v>0.42</v>
      </c>
      <c r="R394" s="28" t="n">
        <f aca="false">P394*(1+Q394)</f>
        <v>11195.109742</v>
      </c>
      <c r="S394" s="28" t="n">
        <f aca="false">R394*(1-TradeDiscount)</f>
        <v>9851.69657296</v>
      </c>
      <c r="T394" s="28" t="n">
        <f aca="false">R394*(1-VolumeDiscount)</f>
        <v>8956.0877936</v>
      </c>
    </row>
    <row r="395" customFormat="false" ht="15" hidden="false" customHeight="false" outlineLevel="0" collapsed="false">
      <c r="A395" s="29" t="s">
        <v>996</v>
      </c>
      <c r="B395" s="29" t="s">
        <v>96</v>
      </c>
      <c r="C395" s="29" t="s">
        <v>42</v>
      </c>
      <c r="D395" s="29" t="s">
        <v>997</v>
      </c>
      <c r="E395" s="29" t="s">
        <v>851</v>
      </c>
      <c r="F395" s="29" t="s">
        <v>319</v>
      </c>
      <c r="G395" s="29" t="s">
        <v>39</v>
      </c>
      <c r="H395" s="29" t="s">
        <v>63</v>
      </c>
      <c r="I395" s="29" t="s">
        <v>190</v>
      </c>
      <c r="J395" s="29" t="s">
        <v>685</v>
      </c>
      <c r="K395" s="29" t="s">
        <v>298</v>
      </c>
      <c r="L395" s="29" t="s">
        <v>29</v>
      </c>
      <c r="M395" s="29" t="n">
        <v>2409</v>
      </c>
      <c r="N395" s="29" t="n">
        <v>1509</v>
      </c>
      <c r="O395" s="29"/>
      <c r="P395" s="30" t="n">
        <f aca="false">(M395*N395/1000000)*(INDEX(AreaRate_Vals,MATCH(C395,AreaRate_Keys,0))+IFERROR(INDEX(GlazingUpg_Vals,MATCH(H395,GlazingUpg_Keys,0)),0))+INDEX(Hardware_Vals,MATCH("Windows",Hardware_Keys,0))</f>
        <v>7883.8801</v>
      </c>
      <c r="Q395" s="31" t="n">
        <f aca="false">INDEX(Markup_Vals,MATCH("Windows",MarkupCat_Keys,0))</f>
        <v>0.42</v>
      </c>
      <c r="R395" s="32" t="n">
        <f aca="false">P395*(1+Q395)</f>
        <v>11195.109742</v>
      </c>
      <c r="S395" s="32" t="n">
        <f aca="false">R395*(1-TradeDiscount)</f>
        <v>9851.69657296</v>
      </c>
      <c r="T395" s="32" t="n">
        <f aca="false">R395*(1-VolumeDiscount)</f>
        <v>8956.0877936</v>
      </c>
    </row>
    <row r="396" customFormat="false" ht="15" hidden="false" customHeight="false" outlineLevel="0" collapsed="false">
      <c r="A396" s="25" t="s">
        <v>998</v>
      </c>
      <c r="B396" s="25" t="s">
        <v>96</v>
      </c>
      <c r="C396" s="25" t="s">
        <v>42</v>
      </c>
      <c r="D396" s="25" t="s">
        <v>999</v>
      </c>
      <c r="E396" s="25" t="s">
        <v>851</v>
      </c>
      <c r="F396" s="25" t="s">
        <v>319</v>
      </c>
      <c r="G396" s="25" t="s">
        <v>38</v>
      </c>
      <c r="H396" s="25" t="s">
        <v>63</v>
      </c>
      <c r="I396" s="25" t="s">
        <v>190</v>
      </c>
      <c r="J396" s="25" t="s">
        <v>685</v>
      </c>
      <c r="K396" s="25" t="s">
        <v>298</v>
      </c>
      <c r="L396" s="25" t="s">
        <v>29</v>
      </c>
      <c r="M396" s="25" t="n">
        <v>2409</v>
      </c>
      <c r="N396" s="25" t="n">
        <v>1509</v>
      </c>
      <c r="O396" s="25"/>
      <c r="P396" s="26" t="n">
        <f aca="false">(M396*N396/1000000)*(INDEX(AreaRate_Vals,MATCH(C396,AreaRate_Keys,0))+IFERROR(INDEX(GlazingUpg_Vals,MATCH(H396,GlazingUpg_Keys,0)),0))+INDEX(Hardware_Vals,MATCH("Windows",Hardware_Keys,0))</f>
        <v>7883.8801</v>
      </c>
      <c r="Q396" s="27" t="n">
        <f aca="false">INDEX(Markup_Vals,MATCH("Windows",MarkupCat_Keys,0))</f>
        <v>0.42</v>
      </c>
      <c r="R396" s="28" t="n">
        <f aca="false">P396*(1+Q396)</f>
        <v>11195.109742</v>
      </c>
      <c r="S396" s="28" t="n">
        <f aca="false">R396*(1-TradeDiscount)</f>
        <v>9851.69657296</v>
      </c>
      <c r="T396" s="28" t="n">
        <f aca="false">R396*(1-VolumeDiscount)</f>
        <v>8956.0877936</v>
      </c>
    </row>
    <row r="397" customFormat="false" ht="15" hidden="false" customHeight="false" outlineLevel="0" collapsed="false">
      <c r="A397" s="29" t="s">
        <v>1000</v>
      </c>
      <c r="B397" s="29" t="s">
        <v>96</v>
      </c>
      <c r="C397" s="29" t="s">
        <v>42</v>
      </c>
      <c r="D397" s="29" t="s">
        <v>1001</v>
      </c>
      <c r="E397" s="29" t="s">
        <v>851</v>
      </c>
      <c r="F397" s="29" t="s">
        <v>319</v>
      </c>
      <c r="G397" s="29" t="s">
        <v>35</v>
      </c>
      <c r="H397" s="29" t="s">
        <v>64</v>
      </c>
      <c r="I397" s="29" t="s">
        <v>190</v>
      </c>
      <c r="J397" s="29" t="s">
        <v>685</v>
      </c>
      <c r="K397" s="29" t="s">
        <v>298</v>
      </c>
      <c r="L397" s="29" t="s">
        <v>29</v>
      </c>
      <c r="M397" s="29" t="n">
        <v>2409</v>
      </c>
      <c r="N397" s="29" t="n">
        <v>1509</v>
      </c>
      <c r="O397" s="29"/>
      <c r="P397" s="30" t="n">
        <f aca="false">(M397*N397/1000000)*(INDEX(AreaRate_Vals,MATCH(C397,AreaRate_Keys,0))+IFERROR(INDEX(GlazingUpg_Vals,MATCH(H397,GlazingUpg_Keys,0)),0))+INDEX(Hardware_Vals,MATCH("Windows",Hardware_Keys,0))</f>
        <v>9883.22965</v>
      </c>
      <c r="Q397" s="31" t="n">
        <f aca="false">INDEX(Markup_Vals,MATCH("Windows",MarkupCat_Keys,0))</f>
        <v>0.42</v>
      </c>
      <c r="R397" s="32" t="n">
        <f aca="false">P397*(1+Q397)</f>
        <v>14034.186103</v>
      </c>
      <c r="S397" s="32" t="n">
        <f aca="false">R397*(1-TradeDiscount)</f>
        <v>12350.08377064</v>
      </c>
      <c r="T397" s="32" t="n">
        <f aca="false">R397*(1-VolumeDiscount)</f>
        <v>11227.3488824</v>
      </c>
    </row>
    <row r="398" customFormat="false" ht="15" hidden="false" customHeight="false" outlineLevel="0" collapsed="false">
      <c r="A398" s="25" t="s">
        <v>1002</v>
      </c>
      <c r="B398" s="25" t="s">
        <v>96</v>
      </c>
      <c r="C398" s="25" t="s">
        <v>42</v>
      </c>
      <c r="D398" s="25" t="s">
        <v>1003</v>
      </c>
      <c r="E398" s="25" t="s">
        <v>851</v>
      </c>
      <c r="F398" s="25" t="s">
        <v>319</v>
      </c>
      <c r="G398" s="25" t="s">
        <v>36</v>
      </c>
      <c r="H398" s="25" t="s">
        <v>64</v>
      </c>
      <c r="I398" s="25" t="s">
        <v>190</v>
      </c>
      <c r="J398" s="25" t="s">
        <v>685</v>
      </c>
      <c r="K398" s="25" t="s">
        <v>298</v>
      </c>
      <c r="L398" s="25" t="s">
        <v>29</v>
      </c>
      <c r="M398" s="25" t="n">
        <v>2409</v>
      </c>
      <c r="N398" s="25" t="n">
        <v>1509</v>
      </c>
      <c r="O398" s="25"/>
      <c r="P398" s="26" t="n">
        <f aca="false">(M398*N398/1000000)*(INDEX(AreaRate_Vals,MATCH(C398,AreaRate_Keys,0))+IFERROR(INDEX(GlazingUpg_Vals,MATCH(H398,GlazingUpg_Keys,0)),0))+INDEX(Hardware_Vals,MATCH("Windows",Hardware_Keys,0))</f>
        <v>9883.22965</v>
      </c>
      <c r="Q398" s="27" t="n">
        <f aca="false">INDEX(Markup_Vals,MATCH("Windows",MarkupCat_Keys,0))</f>
        <v>0.42</v>
      </c>
      <c r="R398" s="28" t="n">
        <f aca="false">P398*(1+Q398)</f>
        <v>14034.186103</v>
      </c>
      <c r="S398" s="28" t="n">
        <f aca="false">R398*(1-TradeDiscount)</f>
        <v>12350.08377064</v>
      </c>
      <c r="T398" s="28" t="n">
        <f aca="false">R398*(1-VolumeDiscount)</f>
        <v>11227.3488824</v>
      </c>
    </row>
    <row r="399" customFormat="false" ht="15" hidden="false" customHeight="false" outlineLevel="0" collapsed="false">
      <c r="A399" s="29" t="s">
        <v>1004</v>
      </c>
      <c r="B399" s="29" t="s">
        <v>96</v>
      </c>
      <c r="C399" s="29" t="s">
        <v>42</v>
      </c>
      <c r="D399" s="29" t="s">
        <v>1005</v>
      </c>
      <c r="E399" s="29" t="s">
        <v>851</v>
      </c>
      <c r="F399" s="29" t="s">
        <v>319</v>
      </c>
      <c r="G399" s="29" t="s">
        <v>37</v>
      </c>
      <c r="H399" s="29" t="s">
        <v>64</v>
      </c>
      <c r="I399" s="29" t="s">
        <v>190</v>
      </c>
      <c r="J399" s="29" t="s">
        <v>685</v>
      </c>
      <c r="K399" s="29" t="s">
        <v>298</v>
      </c>
      <c r="L399" s="29" t="s">
        <v>29</v>
      </c>
      <c r="M399" s="29" t="n">
        <v>2409</v>
      </c>
      <c r="N399" s="29" t="n">
        <v>1509</v>
      </c>
      <c r="O399" s="29"/>
      <c r="P399" s="30" t="n">
        <f aca="false">(M399*N399/1000000)*(INDEX(AreaRate_Vals,MATCH(C399,AreaRate_Keys,0))+IFERROR(INDEX(GlazingUpg_Vals,MATCH(H399,GlazingUpg_Keys,0)),0))+INDEX(Hardware_Vals,MATCH("Windows",Hardware_Keys,0))</f>
        <v>9883.22965</v>
      </c>
      <c r="Q399" s="31" t="n">
        <f aca="false">INDEX(Markup_Vals,MATCH("Windows",MarkupCat_Keys,0))</f>
        <v>0.42</v>
      </c>
      <c r="R399" s="32" t="n">
        <f aca="false">P399*(1+Q399)</f>
        <v>14034.186103</v>
      </c>
      <c r="S399" s="32" t="n">
        <f aca="false">R399*(1-TradeDiscount)</f>
        <v>12350.08377064</v>
      </c>
      <c r="T399" s="32" t="n">
        <f aca="false">R399*(1-VolumeDiscount)</f>
        <v>11227.3488824</v>
      </c>
    </row>
    <row r="400" customFormat="false" ht="15" hidden="false" customHeight="false" outlineLevel="0" collapsed="false">
      <c r="A400" s="25" t="s">
        <v>1006</v>
      </c>
      <c r="B400" s="25" t="s">
        <v>96</v>
      </c>
      <c r="C400" s="25" t="s">
        <v>42</v>
      </c>
      <c r="D400" s="25" t="s">
        <v>1007</v>
      </c>
      <c r="E400" s="25" t="s">
        <v>851</v>
      </c>
      <c r="F400" s="25" t="s">
        <v>319</v>
      </c>
      <c r="G400" s="25" t="s">
        <v>39</v>
      </c>
      <c r="H400" s="25" t="s">
        <v>64</v>
      </c>
      <c r="I400" s="25" t="s">
        <v>190</v>
      </c>
      <c r="J400" s="25" t="s">
        <v>685</v>
      </c>
      <c r="K400" s="25" t="s">
        <v>298</v>
      </c>
      <c r="L400" s="25" t="s">
        <v>29</v>
      </c>
      <c r="M400" s="25" t="n">
        <v>2409</v>
      </c>
      <c r="N400" s="25" t="n">
        <v>1509</v>
      </c>
      <c r="O400" s="25"/>
      <c r="P400" s="26" t="n">
        <f aca="false">(M400*N400/1000000)*(INDEX(AreaRate_Vals,MATCH(C400,AreaRate_Keys,0))+IFERROR(INDEX(GlazingUpg_Vals,MATCH(H400,GlazingUpg_Keys,0)),0))+INDEX(Hardware_Vals,MATCH("Windows",Hardware_Keys,0))</f>
        <v>9883.22965</v>
      </c>
      <c r="Q400" s="27" t="n">
        <f aca="false">INDEX(Markup_Vals,MATCH("Windows",MarkupCat_Keys,0))</f>
        <v>0.42</v>
      </c>
      <c r="R400" s="28" t="n">
        <f aca="false">P400*(1+Q400)</f>
        <v>14034.186103</v>
      </c>
      <c r="S400" s="28" t="n">
        <f aca="false">R400*(1-TradeDiscount)</f>
        <v>12350.08377064</v>
      </c>
      <c r="T400" s="28" t="n">
        <f aca="false">R400*(1-VolumeDiscount)</f>
        <v>11227.3488824</v>
      </c>
    </row>
    <row r="401" customFormat="false" ht="15" hidden="false" customHeight="false" outlineLevel="0" collapsed="false">
      <c r="A401" s="29" t="s">
        <v>1008</v>
      </c>
      <c r="B401" s="29" t="s">
        <v>96</v>
      </c>
      <c r="C401" s="29" t="s">
        <v>42</v>
      </c>
      <c r="D401" s="29" t="s">
        <v>1009</v>
      </c>
      <c r="E401" s="29" t="s">
        <v>851</v>
      </c>
      <c r="F401" s="29" t="s">
        <v>319</v>
      </c>
      <c r="G401" s="29" t="s">
        <v>38</v>
      </c>
      <c r="H401" s="29" t="s">
        <v>64</v>
      </c>
      <c r="I401" s="29" t="s">
        <v>190</v>
      </c>
      <c r="J401" s="29" t="s">
        <v>685</v>
      </c>
      <c r="K401" s="29" t="s">
        <v>298</v>
      </c>
      <c r="L401" s="29" t="s">
        <v>29</v>
      </c>
      <c r="M401" s="29" t="n">
        <v>2409</v>
      </c>
      <c r="N401" s="29" t="n">
        <v>1509</v>
      </c>
      <c r="O401" s="29"/>
      <c r="P401" s="30" t="n">
        <f aca="false">(M401*N401/1000000)*(INDEX(AreaRate_Vals,MATCH(C401,AreaRate_Keys,0))+IFERROR(INDEX(GlazingUpg_Vals,MATCH(H401,GlazingUpg_Keys,0)),0))+INDEX(Hardware_Vals,MATCH("Windows",Hardware_Keys,0))</f>
        <v>9883.22965</v>
      </c>
      <c r="Q401" s="31" t="n">
        <f aca="false">INDEX(Markup_Vals,MATCH("Windows",MarkupCat_Keys,0))</f>
        <v>0.42</v>
      </c>
      <c r="R401" s="32" t="n">
        <f aca="false">P401*(1+Q401)</f>
        <v>14034.186103</v>
      </c>
      <c r="S401" s="32" t="n">
        <f aca="false">R401*(1-TradeDiscount)</f>
        <v>12350.08377064</v>
      </c>
      <c r="T401" s="32" t="n">
        <f aca="false">R401*(1-VolumeDiscount)</f>
        <v>11227.3488824</v>
      </c>
    </row>
    <row r="402" customFormat="false" ht="15" hidden="false" customHeight="false" outlineLevel="0" collapsed="false">
      <c r="A402" s="25" t="s">
        <v>1010</v>
      </c>
      <c r="B402" s="25" t="s">
        <v>96</v>
      </c>
      <c r="C402" s="25" t="s">
        <v>42</v>
      </c>
      <c r="D402" s="25" t="s">
        <v>1011</v>
      </c>
      <c r="E402" s="25" t="s">
        <v>1012</v>
      </c>
      <c r="F402" s="25" t="s">
        <v>684</v>
      </c>
      <c r="G402" s="25" t="s">
        <v>35</v>
      </c>
      <c r="H402" s="25" t="s">
        <v>63</v>
      </c>
      <c r="I402" s="25" t="s">
        <v>190</v>
      </c>
      <c r="J402" s="25" t="s">
        <v>685</v>
      </c>
      <c r="K402" s="25" t="s">
        <v>192</v>
      </c>
      <c r="L402" s="25" t="s">
        <v>29</v>
      </c>
      <c r="M402" s="25" t="n">
        <v>609</v>
      </c>
      <c r="N402" s="25" t="n">
        <v>909</v>
      </c>
      <c r="O402" s="25"/>
      <c r="P402" s="26" t="n">
        <f aca="false">(M402*N402/1000000)*(INDEX(AreaRate_Vals,MATCH(C402,AreaRate_Keys,0))+IFERROR(INDEX(GlazingUpg_Vals,MATCH(H402,GlazingUpg_Keys,0)),0))+INDEX(Hardware_Vals,MATCH("Windows",Hardware_Keys,0))</f>
        <v>1412.5201</v>
      </c>
      <c r="Q402" s="27" t="n">
        <f aca="false">INDEX(Markup_Vals,MATCH("Windows",MarkupCat_Keys,0))</f>
        <v>0.42</v>
      </c>
      <c r="R402" s="28" t="n">
        <f aca="false">P402*(1+Q402)</f>
        <v>2005.778542</v>
      </c>
      <c r="S402" s="28" t="n">
        <f aca="false">R402*(1-TradeDiscount)</f>
        <v>1765.08511696</v>
      </c>
      <c r="T402" s="28" t="n">
        <f aca="false">R402*(1-VolumeDiscount)</f>
        <v>1604.6228336</v>
      </c>
    </row>
    <row r="403" customFormat="false" ht="15" hidden="false" customHeight="false" outlineLevel="0" collapsed="false">
      <c r="A403" s="29" t="s">
        <v>1013</v>
      </c>
      <c r="B403" s="29" t="s">
        <v>96</v>
      </c>
      <c r="C403" s="29" t="s">
        <v>42</v>
      </c>
      <c r="D403" s="29" t="s">
        <v>1014</v>
      </c>
      <c r="E403" s="29" t="s">
        <v>1012</v>
      </c>
      <c r="F403" s="29" t="s">
        <v>684</v>
      </c>
      <c r="G403" s="29" t="s">
        <v>36</v>
      </c>
      <c r="H403" s="29" t="s">
        <v>63</v>
      </c>
      <c r="I403" s="29" t="s">
        <v>190</v>
      </c>
      <c r="J403" s="29" t="s">
        <v>685</v>
      </c>
      <c r="K403" s="29" t="s">
        <v>192</v>
      </c>
      <c r="L403" s="29" t="s">
        <v>29</v>
      </c>
      <c r="M403" s="29" t="n">
        <v>609</v>
      </c>
      <c r="N403" s="29" t="n">
        <v>909</v>
      </c>
      <c r="O403" s="29"/>
      <c r="P403" s="30" t="n">
        <f aca="false">(M403*N403/1000000)*(INDEX(AreaRate_Vals,MATCH(C403,AreaRate_Keys,0))+IFERROR(INDEX(GlazingUpg_Vals,MATCH(H403,GlazingUpg_Keys,0)),0))+INDEX(Hardware_Vals,MATCH("Windows",Hardware_Keys,0))</f>
        <v>1412.5201</v>
      </c>
      <c r="Q403" s="31" t="n">
        <f aca="false">INDEX(Markup_Vals,MATCH("Windows",MarkupCat_Keys,0))</f>
        <v>0.42</v>
      </c>
      <c r="R403" s="32" t="n">
        <f aca="false">P403*(1+Q403)</f>
        <v>2005.778542</v>
      </c>
      <c r="S403" s="32" t="n">
        <f aca="false">R403*(1-TradeDiscount)</f>
        <v>1765.08511696</v>
      </c>
      <c r="T403" s="32" t="n">
        <f aca="false">R403*(1-VolumeDiscount)</f>
        <v>1604.6228336</v>
      </c>
    </row>
    <row r="404" customFormat="false" ht="15" hidden="false" customHeight="false" outlineLevel="0" collapsed="false">
      <c r="A404" s="25" t="s">
        <v>1015</v>
      </c>
      <c r="B404" s="25" t="s">
        <v>96</v>
      </c>
      <c r="C404" s="25" t="s">
        <v>42</v>
      </c>
      <c r="D404" s="25" t="s">
        <v>1016</v>
      </c>
      <c r="E404" s="25" t="s">
        <v>1012</v>
      </c>
      <c r="F404" s="25" t="s">
        <v>684</v>
      </c>
      <c r="G404" s="25" t="s">
        <v>37</v>
      </c>
      <c r="H404" s="25" t="s">
        <v>63</v>
      </c>
      <c r="I404" s="25" t="s">
        <v>190</v>
      </c>
      <c r="J404" s="25" t="s">
        <v>685</v>
      </c>
      <c r="K404" s="25" t="s">
        <v>192</v>
      </c>
      <c r="L404" s="25" t="s">
        <v>29</v>
      </c>
      <c r="M404" s="25" t="n">
        <v>609</v>
      </c>
      <c r="N404" s="25" t="n">
        <v>909</v>
      </c>
      <c r="O404" s="25"/>
      <c r="P404" s="26" t="n">
        <f aca="false">(M404*N404/1000000)*(INDEX(AreaRate_Vals,MATCH(C404,AreaRate_Keys,0))+IFERROR(INDEX(GlazingUpg_Vals,MATCH(H404,GlazingUpg_Keys,0)),0))+INDEX(Hardware_Vals,MATCH("Windows",Hardware_Keys,0))</f>
        <v>1412.5201</v>
      </c>
      <c r="Q404" s="27" t="n">
        <f aca="false">INDEX(Markup_Vals,MATCH("Windows",MarkupCat_Keys,0))</f>
        <v>0.42</v>
      </c>
      <c r="R404" s="28" t="n">
        <f aca="false">P404*(1+Q404)</f>
        <v>2005.778542</v>
      </c>
      <c r="S404" s="28" t="n">
        <f aca="false">R404*(1-TradeDiscount)</f>
        <v>1765.08511696</v>
      </c>
      <c r="T404" s="28" t="n">
        <f aca="false">R404*(1-VolumeDiscount)</f>
        <v>1604.6228336</v>
      </c>
    </row>
    <row r="405" customFormat="false" ht="15" hidden="false" customHeight="false" outlineLevel="0" collapsed="false">
      <c r="A405" s="29" t="s">
        <v>1017</v>
      </c>
      <c r="B405" s="29" t="s">
        <v>96</v>
      </c>
      <c r="C405" s="29" t="s">
        <v>42</v>
      </c>
      <c r="D405" s="29" t="s">
        <v>1018</v>
      </c>
      <c r="E405" s="29" t="s">
        <v>1012</v>
      </c>
      <c r="F405" s="29" t="s">
        <v>684</v>
      </c>
      <c r="G405" s="29" t="s">
        <v>39</v>
      </c>
      <c r="H405" s="29" t="s">
        <v>63</v>
      </c>
      <c r="I405" s="29" t="s">
        <v>190</v>
      </c>
      <c r="J405" s="29" t="s">
        <v>685</v>
      </c>
      <c r="K405" s="29" t="s">
        <v>192</v>
      </c>
      <c r="L405" s="29" t="s">
        <v>29</v>
      </c>
      <c r="M405" s="29" t="n">
        <v>609</v>
      </c>
      <c r="N405" s="29" t="n">
        <v>909</v>
      </c>
      <c r="O405" s="29"/>
      <c r="P405" s="30" t="n">
        <f aca="false">(M405*N405/1000000)*(INDEX(AreaRate_Vals,MATCH(C405,AreaRate_Keys,0))+IFERROR(INDEX(GlazingUpg_Vals,MATCH(H405,GlazingUpg_Keys,0)),0))+INDEX(Hardware_Vals,MATCH("Windows",Hardware_Keys,0))</f>
        <v>1412.5201</v>
      </c>
      <c r="Q405" s="31" t="n">
        <f aca="false">INDEX(Markup_Vals,MATCH("Windows",MarkupCat_Keys,0))</f>
        <v>0.42</v>
      </c>
      <c r="R405" s="32" t="n">
        <f aca="false">P405*(1+Q405)</f>
        <v>2005.778542</v>
      </c>
      <c r="S405" s="32" t="n">
        <f aca="false">R405*(1-TradeDiscount)</f>
        <v>1765.08511696</v>
      </c>
      <c r="T405" s="32" t="n">
        <f aca="false">R405*(1-VolumeDiscount)</f>
        <v>1604.6228336</v>
      </c>
    </row>
    <row r="406" customFormat="false" ht="15" hidden="false" customHeight="false" outlineLevel="0" collapsed="false">
      <c r="A406" s="25" t="s">
        <v>1019</v>
      </c>
      <c r="B406" s="25" t="s">
        <v>96</v>
      </c>
      <c r="C406" s="25" t="s">
        <v>42</v>
      </c>
      <c r="D406" s="25" t="s">
        <v>1020</v>
      </c>
      <c r="E406" s="25" t="s">
        <v>1012</v>
      </c>
      <c r="F406" s="25" t="s">
        <v>684</v>
      </c>
      <c r="G406" s="25" t="s">
        <v>38</v>
      </c>
      <c r="H406" s="25" t="s">
        <v>63</v>
      </c>
      <c r="I406" s="25" t="s">
        <v>190</v>
      </c>
      <c r="J406" s="25" t="s">
        <v>685</v>
      </c>
      <c r="K406" s="25" t="s">
        <v>192</v>
      </c>
      <c r="L406" s="25" t="s">
        <v>29</v>
      </c>
      <c r="M406" s="25" t="n">
        <v>609</v>
      </c>
      <c r="N406" s="25" t="n">
        <v>909</v>
      </c>
      <c r="O406" s="25"/>
      <c r="P406" s="26" t="n">
        <f aca="false">(M406*N406/1000000)*(INDEX(AreaRate_Vals,MATCH(C406,AreaRate_Keys,0))+IFERROR(INDEX(GlazingUpg_Vals,MATCH(H406,GlazingUpg_Keys,0)),0))+INDEX(Hardware_Vals,MATCH("Windows",Hardware_Keys,0))</f>
        <v>1412.5201</v>
      </c>
      <c r="Q406" s="27" t="n">
        <f aca="false">INDEX(Markup_Vals,MATCH("Windows",MarkupCat_Keys,0))</f>
        <v>0.42</v>
      </c>
      <c r="R406" s="28" t="n">
        <f aca="false">P406*(1+Q406)</f>
        <v>2005.778542</v>
      </c>
      <c r="S406" s="28" t="n">
        <f aca="false">R406*(1-TradeDiscount)</f>
        <v>1765.08511696</v>
      </c>
      <c r="T406" s="28" t="n">
        <f aca="false">R406*(1-VolumeDiscount)</f>
        <v>1604.6228336</v>
      </c>
    </row>
    <row r="407" customFormat="false" ht="15" hidden="false" customHeight="false" outlineLevel="0" collapsed="false">
      <c r="A407" s="29" t="s">
        <v>1021</v>
      </c>
      <c r="B407" s="29" t="s">
        <v>96</v>
      </c>
      <c r="C407" s="29" t="s">
        <v>42</v>
      </c>
      <c r="D407" s="29" t="s">
        <v>1022</v>
      </c>
      <c r="E407" s="29" t="s">
        <v>1012</v>
      </c>
      <c r="F407" s="29" t="s">
        <v>684</v>
      </c>
      <c r="G407" s="29" t="s">
        <v>35</v>
      </c>
      <c r="H407" s="29" t="s">
        <v>64</v>
      </c>
      <c r="I407" s="29" t="s">
        <v>190</v>
      </c>
      <c r="J407" s="29" t="s">
        <v>685</v>
      </c>
      <c r="K407" s="29" t="s">
        <v>192</v>
      </c>
      <c r="L407" s="29" t="s">
        <v>29</v>
      </c>
      <c r="M407" s="29" t="n">
        <v>609</v>
      </c>
      <c r="N407" s="29" t="n">
        <v>909</v>
      </c>
      <c r="O407" s="29"/>
      <c r="P407" s="30" t="n">
        <f aca="false">(M407*N407/1000000)*(INDEX(AreaRate_Vals,MATCH(C407,AreaRate_Keys,0))+IFERROR(INDEX(GlazingUpg_Vals,MATCH(H407,GlazingUpg_Keys,0)),0))+INDEX(Hardware_Vals,MATCH("Windows",Hardware_Keys,0))</f>
        <v>1716.98965</v>
      </c>
      <c r="Q407" s="31" t="n">
        <f aca="false">INDEX(Markup_Vals,MATCH("Windows",MarkupCat_Keys,0))</f>
        <v>0.42</v>
      </c>
      <c r="R407" s="32" t="n">
        <f aca="false">P407*(1+Q407)</f>
        <v>2438.125303</v>
      </c>
      <c r="S407" s="32" t="n">
        <f aca="false">R407*(1-TradeDiscount)</f>
        <v>2145.55026664</v>
      </c>
      <c r="T407" s="32" t="n">
        <f aca="false">R407*(1-VolumeDiscount)</f>
        <v>1950.5002424</v>
      </c>
    </row>
    <row r="408" customFormat="false" ht="15" hidden="false" customHeight="false" outlineLevel="0" collapsed="false">
      <c r="A408" s="25" t="s">
        <v>1023</v>
      </c>
      <c r="B408" s="25" t="s">
        <v>96</v>
      </c>
      <c r="C408" s="25" t="s">
        <v>42</v>
      </c>
      <c r="D408" s="25" t="s">
        <v>1024</v>
      </c>
      <c r="E408" s="25" t="s">
        <v>1012</v>
      </c>
      <c r="F408" s="25" t="s">
        <v>684</v>
      </c>
      <c r="G408" s="25" t="s">
        <v>36</v>
      </c>
      <c r="H408" s="25" t="s">
        <v>64</v>
      </c>
      <c r="I408" s="25" t="s">
        <v>190</v>
      </c>
      <c r="J408" s="25" t="s">
        <v>685</v>
      </c>
      <c r="K408" s="25" t="s">
        <v>192</v>
      </c>
      <c r="L408" s="25" t="s">
        <v>29</v>
      </c>
      <c r="M408" s="25" t="n">
        <v>609</v>
      </c>
      <c r="N408" s="25" t="n">
        <v>909</v>
      </c>
      <c r="O408" s="25"/>
      <c r="P408" s="26" t="n">
        <f aca="false">(M408*N408/1000000)*(INDEX(AreaRate_Vals,MATCH(C408,AreaRate_Keys,0))+IFERROR(INDEX(GlazingUpg_Vals,MATCH(H408,GlazingUpg_Keys,0)),0))+INDEX(Hardware_Vals,MATCH("Windows",Hardware_Keys,0))</f>
        <v>1716.98965</v>
      </c>
      <c r="Q408" s="27" t="n">
        <f aca="false">INDEX(Markup_Vals,MATCH("Windows",MarkupCat_Keys,0))</f>
        <v>0.42</v>
      </c>
      <c r="R408" s="28" t="n">
        <f aca="false">P408*(1+Q408)</f>
        <v>2438.125303</v>
      </c>
      <c r="S408" s="28" t="n">
        <f aca="false">R408*(1-TradeDiscount)</f>
        <v>2145.55026664</v>
      </c>
      <c r="T408" s="28" t="n">
        <f aca="false">R408*(1-VolumeDiscount)</f>
        <v>1950.5002424</v>
      </c>
    </row>
    <row r="409" customFormat="false" ht="15" hidden="false" customHeight="false" outlineLevel="0" collapsed="false">
      <c r="A409" s="29" t="s">
        <v>1025</v>
      </c>
      <c r="B409" s="29" t="s">
        <v>96</v>
      </c>
      <c r="C409" s="29" t="s">
        <v>42</v>
      </c>
      <c r="D409" s="29" t="s">
        <v>1026</v>
      </c>
      <c r="E409" s="29" t="s">
        <v>1012</v>
      </c>
      <c r="F409" s="29" t="s">
        <v>684</v>
      </c>
      <c r="G409" s="29" t="s">
        <v>37</v>
      </c>
      <c r="H409" s="29" t="s">
        <v>64</v>
      </c>
      <c r="I409" s="29" t="s">
        <v>190</v>
      </c>
      <c r="J409" s="29" t="s">
        <v>685</v>
      </c>
      <c r="K409" s="29" t="s">
        <v>192</v>
      </c>
      <c r="L409" s="29" t="s">
        <v>29</v>
      </c>
      <c r="M409" s="29" t="n">
        <v>609</v>
      </c>
      <c r="N409" s="29" t="n">
        <v>909</v>
      </c>
      <c r="O409" s="29"/>
      <c r="P409" s="30" t="n">
        <f aca="false">(M409*N409/1000000)*(INDEX(AreaRate_Vals,MATCH(C409,AreaRate_Keys,0))+IFERROR(INDEX(GlazingUpg_Vals,MATCH(H409,GlazingUpg_Keys,0)),0))+INDEX(Hardware_Vals,MATCH("Windows",Hardware_Keys,0))</f>
        <v>1716.98965</v>
      </c>
      <c r="Q409" s="31" t="n">
        <f aca="false">INDEX(Markup_Vals,MATCH("Windows",MarkupCat_Keys,0))</f>
        <v>0.42</v>
      </c>
      <c r="R409" s="32" t="n">
        <f aca="false">P409*(1+Q409)</f>
        <v>2438.125303</v>
      </c>
      <c r="S409" s="32" t="n">
        <f aca="false">R409*(1-TradeDiscount)</f>
        <v>2145.55026664</v>
      </c>
      <c r="T409" s="32" t="n">
        <f aca="false">R409*(1-VolumeDiscount)</f>
        <v>1950.5002424</v>
      </c>
    </row>
    <row r="410" customFormat="false" ht="15" hidden="false" customHeight="false" outlineLevel="0" collapsed="false">
      <c r="A410" s="25" t="s">
        <v>1027</v>
      </c>
      <c r="B410" s="25" t="s">
        <v>96</v>
      </c>
      <c r="C410" s="25" t="s">
        <v>42</v>
      </c>
      <c r="D410" s="25" t="s">
        <v>1028</v>
      </c>
      <c r="E410" s="25" t="s">
        <v>1012</v>
      </c>
      <c r="F410" s="25" t="s">
        <v>684</v>
      </c>
      <c r="G410" s="25" t="s">
        <v>39</v>
      </c>
      <c r="H410" s="25" t="s">
        <v>64</v>
      </c>
      <c r="I410" s="25" t="s">
        <v>190</v>
      </c>
      <c r="J410" s="25" t="s">
        <v>685</v>
      </c>
      <c r="K410" s="25" t="s">
        <v>192</v>
      </c>
      <c r="L410" s="25" t="s">
        <v>29</v>
      </c>
      <c r="M410" s="25" t="n">
        <v>609</v>
      </c>
      <c r="N410" s="25" t="n">
        <v>909</v>
      </c>
      <c r="O410" s="25"/>
      <c r="P410" s="26" t="n">
        <f aca="false">(M410*N410/1000000)*(INDEX(AreaRate_Vals,MATCH(C410,AreaRate_Keys,0))+IFERROR(INDEX(GlazingUpg_Vals,MATCH(H410,GlazingUpg_Keys,0)),0))+INDEX(Hardware_Vals,MATCH("Windows",Hardware_Keys,0))</f>
        <v>1716.98965</v>
      </c>
      <c r="Q410" s="27" t="n">
        <f aca="false">INDEX(Markup_Vals,MATCH("Windows",MarkupCat_Keys,0))</f>
        <v>0.42</v>
      </c>
      <c r="R410" s="28" t="n">
        <f aca="false">P410*(1+Q410)</f>
        <v>2438.125303</v>
      </c>
      <c r="S410" s="28" t="n">
        <f aca="false">R410*(1-TradeDiscount)</f>
        <v>2145.55026664</v>
      </c>
      <c r="T410" s="28" t="n">
        <f aca="false">R410*(1-VolumeDiscount)</f>
        <v>1950.5002424</v>
      </c>
    </row>
    <row r="411" customFormat="false" ht="15" hidden="false" customHeight="false" outlineLevel="0" collapsed="false">
      <c r="A411" s="29" t="s">
        <v>1029</v>
      </c>
      <c r="B411" s="29" t="s">
        <v>96</v>
      </c>
      <c r="C411" s="29" t="s">
        <v>42</v>
      </c>
      <c r="D411" s="29" t="s">
        <v>1030</v>
      </c>
      <c r="E411" s="29" t="s">
        <v>1012</v>
      </c>
      <c r="F411" s="29" t="s">
        <v>684</v>
      </c>
      <c r="G411" s="29" t="s">
        <v>38</v>
      </c>
      <c r="H411" s="29" t="s">
        <v>64</v>
      </c>
      <c r="I411" s="29" t="s">
        <v>190</v>
      </c>
      <c r="J411" s="29" t="s">
        <v>685</v>
      </c>
      <c r="K411" s="29" t="s">
        <v>192</v>
      </c>
      <c r="L411" s="29" t="s">
        <v>29</v>
      </c>
      <c r="M411" s="29" t="n">
        <v>609</v>
      </c>
      <c r="N411" s="29" t="n">
        <v>909</v>
      </c>
      <c r="O411" s="29"/>
      <c r="P411" s="30" t="n">
        <f aca="false">(M411*N411/1000000)*(INDEX(AreaRate_Vals,MATCH(C411,AreaRate_Keys,0))+IFERROR(INDEX(GlazingUpg_Vals,MATCH(H411,GlazingUpg_Keys,0)),0))+INDEX(Hardware_Vals,MATCH("Windows",Hardware_Keys,0))</f>
        <v>1716.98965</v>
      </c>
      <c r="Q411" s="31" t="n">
        <f aca="false">INDEX(Markup_Vals,MATCH("Windows",MarkupCat_Keys,0))</f>
        <v>0.42</v>
      </c>
      <c r="R411" s="32" t="n">
        <f aca="false">P411*(1+Q411)</f>
        <v>2438.125303</v>
      </c>
      <c r="S411" s="32" t="n">
        <f aca="false">R411*(1-TradeDiscount)</f>
        <v>2145.55026664</v>
      </c>
      <c r="T411" s="32" t="n">
        <f aca="false">R411*(1-VolumeDiscount)</f>
        <v>1950.5002424</v>
      </c>
    </row>
    <row r="412" customFormat="false" ht="15" hidden="false" customHeight="false" outlineLevel="0" collapsed="false">
      <c r="A412" s="25" t="s">
        <v>1031</v>
      </c>
      <c r="B412" s="25" t="s">
        <v>96</v>
      </c>
      <c r="C412" s="25" t="s">
        <v>42</v>
      </c>
      <c r="D412" s="25" t="s">
        <v>1032</v>
      </c>
      <c r="E412" s="25" t="s">
        <v>1012</v>
      </c>
      <c r="F412" s="25" t="s">
        <v>706</v>
      </c>
      <c r="G412" s="25" t="s">
        <v>35</v>
      </c>
      <c r="H412" s="25" t="s">
        <v>63</v>
      </c>
      <c r="I412" s="25" t="s">
        <v>190</v>
      </c>
      <c r="J412" s="25" t="s">
        <v>685</v>
      </c>
      <c r="K412" s="25" t="s">
        <v>192</v>
      </c>
      <c r="L412" s="25" t="s">
        <v>29</v>
      </c>
      <c r="M412" s="25" t="n">
        <v>609</v>
      </c>
      <c r="N412" s="25" t="n">
        <v>1209</v>
      </c>
      <c r="O412" s="25"/>
      <c r="P412" s="26" t="n">
        <f aca="false">(M412*N412/1000000)*(INDEX(AreaRate_Vals,MATCH(C412,AreaRate_Keys,0))+IFERROR(INDEX(GlazingUpg_Vals,MATCH(H412,GlazingUpg_Keys,0)),0))+INDEX(Hardware_Vals,MATCH("Windows",Hardware_Keys,0))</f>
        <v>1796.1901</v>
      </c>
      <c r="Q412" s="27" t="n">
        <f aca="false">INDEX(Markup_Vals,MATCH("Windows",MarkupCat_Keys,0))</f>
        <v>0.42</v>
      </c>
      <c r="R412" s="28" t="n">
        <f aca="false">P412*(1+Q412)</f>
        <v>2550.589942</v>
      </c>
      <c r="S412" s="28" t="n">
        <f aca="false">R412*(1-TradeDiscount)</f>
        <v>2244.51914896</v>
      </c>
      <c r="T412" s="28" t="n">
        <f aca="false">R412*(1-VolumeDiscount)</f>
        <v>2040.4719536</v>
      </c>
    </row>
    <row r="413" customFormat="false" ht="15" hidden="false" customHeight="false" outlineLevel="0" collapsed="false">
      <c r="A413" s="29" t="s">
        <v>1033</v>
      </c>
      <c r="B413" s="29" t="s">
        <v>96</v>
      </c>
      <c r="C413" s="29" t="s">
        <v>42</v>
      </c>
      <c r="D413" s="29" t="s">
        <v>1034</v>
      </c>
      <c r="E413" s="29" t="s">
        <v>1012</v>
      </c>
      <c r="F413" s="29" t="s">
        <v>706</v>
      </c>
      <c r="G413" s="29" t="s">
        <v>36</v>
      </c>
      <c r="H413" s="29" t="s">
        <v>63</v>
      </c>
      <c r="I413" s="29" t="s">
        <v>190</v>
      </c>
      <c r="J413" s="29" t="s">
        <v>685</v>
      </c>
      <c r="K413" s="29" t="s">
        <v>192</v>
      </c>
      <c r="L413" s="29" t="s">
        <v>29</v>
      </c>
      <c r="M413" s="29" t="n">
        <v>609</v>
      </c>
      <c r="N413" s="29" t="n">
        <v>1209</v>
      </c>
      <c r="O413" s="29"/>
      <c r="P413" s="30" t="n">
        <f aca="false">(M413*N413/1000000)*(INDEX(AreaRate_Vals,MATCH(C413,AreaRate_Keys,0))+IFERROR(INDEX(GlazingUpg_Vals,MATCH(H413,GlazingUpg_Keys,0)),0))+INDEX(Hardware_Vals,MATCH("Windows",Hardware_Keys,0))</f>
        <v>1796.1901</v>
      </c>
      <c r="Q413" s="31" t="n">
        <f aca="false">INDEX(Markup_Vals,MATCH("Windows",MarkupCat_Keys,0))</f>
        <v>0.42</v>
      </c>
      <c r="R413" s="32" t="n">
        <f aca="false">P413*(1+Q413)</f>
        <v>2550.589942</v>
      </c>
      <c r="S413" s="32" t="n">
        <f aca="false">R413*(1-TradeDiscount)</f>
        <v>2244.51914896</v>
      </c>
      <c r="T413" s="32" t="n">
        <f aca="false">R413*(1-VolumeDiscount)</f>
        <v>2040.4719536</v>
      </c>
    </row>
    <row r="414" customFormat="false" ht="15" hidden="false" customHeight="false" outlineLevel="0" collapsed="false">
      <c r="A414" s="25" t="s">
        <v>1035</v>
      </c>
      <c r="B414" s="25" t="s">
        <v>96</v>
      </c>
      <c r="C414" s="25" t="s">
        <v>42</v>
      </c>
      <c r="D414" s="25" t="s">
        <v>1036</v>
      </c>
      <c r="E414" s="25" t="s">
        <v>1012</v>
      </c>
      <c r="F414" s="25" t="s">
        <v>706</v>
      </c>
      <c r="G414" s="25" t="s">
        <v>37</v>
      </c>
      <c r="H414" s="25" t="s">
        <v>63</v>
      </c>
      <c r="I414" s="25" t="s">
        <v>190</v>
      </c>
      <c r="J414" s="25" t="s">
        <v>685</v>
      </c>
      <c r="K414" s="25" t="s">
        <v>192</v>
      </c>
      <c r="L414" s="25" t="s">
        <v>29</v>
      </c>
      <c r="M414" s="25" t="n">
        <v>609</v>
      </c>
      <c r="N414" s="25" t="n">
        <v>1209</v>
      </c>
      <c r="O414" s="25"/>
      <c r="P414" s="26" t="n">
        <f aca="false">(M414*N414/1000000)*(INDEX(AreaRate_Vals,MATCH(C414,AreaRate_Keys,0))+IFERROR(INDEX(GlazingUpg_Vals,MATCH(H414,GlazingUpg_Keys,0)),0))+INDEX(Hardware_Vals,MATCH("Windows",Hardware_Keys,0))</f>
        <v>1796.1901</v>
      </c>
      <c r="Q414" s="27" t="n">
        <f aca="false">INDEX(Markup_Vals,MATCH("Windows",MarkupCat_Keys,0))</f>
        <v>0.42</v>
      </c>
      <c r="R414" s="28" t="n">
        <f aca="false">P414*(1+Q414)</f>
        <v>2550.589942</v>
      </c>
      <c r="S414" s="28" t="n">
        <f aca="false">R414*(1-TradeDiscount)</f>
        <v>2244.51914896</v>
      </c>
      <c r="T414" s="28" t="n">
        <f aca="false">R414*(1-VolumeDiscount)</f>
        <v>2040.4719536</v>
      </c>
    </row>
    <row r="415" customFormat="false" ht="15" hidden="false" customHeight="false" outlineLevel="0" collapsed="false">
      <c r="A415" s="29" t="s">
        <v>1037</v>
      </c>
      <c r="B415" s="29" t="s">
        <v>96</v>
      </c>
      <c r="C415" s="29" t="s">
        <v>42</v>
      </c>
      <c r="D415" s="29" t="s">
        <v>1038</v>
      </c>
      <c r="E415" s="29" t="s">
        <v>1012</v>
      </c>
      <c r="F415" s="29" t="s">
        <v>706</v>
      </c>
      <c r="G415" s="29" t="s">
        <v>39</v>
      </c>
      <c r="H415" s="29" t="s">
        <v>63</v>
      </c>
      <c r="I415" s="29" t="s">
        <v>190</v>
      </c>
      <c r="J415" s="29" t="s">
        <v>685</v>
      </c>
      <c r="K415" s="29" t="s">
        <v>192</v>
      </c>
      <c r="L415" s="29" t="s">
        <v>29</v>
      </c>
      <c r="M415" s="29" t="n">
        <v>609</v>
      </c>
      <c r="N415" s="29" t="n">
        <v>1209</v>
      </c>
      <c r="O415" s="29"/>
      <c r="P415" s="30" t="n">
        <f aca="false">(M415*N415/1000000)*(INDEX(AreaRate_Vals,MATCH(C415,AreaRate_Keys,0))+IFERROR(INDEX(GlazingUpg_Vals,MATCH(H415,GlazingUpg_Keys,0)),0))+INDEX(Hardware_Vals,MATCH("Windows",Hardware_Keys,0))</f>
        <v>1796.1901</v>
      </c>
      <c r="Q415" s="31" t="n">
        <f aca="false">INDEX(Markup_Vals,MATCH("Windows",MarkupCat_Keys,0))</f>
        <v>0.42</v>
      </c>
      <c r="R415" s="32" t="n">
        <f aca="false">P415*(1+Q415)</f>
        <v>2550.589942</v>
      </c>
      <c r="S415" s="32" t="n">
        <f aca="false">R415*(1-TradeDiscount)</f>
        <v>2244.51914896</v>
      </c>
      <c r="T415" s="32" t="n">
        <f aca="false">R415*(1-VolumeDiscount)</f>
        <v>2040.4719536</v>
      </c>
    </row>
    <row r="416" customFormat="false" ht="15" hidden="false" customHeight="false" outlineLevel="0" collapsed="false">
      <c r="A416" s="25" t="s">
        <v>1039</v>
      </c>
      <c r="B416" s="25" t="s">
        <v>96</v>
      </c>
      <c r="C416" s="25" t="s">
        <v>42</v>
      </c>
      <c r="D416" s="25" t="s">
        <v>1040</v>
      </c>
      <c r="E416" s="25" t="s">
        <v>1012</v>
      </c>
      <c r="F416" s="25" t="s">
        <v>706</v>
      </c>
      <c r="G416" s="25" t="s">
        <v>38</v>
      </c>
      <c r="H416" s="25" t="s">
        <v>63</v>
      </c>
      <c r="I416" s="25" t="s">
        <v>190</v>
      </c>
      <c r="J416" s="25" t="s">
        <v>685</v>
      </c>
      <c r="K416" s="25" t="s">
        <v>192</v>
      </c>
      <c r="L416" s="25" t="s">
        <v>29</v>
      </c>
      <c r="M416" s="25" t="n">
        <v>609</v>
      </c>
      <c r="N416" s="25" t="n">
        <v>1209</v>
      </c>
      <c r="O416" s="25"/>
      <c r="P416" s="26" t="n">
        <f aca="false">(M416*N416/1000000)*(INDEX(AreaRate_Vals,MATCH(C416,AreaRate_Keys,0))+IFERROR(INDEX(GlazingUpg_Vals,MATCH(H416,GlazingUpg_Keys,0)),0))+INDEX(Hardware_Vals,MATCH("Windows",Hardware_Keys,0))</f>
        <v>1796.1901</v>
      </c>
      <c r="Q416" s="27" t="n">
        <f aca="false">INDEX(Markup_Vals,MATCH("Windows",MarkupCat_Keys,0))</f>
        <v>0.42</v>
      </c>
      <c r="R416" s="28" t="n">
        <f aca="false">P416*(1+Q416)</f>
        <v>2550.589942</v>
      </c>
      <c r="S416" s="28" t="n">
        <f aca="false">R416*(1-TradeDiscount)</f>
        <v>2244.51914896</v>
      </c>
      <c r="T416" s="28" t="n">
        <f aca="false">R416*(1-VolumeDiscount)</f>
        <v>2040.4719536</v>
      </c>
    </row>
    <row r="417" customFormat="false" ht="15" hidden="false" customHeight="false" outlineLevel="0" collapsed="false">
      <c r="A417" s="29" t="s">
        <v>1041</v>
      </c>
      <c r="B417" s="29" t="s">
        <v>96</v>
      </c>
      <c r="C417" s="29" t="s">
        <v>42</v>
      </c>
      <c r="D417" s="29" t="s">
        <v>1042</v>
      </c>
      <c r="E417" s="29" t="s">
        <v>1012</v>
      </c>
      <c r="F417" s="29" t="s">
        <v>706</v>
      </c>
      <c r="G417" s="29" t="s">
        <v>35</v>
      </c>
      <c r="H417" s="29" t="s">
        <v>64</v>
      </c>
      <c r="I417" s="29" t="s">
        <v>190</v>
      </c>
      <c r="J417" s="29" t="s">
        <v>685</v>
      </c>
      <c r="K417" s="29" t="s">
        <v>192</v>
      </c>
      <c r="L417" s="29" t="s">
        <v>29</v>
      </c>
      <c r="M417" s="29" t="n">
        <v>609</v>
      </c>
      <c r="N417" s="29" t="n">
        <v>1209</v>
      </c>
      <c r="O417" s="29"/>
      <c r="P417" s="30" t="n">
        <f aca="false">(M417*N417/1000000)*(INDEX(AreaRate_Vals,MATCH(C417,AreaRate_Keys,0))+IFERROR(INDEX(GlazingUpg_Vals,MATCH(H417,GlazingUpg_Keys,0)),0))+INDEX(Hardware_Vals,MATCH("Windows",Hardware_Keys,0))</f>
        <v>2201.14465</v>
      </c>
      <c r="Q417" s="31" t="n">
        <f aca="false">INDEX(Markup_Vals,MATCH("Windows",MarkupCat_Keys,0))</f>
        <v>0.42</v>
      </c>
      <c r="R417" s="32" t="n">
        <f aca="false">P417*(1+Q417)</f>
        <v>3125.625403</v>
      </c>
      <c r="S417" s="32" t="n">
        <f aca="false">R417*(1-TradeDiscount)</f>
        <v>2750.55035464</v>
      </c>
      <c r="T417" s="32" t="n">
        <f aca="false">R417*(1-VolumeDiscount)</f>
        <v>2500.5003224</v>
      </c>
    </row>
    <row r="418" customFormat="false" ht="15" hidden="false" customHeight="false" outlineLevel="0" collapsed="false">
      <c r="A418" s="25" t="s">
        <v>1043</v>
      </c>
      <c r="B418" s="25" t="s">
        <v>96</v>
      </c>
      <c r="C418" s="25" t="s">
        <v>42</v>
      </c>
      <c r="D418" s="25" t="s">
        <v>1044</v>
      </c>
      <c r="E418" s="25" t="s">
        <v>1012</v>
      </c>
      <c r="F418" s="25" t="s">
        <v>706</v>
      </c>
      <c r="G418" s="25" t="s">
        <v>36</v>
      </c>
      <c r="H418" s="25" t="s">
        <v>64</v>
      </c>
      <c r="I418" s="25" t="s">
        <v>190</v>
      </c>
      <c r="J418" s="25" t="s">
        <v>685</v>
      </c>
      <c r="K418" s="25" t="s">
        <v>192</v>
      </c>
      <c r="L418" s="25" t="s">
        <v>29</v>
      </c>
      <c r="M418" s="25" t="n">
        <v>609</v>
      </c>
      <c r="N418" s="25" t="n">
        <v>1209</v>
      </c>
      <c r="O418" s="25"/>
      <c r="P418" s="26" t="n">
        <f aca="false">(M418*N418/1000000)*(INDEX(AreaRate_Vals,MATCH(C418,AreaRate_Keys,0))+IFERROR(INDEX(GlazingUpg_Vals,MATCH(H418,GlazingUpg_Keys,0)),0))+INDEX(Hardware_Vals,MATCH("Windows",Hardware_Keys,0))</f>
        <v>2201.14465</v>
      </c>
      <c r="Q418" s="27" t="n">
        <f aca="false">INDEX(Markup_Vals,MATCH("Windows",MarkupCat_Keys,0))</f>
        <v>0.42</v>
      </c>
      <c r="R418" s="28" t="n">
        <f aca="false">P418*(1+Q418)</f>
        <v>3125.625403</v>
      </c>
      <c r="S418" s="28" t="n">
        <f aca="false">R418*(1-TradeDiscount)</f>
        <v>2750.55035464</v>
      </c>
      <c r="T418" s="28" t="n">
        <f aca="false">R418*(1-VolumeDiscount)</f>
        <v>2500.5003224</v>
      </c>
    </row>
    <row r="419" customFormat="false" ht="15" hidden="false" customHeight="false" outlineLevel="0" collapsed="false">
      <c r="A419" s="29" t="s">
        <v>1045</v>
      </c>
      <c r="B419" s="29" t="s">
        <v>96</v>
      </c>
      <c r="C419" s="29" t="s">
        <v>42</v>
      </c>
      <c r="D419" s="29" t="s">
        <v>1046</v>
      </c>
      <c r="E419" s="29" t="s">
        <v>1012</v>
      </c>
      <c r="F419" s="29" t="s">
        <v>706</v>
      </c>
      <c r="G419" s="29" t="s">
        <v>37</v>
      </c>
      <c r="H419" s="29" t="s">
        <v>64</v>
      </c>
      <c r="I419" s="29" t="s">
        <v>190</v>
      </c>
      <c r="J419" s="29" t="s">
        <v>685</v>
      </c>
      <c r="K419" s="29" t="s">
        <v>192</v>
      </c>
      <c r="L419" s="29" t="s">
        <v>29</v>
      </c>
      <c r="M419" s="29" t="n">
        <v>609</v>
      </c>
      <c r="N419" s="29" t="n">
        <v>1209</v>
      </c>
      <c r="O419" s="29"/>
      <c r="P419" s="30" t="n">
        <f aca="false">(M419*N419/1000000)*(INDEX(AreaRate_Vals,MATCH(C419,AreaRate_Keys,0))+IFERROR(INDEX(GlazingUpg_Vals,MATCH(H419,GlazingUpg_Keys,0)),0))+INDEX(Hardware_Vals,MATCH("Windows",Hardware_Keys,0))</f>
        <v>2201.14465</v>
      </c>
      <c r="Q419" s="31" t="n">
        <f aca="false">INDEX(Markup_Vals,MATCH("Windows",MarkupCat_Keys,0))</f>
        <v>0.42</v>
      </c>
      <c r="R419" s="32" t="n">
        <f aca="false">P419*(1+Q419)</f>
        <v>3125.625403</v>
      </c>
      <c r="S419" s="32" t="n">
        <f aca="false">R419*(1-TradeDiscount)</f>
        <v>2750.55035464</v>
      </c>
      <c r="T419" s="32" t="n">
        <f aca="false">R419*(1-VolumeDiscount)</f>
        <v>2500.5003224</v>
      </c>
    </row>
    <row r="420" customFormat="false" ht="15" hidden="false" customHeight="false" outlineLevel="0" collapsed="false">
      <c r="A420" s="25" t="s">
        <v>1047</v>
      </c>
      <c r="B420" s="25" t="s">
        <v>96</v>
      </c>
      <c r="C420" s="25" t="s">
        <v>42</v>
      </c>
      <c r="D420" s="25" t="s">
        <v>1048</v>
      </c>
      <c r="E420" s="25" t="s">
        <v>1012</v>
      </c>
      <c r="F420" s="25" t="s">
        <v>706</v>
      </c>
      <c r="G420" s="25" t="s">
        <v>39</v>
      </c>
      <c r="H420" s="25" t="s">
        <v>64</v>
      </c>
      <c r="I420" s="25" t="s">
        <v>190</v>
      </c>
      <c r="J420" s="25" t="s">
        <v>685</v>
      </c>
      <c r="K420" s="25" t="s">
        <v>192</v>
      </c>
      <c r="L420" s="25" t="s">
        <v>29</v>
      </c>
      <c r="M420" s="25" t="n">
        <v>609</v>
      </c>
      <c r="N420" s="25" t="n">
        <v>1209</v>
      </c>
      <c r="O420" s="25"/>
      <c r="P420" s="26" t="n">
        <f aca="false">(M420*N420/1000000)*(INDEX(AreaRate_Vals,MATCH(C420,AreaRate_Keys,0))+IFERROR(INDEX(GlazingUpg_Vals,MATCH(H420,GlazingUpg_Keys,0)),0))+INDEX(Hardware_Vals,MATCH("Windows",Hardware_Keys,0))</f>
        <v>2201.14465</v>
      </c>
      <c r="Q420" s="27" t="n">
        <f aca="false">INDEX(Markup_Vals,MATCH("Windows",MarkupCat_Keys,0))</f>
        <v>0.42</v>
      </c>
      <c r="R420" s="28" t="n">
        <f aca="false">P420*(1+Q420)</f>
        <v>3125.625403</v>
      </c>
      <c r="S420" s="28" t="n">
        <f aca="false">R420*(1-TradeDiscount)</f>
        <v>2750.55035464</v>
      </c>
      <c r="T420" s="28" t="n">
        <f aca="false">R420*(1-VolumeDiscount)</f>
        <v>2500.5003224</v>
      </c>
    </row>
    <row r="421" customFormat="false" ht="15" hidden="false" customHeight="false" outlineLevel="0" collapsed="false">
      <c r="A421" s="29" t="s">
        <v>1049</v>
      </c>
      <c r="B421" s="29" t="s">
        <v>96</v>
      </c>
      <c r="C421" s="29" t="s">
        <v>42</v>
      </c>
      <c r="D421" s="29" t="s">
        <v>1050</v>
      </c>
      <c r="E421" s="29" t="s">
        <v>1012</v>
      </c>
      <c r="F421" s="29" t="s">
        <v>706</v>
      </c>
      <c r="G421" s="29" t="s">
        <v>38</v>
      </c>
      <c r="H421" s="29" t="s">
        <v>64</v>
      </c>
      <c r="I421" s="29" t="s">
        <v>190</v>
      </c>
      <c r="J421" s="29" t="s">
        <v>685</v>
      </c>
      <c r="K421" s="29" t="s">
        <v>192</v>
      </c>
      <c r="L421" s="29" t="s">
        <v>29</v>
      </c>
      <c r="M421" s="29" t="n">
        <v>609</v>
      </c>
      <c r="N421" s="29" t="n">
        <v>1209</v>
      </c>
      <c r="O421" s="29"/>
      <c r="P421" s="30" t="n">
        <f aca="false">(M421*N421/1000000)*(INDEX(AreaRate_Vals,MATCH(C421,AreaRate_Keys,0))+IFERROR(INDEX(GlazingUpg_Vals,MATCH(H421,GlazingUpg_Keys,0)),0))+INDEX(Hardware_Vals,MATCH("Windows",Hardware_Keys,0))</f>
        <v>2201.14465</v>
      </c>
      <c r="Q421" s="31" t="n">
        <f aca="false">INDEX(Markup_Vals,MATCH("Windows",MarkupCat_Keys,0))</f>
        <v>0.42</v>
      </c>
      <c r="R421" s="32" t="n">
        <f aca="false">P421*(1+Q421)</f>
        <v>3125.625403</v>
      </c>
      <c r="S421" s="32" t="n">
        <f aca="false">R421*(1-TradeDiscount)</f>
        <v>2750.55035464</v>
      </c>
      <c r="T421" s="32" t="n">
        <f aca="false">R421*(1-VolumeDiscount)</f>
        <v>2500.5003224</v>
      </c>
    </row>
    <row r="422" customFormat="false" ht="15" hidden="false" customHeight="false" outlineLevel="0" collapsed="false">
      <c r="A422" s="25" t="s">
        <v>1051</v>
      </c>
      <c r="B422" s="25" t="s">
        <v>96</v>
      </c>
      <c r="C422" s="25" t="s">
        <v>42</v>
      </c>
      <c r="D422" s="25" t="s">
        <v>1052</v>
      </c>
      <c r="E422" s="25" t="s">
        <v>1012</v>
      </c>
      <c r="F422" s="25" t="s">
        <v>727</v>
      </c>
      <c r="G422" s="25" t="s">
        <v>35</v>
      </c>
      <c r="H422" s="25" t="s">
        <v>63</v>
      </c>
      <c r="I422" s="25" t="s">
        <v>190</v>
      </c>
      <c r="J422" s="25" t="s">
        <v>685</v>
      </c>
      <c r="K422" s="25" t="s">
        <v>192</v>
      </c>
      <c r="L422" s="25" t="s">
        <v>29</v>
      </c>
      <c r="M422" s="25" t="n">
        <v>909</v>
      </c>
      <c r="N422" s="25" t="n">
        <v>1209</v>
      </c>
      <c r="O422" s="25"/>
      <c r="P422" s="26" t="n">
        <f aca="false">(M422*N422/1000000)*(INDEX(AreaRate_Vals,MATCH(C422,AreaRate_Keys,0))+IFERROR(INDEX(GlazingUpg_Vals,MATCH(H422,GlazingUpg_Keys,0)),0))+INDEX(Hardware_Vals,MATCH("Windows",Hardware_Keys,0))</f>
        <v>2557.8601</v>
      </c>
      <c r="Q422" s="27" t="n">
        <f aca="false">INDEX(Markup_Vals,MATCH("Windows",MarkupCat_Keys,0))</f>
        <v>0.42</v>
      </c>
      <c r="R422" s="28" t="n">
        <f aca="false">P422*(1+Q422)</f>
        <v>3632.161342</v>
      </c>
      <c r="S422" s="28" t="n">
        <f aca="false">R422*(1-TradeDiscount)</f>
        <v>3196.30198096</v>
      </c>
      <c r="T422" s="28" t="n">
        <f aca="false">R422*(1-VolumeDiscount)</f>
        <v>2905.7290736</v>
      </c>
    </row>
    <row r="423" customFormat="false" ht="15" hidden="false" customHeight="false" outlineLevel="0" collapsed="false">
      <c r="A423" s="29" t="s">
        <v>1053</v>
      </c>
      <c r="B423" s="29" t="s">
        <v>96</v>
      </c>
      <c r="C423" s="29" t="s">
        <v>42</v>
      </c>
      <c r="D423" s="29" t="s">
        <v>1054</v>
      </c>
      <c r="E423" s="29" t="s">
        <v>1012</v>
      </c>
      <c r="F423" s="29" t="s">
        <v>727</v>
      </c>
      <c r="G423" s="29" t="s">
        <v>36</v>
      </c>
      <c r="H423" s="29" t="s">
        <v>63</v>
      </c>
      <c r="I423" s="29" t="s">
        <v>190</v>
      </c>
      <c r="J423" s="29" t="s">
        <v>685</v>
      </c>
      <c r="K423" s="29" t="s">
        <v>192</v>
      </c>
      <c r="L423" s="29" t="s">
        <v>29</v>
      </c>
      <c r="M423" s="29" t="n">
        <v>909</v>
      </c>
      <c r="N423" s="29" t="n">
        <v>1209</v>
      </c>
      <c r="O423" s="29"/>
      <c r="P423" s="30" t="n">
        <f aca="false">(M423*N423/1000000)*(INDEX(AreaRate_Vals,MATCH(C423,AreaRate_Keys,0))+IFERROR(INDEX(GlazingUpg_Vals,MATCH(H423,GlazingUpg_Keys,0)),0))+INDEX(Hardware_Vals,MATCH("Windows",Hardware_Keys,0))</f>
        <v>2557.8601</v>
      </c>
      <c r="Q423" s="31" t="n">
        <f aca="false">INDEX(Markup_Vals,MATCH("Windows",MarkupCat_Keys,0))</f>
        <v>0.42</v>
      </c>
      <c r="R423" s="32" t="n">
        <f aca="false">P423*(1+Q423)</f>
        <v>3632.161342</v>
      </c>
      <c r="S423" s="32" t="n">
        <f aca="false">R423*(1-TradeDiscount)</f>
        <v>3196.30198096</v>
      </c>
      <c r="T423" s="32" t="n">
        <f aca="false">R423*(1-VolumeDiscount)</f>
        <v>2905.7290736</v>
      </c>
    </row>
    <row r="424" customFormat="false" ht="15" hidden="false" customHeight="false" outlineLevel="0" collapsed="false">
      <c r="A424" s="25" t="s">
        <v>1055</v>
      </c>
      <c r="B424" s="25" t="s">
        <v>96</v>
      </c>
      <c r="C424" s="25" t="s">
        <v>42</v>
      </c>
      <c r="D424" s="25" t="s">
        <v>1056</v>
      </c>
      <c r="E424" s="25" t="s">
        <v>1012</v>
      </c>
      <c r="F424" s="25" t="s">
        <v>727</v>
      </c>
      <c r="G424" s="25" t="s">
        <v>37</v>
      </c>
      <c r="H424" s="25" t="s">
        <v>63</v>
      </c>
      <c r="I424" s="25" t="s">
        <v>190</v>
      </c>
      <c r="J424" s="25" t="s">
        <v>685</v>
      </c>
      <c r="K424" s="25" t="s">
        <v>192</v>
      </c>
      <c r="L424" s="25" t="s">
        <v>29</v>
      </c>
      <c r="M424" s="25" t="n">
        <v>909</v>
      </c>
      <c r="N424" s="25" t="n">
        <v>1209</v>
      </c>
      <c r="O424" s="25"/>
      <c r="P424" s="26" t="n">
        <f aca="false">(M424*N424/1000000)*(INDEX(AreaRate_Vals,MATCH(C424,AreaRate_Keys,0))+IFERROR(INDEX(GlazingUpg_Vals,MATCH(H424,GlazingUpg_Keys,0)),0))+INDEX(Hardware_Vals,MATCH("Windows",Hardware_Keys,0))</f>
        <v>2557.8601</v>
      </c>
      <c r="Q424" s="27" t="n">
        <f aca="false">INDEX(Markup_Vals,MATCH("Windows",MarkupCat_Keys,0))</f>
        <v>0.42</v>
      </c>
      <c r="R424" s="28" t="n">
        <f aca="false">P424*(1+Q424)</f>
        <v>3632.161342</v>
      </c>
      <c r="S424" s="28" t="n">
        <f aca="false">R424*(1-TradeDiscount)</f>
        <v>3196.30198096</v>
      </c>
      <c r="T424" s="28" t="n">
        <f aca="false">R424*(1-VolumeDiscount)</f>
        <v>2905.7290736</v>
      </c>
    </row>
    <row r="425" customFormat="false" ht="15" hidden="false" customHeight="false" outlineLevel="0" collapsed="false">
      <c r="A425" s="29" t="s">
        <v>1057</v>
      </c>
      <c r="B425" s="29" t="s">
        <v>96</v>
      </c>
      <c r="C425" s="29" t="s">
        <v>42</v>
      </c>
      <c r="D425" s="29" t="s">
        <v>1058</v>
      </c>
      <c r="E425" s="29" t="s">
        <v>1012</v>
      </c>
      <c r="F425" s="29" t="s">
        <v>727</v>
      </c>
      <c r="G425" s="29" t="s">
        <v>39</v>
      </c>
      <c r="H425" s="29" t="s">
        <v>63</v>
      </c>
      <c r="I425" s="29" t="s">
        <v>190</v>
      </c>
      <c r="J425" s="29" t="s">
        <v>685</v>
      </c>
      <c r="K425" s="29" t="s">
        <v>192</v>
      </c>
      <c r="L425" s="29" t="s">
        <v>29</v>
      </c>
      <c r="M425" s="29" t="n">
        <v>909</v>
      </c>
      <c r="N425" s="29" t="n">
        <v>1209</v>
      </c>
      <c r="O425" s="29"/>
      <c r="P425" s="30" t="n">
        <f aca="false">(M425*N425/1000000)*(INDEX(AreaRate_Vals,MATCH(C425,AreaRate_Keys,0))+IFERROR(INDEX(GlazingUpg_Vals,MATCH(H425,GlazingUpg_Keys,0)),0))+INDEX(Hardware_Vals,MATCH("Windows",Hardware_Keys,0))</f>
        <v>2557.8601</v>
      </c>
      <c r="Q425" s="31" t="n">
        <f aca="false">INDEX(Markup_Vals,MATCH("Windows",MarkupCat_Keys,0))</f>
        <v>0.42</v>
      </c>
      <c r="R425" s="32" t="n">
        <f aca="false">P425*(1+Q425)</f>
        <v>3632.161342</v>
      </c>
      <c r="S425" s="32" t="n">
        <f aca="false">R425*(1-TradeDiscount)</f>
        <v>3196.30198096</v>
      </c>
      <c r="T425" s="32" t="n">
        <f aca="false">R425*(1-VolumeDiscount)</f>
        <v>2905.7290736</v>
      </c>
    </row>
    <row r="426" customFormat="false" ht="15" hidden="false" customHeight="false" outlineLevel="0" collapsed="false">
      <c r="A426" s="25" t="s">
        <v>1059</v>
      </c>
      <c r="B426" s="25" t="s">
        <v>96</v>
      </c>
      <c r="C426" s="25" t="s">
        <v>42</v>
      </c>
      <c r="D426" s="25" t="s">
        <v>1060</v>
      </c>
      <c r="E426" s="25" t="s">
        <v>1012</v>
      </c>
      <c r="F426" s="25" t="s">
        <v>727</v>
      </c>
      <c r="G426" s="25" t="s">
        <v>38</v>
      </c>
      <c r="H426" s="25" t="s">
        <v>63</v>
      </c>
      <c r="I426" s="25" t="s">
        <v>190</v>
      </c>
      <c r="J426" s="25" t="s">
        <v>685</v>
      </c>
      <c r="K426" s="25" t="s">
        <v>192</v>
      </c>
      <c r="L426" s="25" t="s">
        <v>29</v>
      </c>
      <c r="M426" s="25" t="n">
        <v>909</v>
      </c>
      <c r="N426" s="25" t="n">
        <v>1209</v>
      </c>
      <c r="O426" s="25"/>
      <c r="P426" s="26" t="n">
        <f aca="false">(M426*N426/1000000)*(INDEX(AreaRate_Vals,MATCH(C426,AreaRate_Keys,0))+IFERROR(INDEX(GlazingUpg_Vals,MATCH(H426,GlazingUpg_Keys,0)),0))+INDEX(Hardware_Vals,MATCH("Windows",Hardware_Keys,0))</f>
        <v>2557.8601</v>
      </c>
      <c r="Q426" s="27" t="n">
        <f aca="false">INDEX(Markup_Vals,MATCH("Windows",MarkupCat_Keys,0))</f>
        <v>0.42</v>
      </c>
      <c r="R426" s="28" t="n">
        <f aca="false">P426*(1+Q426)</f>
        <v>3632.161342</v>
      </c>
      <c r="S426" s="28" t="n">
        <f aca="false">R426*(1-TradeDiscount)</f>
        <v>3196.30198096</v>
      </c>
      <c r="T426" s="28" t="n">
        <f aca="false">R426*(1-VolumeDiscount)</f>
        <v>2905.7290736</v>
      </c>
    </row>
    <row r="427" customFormat="false" ht="15" hidden="false" customHeight="false" outlineLevel="0" collapsed="false">
      <c r="A427" s="29" t="s">
        <v>1061</v>
      </c>
      <c r="B427" s="29" t="s">
        <v>96</v>
      </c>
      <c r="C427" s="29" t="s">
        <v>42</v>
      </c>
      <c r="D427" s="29" t="s">
        <v>1062</v>
      </c>
      <c r="E427" s="29" t="s">
        <v>1012</v>
      </c>
      <c r="F427" s="29" t="s">
        <v>727</v>
      </c>
      <c r="G427" s="29" t="s">
        <v>35</v>
      </c>
      <c r="H427" s="29" t="s">
        <v>64</v>
      </c>
      <c r="I427" s="29" t="s">
        <v>190</v>
      </c>
      <c r="J427" s="29" t="s">
        <v>685</v>
      </c>
      <c r="K427" s="29" t="s">
        <v>192</v>
      </c>
      <c r="L427" s="29" t="s">
        <v>29</v>
      </c>
      <c r="M427" s="29" t="n">
        <v>909</v>
      </c>
      <c r="N427" s="29" t="n">
        <v>1209</v>
      </c>
      <c r="O427" s="29"/>
      <c r="P427" s="30" t="n">
        <f aca="false">(M427*N427/1000000)*(INDEX(AreaRate_Vals,MATCH(C427,AreaRate_Keys,0))+IFERROR(INDEX(GlazingUpg_Vals,MATCH(H427,GlazingUpg_Keys,0)),0))+INDEX(Hardware_Vals,MATCH("Windows",Hardware_Keys,0))</f>
        <v>3162.29965</v>
      </c>
      <c r="Q427" s="31" t="n">
        <f aca="false">INDEX(Markup_Vals,MATCH("Windows",MarkupCat_Keys,0))</f>
        <v>0.42</v>
      </c>
      <c r="R427" s="32" t="n">
        <f aca="false">P427*(1+Q427)</f>
        <v>4490.465503</v>
      </c>
      <c r="S427" s="32" t="n">
        <f aca="false">R427*(1-TradeDiscount)</f>
        <v>3951.60964264</v>
      </c>
      <c r="T427" s="32" t="n">
        <f aca="false">R427*(1-VolumeDiscount)</f>
        <v>3592.3724024</v>
      </c>
    </row>
    <row r="428" customFormat="false" ht="15" hidden="false" customHeight="false" outlineLevel="0" collapsed="false">
      <c r="A428" s="25" t="s">
        <v>1063</v>
      </c>
      <c r="B428" s="25" t="s">
        <v>96</v>
      </c>
      <c r="C428" s="25" t="s">
        <v>42</v>
      </c>
      <c r="D428" s="25" t="s">
        <v>1064</v>
      </c>
      <c r="E428" s="25" t="s">
        <v>1012</v>
      </c>
      <c r="F428" s="25" t="s">
        <v>727</v>
      </c>
      <c r="G428" s="25" t="s">
        <v>36</v>
      </c>
      <c r="H428" s="25" t="s">
        <v>64</v>
      </c>
      <c r="I428" s="25" t="s">
        <v>190</v>
      </c>
      <c r="J428" s="25" t="s">
        <v>685</v>
      </c>
      <c r="K428" s="25" t="s">
        <v>192</v>
      </c>
      <c r="L428" s="25" t="s">
        <v>29</v>
      </c>
      <c r="M428" s="25" t="n">
        <v>909</v>
      </c>
      <c r="N428" s="25" t="n">
        <v>1209</v>
      </c>
      <c r="O428" s="25"/>
      <c r="P428" s="26" t="n">
        <f aca="false">(M428*N428/1000000)*(INDEX(AreaRate_Vals,MATCH(C428,AreaRate_Keys,0))+IFERROR(INDEX(GlazingUpg_Vals,MATCH(H428,GlazingUpg_Keys,0)),0))+INDEX(Hardware_Vals,MATCH("Windows",Hardware_Keys,0))</f>
        <v>3162.29965</v>
      </c>
      <c r="Q428" s="27" t="n">
        <f aca="false">INDEX(Markup_Vals,MATCH("Windows",MarkupCat_Keys,0))</f>
        <v>0.42</v>
      </c>
      <c r="R428" s="28" t="n">
        <f aca="false">P428*(1+Q428)</f>
        <v>4490.465503</v>
      </c>
      <c r="S428" s="28" t="n">
        <f aca="false">R428*(1-TradeDiscount)</f>
        <v>3951.60964264</v>
      </c>
      <c r="T428" s="28" t="n">
        <f aca="false">R428*(1-VolumeDiscount)</f>
        <v>3592.3724024</v>
      </c>
    </row>
    <row r="429" customFormat="false" ht="15" hidden="false" customHeight="false" outlineLevel="0" collapsed="false">
      <c r="A429" s="29" t="s">
        <v>1065</v>
      </c>
      <c r="B429" s="29" t="s">
        <v>96</v>
      </c>
      <c r="C429" s="29" t="s">
        <v>42</v>
      </c>
      <c r="D429" s="29" t="s">
        <v>1066</v>
      </c>
      <c r="E429" s="29" t="s">
        <v>1012</v>
      </c>
      <c r="F429" s="29" t="s">
        <v>727</v>
      </c>
      <c r="G429" s="29" t="s">
        <v>37</v>
      </c>
      <c r="H429" s="29" t="s">
        <v>64</v>
      </c>
      <c r="I429" s="29" t="s">
        <v>190</v>
      </c>
      <c r="J429" s="29" t="s">
        <v>685</v>
      </c>
      <c r="K429" s="29" t="s">
        <v>192</v>
      </c>
      <c r="L429" s="29" t="s">
        <v>29</v>
      </c>
      <c r="M429" s="29" t="n">
        <v>909</v>
      </c>
      <c r="N429" s="29" t="n">
        <v>1209</v>
      </c>
      <c r="O429" s="29"/>
      <c r="P429" s="30" t="n">
        <f aca="false">(M429*N429/1000000)*(INDEX(AreaRate_Vals,MATCH(C429,AreaRate_Keys,0))+IFERROR(INDEX(GlazingUpg_Vals,MATCH(H429,GlazingUpg_Keys,0)),0))+INDEX(Hardware_Vals,MATCH("Windows",Hardware_Keys,0))</f>
        <v>3162.29965</v>
      </c>
      <c r="Q429" s="31" t="n">
        <f aca="false">INDEX(Markup_Vals,MATCH("Windows",MarkupCat_Keys,0))</f>
        <v>0.42</v>
      </c>
      <c r="R429" s="32" t="n">
        <f aca="false">P429*(1+Q429)</f>
        <v>4490.465503</v>
      </c>
      <c r="S429" s="32" t="n">
        <f aca="false">R429*(1-TradeDiscount)</f>
        <v>3951.60964264</v>
      </c>
      <c r="T429" s="32" t="n">
        <f aca="false">R429*(1-VolumeDiscount)</f>
        <v>3592.3724024</v>
      </c>
    </row>
    <row r="430" customFormat="false" ht="15" hidden="false" customHeight="false" outlineLevel="0" collapsed="false">
      <c r="A430" s="25" t="s">
        <v>1067</v>
      </c>
      <c r="B430" s="25" t="s">
        <v>96</v>
      </c>
      <c r="C430" s="25" t="s">
        <v>42</v>
      </c>
      <c r="D430" s="25" t="s">
        <v>1068</v>
      </c>
      <c r="E430" s="25" t="s">
        <v>1012</v>
      </c>
      <c r="F430" s="25" t="s">
        <v>727</v>
      </c>
      <c r="G430" s="25" t="s">
        <v>39</v>
      </c>
      <c r="H430" s="25" t="s">
        <v>64</v>
      </c>
      <c r="I430" s="25" t="s">
        <v>190</v>
      </c>
      <c r="J430" s="25" t="s">
        <v>685</v>
      </c>
      <c r="K430" s="25" t="s">
        <v>192</v>
      </c>
      <c r="L430" s="25" t="s">
        <v>29</v>
      </c>
      <c r="M430" s="25" t="n">
        <v>909</v>
      </c>
      <c r="N430" s="25" t="n">
        <v>1209</v>
      </c>
      <c r="O430" s="25"/>
      <c r="P430" s="26" t="n">
        <f aca="false">(M430*N430/1000000)*(INDEX(AreaRate_Vals,MATCH(C430,AreaRate_Keys,0))+IFERROR(INDEX(GlazingUpg_Vals,MATCH(H430,GlazingUpg_Keys,0)),0))+INDEX(Hardware_Vals,MATCH("Windows",Hardware_Keys,0))</f>
        <v>3162.29965</v>
      </c>
      <c r="Q430" s="27" t="n">
        <f aca="false">INDEX(Markup_Vals,MATCH("Windows",MarkupCat_Keys,0))</f>
        <v>0.42</v>
      </c>
      <c r="R430" s="28" t="n">
        <f aca="false">P430*(1+Q430)</f>
        <v>4490.465503</v>
      </c>
      <c r="S430" s="28" t="n">
        <f aca="false">R430*(1-TradeDiscount)</f>
        <v>3951.60964264</v>
      </c>
      <c r="T430" s="28" t="n">
        <f aca="false">R430*(1-VolumeDiscount)</f>
        <v>3592.3724024</v>
      </c>
    </row>
    <row r="431" customFormat="false" ht="15" hidden="false" customHeight="false" outlineLevel="0" collapsed="false">
      <c r="A431" s="29" t="s">
        <v>1069</v>
      </c>
      <c r="B431" s="29" t="s">
        <v>96</v>
      </c>
      <c r="C431" s="29" t="s">
        <v>42</v>
      </c>
      <c r="D431" s="29" t="s">
        <v>1070</v>
      </c>
      <c r="E431" s="29" t="s">
        <v>1012</v>
      </c>
      <c r="F431" s="29" t="s">
        <v>727</v>
      </c>
      <c r="G431" s="29" t="s">
        <v>38</v>
      </c>
      <c r="H431" s="29" t="s">
        <v>64</v>
      </c>
      <c r="I431" s="29" t="s">
        <v>190</v>
      </c>
      <c r="J431" s="29" t="s">
        <v>685</v>
      </c>
      <c r="K431" s="29" t="s">
        <v>192</v>
      </c>
      <c r="L431" s="29" t="s">
        <v>29</v>
      </c>
      <c r="M431" s="29" t="n">
        <v>909</v>
      </c>
      <c r="N431" s="29" t="n">
        <v>1209</v>
      </c>
      <c r="O431" s="29"/>
      <c r="P431" s="30" t="n">
        <f aca="false">(M431*N431/1000000)*(INDEX(AreaRate_Vals,MATCH(C431,AreaRate_Keys,0))+IFERROR(INDEX(GlazingUpg_Vals,MATCH(H431,GlazingUpg_Keys,0)),0))+INDEX(Hardware_Vals,MATCH("Windows",Hardware_Keys,0))</f>
        <v>3162.29965</v>
      </c>
      <c r="Q431" s="31" t="n">
        <f aca="false">INDEX(Markup_Vals,MATCH("Windows",MarkupCat_Keys,0))</f>
        <v>0.42</v>
      </c>
      <c r="R431" s="32" t="n">
        <f aca="false">P431*(1+Q431)</f>
        <v>4490.465503</v>
      </c>
      <c r="S431" s="32" t="n">
        <f aca="false">R431*(1-TradeDiscount)</f>
        <v>3951.60964264</v>
      </c>
      <c r="T431" s="32" t="n">
        <f aca="false">R431*(1-VolumeDiscount)</f>
        <v>3592.3724024</v>
      </c>
    </row>
    <row r="432" customFormat="false" ht="15" hidden="false" customHeight="false" outlineLevel="0" collapsed="false">
      <c r="A432" s="25" t="s">
        <v>1071</v>
      </c>
      <c r="B432" s="25" t="s">
        <v>96</v>
      </c>
      <c r="C432" s="25" t="s">
        <v>42</v>
      </c>
      <c r="D432" s="25" t="s">
        <v>1072</v>
      </c>
      <c r="E432" s="25" t="s">
        <v>1012</v>
      </c>
      <c r="F432" s="25" t="s">
        <v>748</v>
      </c>
      <c r="G432" s="25" t="s">
        <v>35</v>
      </c>
      <c r="H432" s="25" t="s">
        <v>63</v>
      </c>
      <c r="I432" s="25" t="s">
        <v>190</v>
      </c>
      <c r="J432" s="25" t="s">
        <v>685</v>
      </c>
      <c r="K432" s="25" t="s">
        <v>192</v>
      </c>
      <c r="L432" s="25" t="s">
        <v>29</v>
      </c>
      <c r="M432" s="25" t="n">
        <v>1209</v>
      </c>
      <c r="N432" s="25" t="n">
        <v>1209</v>
      </c>
      <c r="O432" s="25"/>
      <c r="P432" s="26" t="n">
        <f aca="false">(M432*N432/1000000)*(INDEX(AreaRate_Vals,MATCH(C432,AreaRate_Keys,0))+IFERROR(INDEX(GlazingUpg_Vals,MATCH(H432,GlazingUpg_Keys,0)),0))+INDEX(Hardware_Vals,MATCH("Windows",Hardware_Keys,0))</f>
        <v>3319.5301</v>
      </c>
      <c r="Q432" s="27" t="n">
        <f aca="false">INDEX(Markup_Vals,MATCH("Windows",MarkupCat_Keys,0))</f>
        <v>0.42</v>
      </c>
      <c r="R432" s="28" t="n">
        <f aca="false">P432*(1+Q432)</f>
        <v>4713.732742</v>
      </c>
      <c r="S432" s="28" t="n">
        <f aca="false">R432*(1-TradeDiscount)</f>
        <v>4148.08481296</v>
      </c>
      <c r="T432" s="28" t="n">
        <f aca="false">R432*(1-VolumeDiscount)</f>
        <v>3770.9861936</v>
      </c>
    </row>
    <row r="433" customFormat="false" ht="15" hidden="false" customHeight="false" outlineLevel="0" collapsed="false">
      <c r="A433" s="29" t="s">
        <v>1073</v>
      </c>
      <c r="B433" s="29" t="s">
        <v>96</v>
      </c>
      <c r="C433" s="29" t="s">
        <v>42</v>
      </c>
      <c r="D433" s="29" t="s">
        <v>1074</v>
      </c>
      <c r="E433" s="29" t="s">
        <v>1012</v>
      </c>
      <c r="F433" s="29" t="s">
        <v>748</v>
      </c>
      <c r="G433" s="29" t="s">
        <v>36</v>
      </c>
      <c r="H433" s="29" t="s">
        <v>63</v>
      </c>
      <c r="I433" s="29" t="s">
        <v>190</v>
      </c>
      <c r="J433" s="29" t="s">
        <v>685</v>
      </c>
      <c r="K433" s="29" t="s">
        <v>192</v>
      </c>
      <c r="L433" s="29" t="s">
        <v>29</v>
      </c>
      <c r="M433" s="29" t="n">
        <v>1209</v>
      </c>
      <c r="N433" s="29" t="n">
        <v>1209</v>
      </c>
      <c r="O433" s="29"/>
      <c r="P433" s="30" t="n">
        <f aca="false">(M433*N433/1000000)*(INDEX(AreaRate_Vals,MATCH(C433,AreaRate_Keys,0))+IFERROR(INDEX(GlazingUpg_Vals,MATCH(H433,GlazingUpg_Keys,0)),0))+INDEX(Hardware_Vals,MATCH("Windows",Hardware_Keys,0))</f>
        <v>3319.5301</v>
      </c>
      <c r="Q433" s="31" t="n">
        <f aca="false">INDEX(Markup_Vals,MATCH("Windows",MarkupCat_Keys,0))</f>
        <v>0.42</v>
      </c>
      <c r="R433" s="32" t="n">
        <f aca="false">P433*(1+Q433)</f>
        <v>4713.732742</v>
      </c>
      <c r="S433" s="32" t="n">
        <f aca="false">R433*(1-TradeDiscount)</f>
        <v>4148.08481296</v>
      </c>
      <c r="T433" s="32" t="n">
        <f aca="false">R433*(1-VolumeDiscount)</f>
        <v>3770.9861936</v>
      </c>
    </row>
    <row r="434" customFormat="false" ht="15" hidden="false" customHeight="false" outlineLevel="0" collapsed="false">
      <c r="A434" s="25" t="s">
        <v>1075</v>
      </c>
      <c r="B434" s="25" t="s">
        <v>96</v>
      </c>
      <c r="C434" s="25" t="s">
        <v>42</v>
      </c>
      <c r="D434" s="25" t="s">
        <v>1076</v>
      </c>
      <c r="E434" s="25" t="s">
        <v>1012</v>
      </c>
      <c r="F434" s="25" t="s">
        <v>748</v>
      </c>
      <c r="G434" s="25" t="s">
        <v>37</v>
      </c>
      <c r="H434" s="25" t="s">
        <v>63</v>
      </c>
      <c r="I434" s="25" t="s">
        <v>190</v>
      </c>
      <c r="J434" s="25" t="s">
        <v>685</v>
      </c>
      <c r="K434" s="25" t="s">
        <v>192</v>
      </c>
      <c r="L434" s="25" t="s">
        <v>29</v>
      </c>
      <c r="M434" s="25" t="n">
        <v>1209</v>
      </c>
      <c r="N434" s="25" t="n">
        <v>1209</v>
      </c>
      <c r="O434" s="25"/>
      <c r="P434" s="26" t="n">
        <f aca="false">(M434*N434/1000000)*(INDEX(AreaRate_Vals,MATCH(C434,AreaRate_Keys,0))+IFERROR(INDEX(GlazingUpg_Vals,MATCH(H434,GlazingUpg_Keys,0)),0))+INDEX(Hardware_Vals,MATCH("Windows",Hardware_Keys,0))</f>
        <v>3319.5301</v>
      </c>
      <c r="Q434" s="27" t="n">
        <f aca="false">INDEX(Markup_Vals,MATCH("Windows",MarkupCat_Keys,0))</f>
        <v>0.42</v>
      </c>
      <c r="R434" s="28" t="n">
        <f aca="false">P434*(1+Q434)</f>
        <v>4713.732742</v>
      </c>
      <c r="S434" s="28" t="n">
        <f aca="false">R434*(1-TradeDiscount)</f>
        <v>4148.08481296</v>
      </c>
      <c r="T434" s="28" t="n">
        <f aca="false">R434*(1-VolumeDiscount)</f>
        <v>3770.9861936</v>
      </c>
    </row>
    <row r="435" customFormat="false" ht="15" hidden="false" customHeight="false" outlineLevel="0" collapsed="false">
      <c r="A435" s="29" t="s">
        <v>1077</v>
      </c>
      <c r="B435" s="29" t="s">
        <v>96</v>
      </c>
      <c r="C435" s="29" t="s">
        <v>42</v>
      </c>
      <c r="D435" s="29" t="s">
        <v>1078</v>
      </c>
      <c r="E435" s="29" t="s">
        <v>1012</v>
      </c>
      <c r="F435" s="29" t="s">
        <v>748</v>
      </c>
      <c r="G435" s="29" t="s">
        <v>39</v>
      </c>
      <c r="H435" s="29" t="s">
        <v>63</v>
      </c>
      <c r="I435" s="29" t="s">
        <v>190</v>
      </c>
      <c r="J435" s="29" t="s">
        <v>685</v>
      </c>
      <c r="K435" s="29" t="s">
        <v>192</v>
      </c>
      <c r="L435" s="29" t="s">
        <v>29</v>
      </c>
      <c r="M435" s="29" t="n">
        <v>1209</v>
      </c>
      <c r="N435" s="29" t="n">
        <v>1209</v>
      </c>
      <c r="O435" s="29"/>
      <c r="P435" s="30" t="n">
        <f aca="false">(M435*N435/1000000)*(INDEX(AreaRate_Vals,MATCH(C435,AreaRate_Keys,0))+IFERROR(INDEX(GlazingUpg_Vals,MATCH(H435,GlazingUpg_Keys,0)),0))+INDEX(Hardware_Vals,MATCH("Windows",Hardware_Keys,0))</f>
        <v>3319.5301</v>
      </c>
      <c r="Q435" s="31" t="n">
        <f aca="false">INDEX(Markup_Vals,MATCH("Windows",MarkupCat_Keys,0))</f>
        <v>0.42</v>
      </c>
      <c r="R435" s="32" t="n">
        <f aca="false">P435*(1+Q435)</f>
        <v>4713.732742</v>
      </c>
      <c r="S435" s="32" t="n">
        <f aca="false">R435*(1-TradeDiscount)</f>
        <v>4148.08481296</v>
      </c>
      <c r="T435" s="32" t="n">
        <f aca="false">R435*(1-VolumeDiscount)</f>
        <v>3770.9861936</v>
      </c>
    </row>
    <row r="436" customFormat="false" ht="15" hidden="false" customHeight="false" outlineLevel="0" collapsed="false">
      <c r="A436" s="25" t="s">
        <v>1079</v>
      </c>
      <c r="B436" s="25" t="s">
        <v>96</v>
      </c>
      <c r="C436" s="25" t="s">
        <v>42</v>
      </c>
      <c r="D436" s="25" t="s">
        <v>1080</v>
      </c>
      <c r="E436" s="25" t="s">
        <v>1012</v>
      </c>
      <c r="F436" s="25" t="s">
        <v>748</v>
      </c>
      <c r="G436" s="25" t="s">
        <v>38</v>
      </c>
      <c r="H436" s="25" t="s">
        <v>63</v>
      </c>
      <c r="I436" s="25" t="s">
        <v>190</v>
      </c>
      <c r="J436" s="25" t="s">
        <v>685</v>
      </c>
      <c r="K436" s="25" t="s">
        <v>192</v>
      </c>
      <c r="L436" s="25" t="s">
        <v>29</v>
      </c>
      <c r="M436" s="25" t="n">
        <v>1209</v>
      </c>
      <c r="N436" s="25" t="n">
        <v>1209</v>
      </c>
      <c r="O436" s="25"/>
      <c r="P436" s="26" t="n">
        <f aca="false">(M436*N436/1000000)*(INDEX(AreaRate_Vals,MATCH(C436,AreaRate_Keys,0))+IFERROR(INDEX(GlazingUpg_Vals,MATCH(H436,GlazingUpg_Keys,0)),0))+INDEX(Hardware_Vals,MATCH("Windows",Hardware_Keys,0))</f>
        <v>3319.5301</v>
      </c>
      <c r="Q436" s="27" t="n">
        <f aca="false">INDEX(Markup_Vals,MATCH("Windows",MarkupCat_Keys,0))</f>
        <v>0.42</v>
      </c>
      <c r="R436" s="28" t="n">
        <f aca="false">P436*(1+Q436)</f>
        <v>4713.732742</v>
      </c>
      <c r="S436" s="28" t="n">
        <f aca="false">R436*(1-TradeDiscount)</f>
        <v>4148.08481296</v>
      </c>
      <c r="T436" s="28" t="n">
        <f aca="false">R436*(1-VolumeDiscount)</f>
        <v>3770.9861936</v>
      </c>
    </row>
    <row r="437" customFormat="false" ht="15" hidden="false" customHeight="false" outlineLevel="0" collapsed="false">
      <c r="A437" s="29" t="s">
        <v>1081</v>
      </c>
      <c r="B437" s="29" t="s">
        <v>96</v>
      </c>
      <c r="C437" s="29" t="s">
        <v>42</v>
      </c>
      <c r="D437" s="29" t="s">
        <v>1082</v>
      </c>
      <c r="E437" s="29" t="s">
        <v>1012</v>
      </c>
      <c r="F437" s="29" t="s">
        <v>748</v>
      </c>
      <c r="G437" s="29" t="s">
        <v>35</v>
      </c>
      <c r="H437" s="29" t="s">
        <v>64</v>
      </c>
      <c r="I437" s="29" t="s">
        <v>190</v>
      </c>
      <c r="J437" s="29" t="s">
        <v>685</v>
      </c>
      <c r="K437" s="29" t="s">
        <v>192</v>
      </c>
      <c r="L437" s="29" t="s">
        <v>29</v>
      </c>
      <c r="M437" s="29" t="n">
        <v>1209</v>
      </c>
      <c r="N437" s="29" t="n">
        <v>1209</v>
      </c>
      <c r="O437" s="29"/>
      <c r="P437" s="30" t="n">
        <f aca="false">(M437*N437/1000000)*(INDEX(AreaRate_Vals,MATCH(C437,AreaRate_Keys,0))+IFERROR(INDEX(GlazingUpg_Vals,MATCH(H437,GlazingUpg_Keys,0)),0))+INDEX(Hardware_Vals,MATCH("Windows",Hardware_Keys,0))</f>
        <v>4123.45465</v>
      </c>
      <c r="Q437" s="31" t="n">
        <f aca="false">INDEX(Markup_Vals,MATCH("Windows",MarkupCat_Keys,0))</f>
        <v>0.42</v>
      </c>
      <c r="R437" s="32" t="n">
        <f aca="false">P437*(1+Q437)</f>
        <v>5855.305603</v>
      </c>
      <c r="S437" s="32" t="n">
        <f aca="false">R437*(1-TradeDiscount)</f>
        <v>5152.66893064</v>
      </c>
      <c r="T437" s="32" t="n">
        <f aca="false">R437*(1-VolumeDiscount)</f>
        <v>4684.2444824</v>
      </c>
    </row>
    <row r="438" customFormat="false" ht="15" hidden="false" customHeight="false" outlineLevel="0" collapsed="false">
      <c r="A438" s="25" t="s">
        <v>1083</v>
      </c>
      <c r="B438" s="25" t="s">
        <v>96</v>
      </c>
      <c r="C438" s="25" t="s">
        <v>42</v>
      </c>
      <c r="D438" s="25" t="s">
        <v>1084</v>
      </c>
      <c r="E438" s="25" t="s">
        <v>1012</v>
      </c>
      <c r="F438" s="25" t="s">
        <v>748</v>
      </c>
      <c r="G438" s="25" t="s">
        <v>36</v>
      </c>
      <c r="H438" s="25" t="s">
        <v>64</v>
      </c>
      <c r="I438" s="25" t="s">
        <v>190</v>
      </c>
      <c r="J438" s="25" t="s">
        <v>685</v>
      </c>
      <c r="K438" s="25" t="s">
        <v>192</v>
      </c>
      <c r="L438" s="25" t="s">
        <v>29</v>
      </c>
      <c r="M438" s="25" t="n">
        <v>1209</v>
      </c>
      <c r="N438" s="25" t="n">
        <v>1209</v>
      </c>
      <c r="O438" s="25"/>
      <c r="P438" s="26" t="n">
        <f aca="false">(M438*N438/1000000)*(INDEX(AreaRate_Vals,MATCH(C438,AreaRate_Keys,0))+IFERROR(INDEX(GlazingUpg_Vals,MATCH(H438,GlazingUpg_Keys,0)),0))+INDEX(Hardware_Vals,MATCH("Windows",Hardware_Keys,0))</f>
        <v>4123.45465</v>
      </c>
      <c r="Q438" s="27" t="n">
        <f aca="false">INDEX(Markup_Vals,MATCH("Windows",MarkupCat_Keys,0))</f>
        <v>0.42</v>
      </c>
      <c r="R438" s="28" t="n">
        <f aca="false">P438*(1+Q438)</f>
        <v>5855.305603</v>
      </c>
      <c r="S438" s="28" t="n">
        <f aca="false">R438*(1-TradeDiscount)</f>
        <v>5152.66893064</v>
      </c>
      <c r="T438" s="28" t="n">
        <f aca="false">R438*(1-VolumeDiscount)</f>
        <v>4684.2444824</v>
      </c>
    </row>
    <row r="439" customFormat="false" ht="15" hidden="false" customHeight="false" outlineLevel="0" collapsed="false">
      <c r="A439" s="29" t="s">
        <v>1085</v>
      </c>
      <c r="B439" s="29" t="s">
        <v>96</v>
      </c>
      <c r="C439" s="29" t="s">
        <v>42</v>
      </c>
      <c r="D439" s="29" t="s">
        <v>1086</v>
      </c>
      <c r="E439" s="29" t="s">
        <v>1012</v>
      </c>
      <c r="F439" s="29" t="s">
        <v>748</v>
      </c>
      <c r="G439" s="29" t="s">
        <v>37</v>
      </c>
      <c r="H439" s="29" t="s">
        <v>64</v>
      </c>
      <c r="I439" s="29" t="s">
        <v>190</v>
      </c>
      <c r="J439" s="29" t="s">
        <v>685</v>
      </c>
      <c r="K439" s="29" t="s">
        <v>192</v>
      </c>
      <c r="L439" s="29" t="s">
        <v>29</v>
      </c>
      <c r="M439" s="29" t="n">
        <v>1209</v>
      </c>
      <c r="N439" s="29" t="n">
        <v>1209</v>
      </c>
      <c r="O439" s="29"/>
      <c r="P439" s="30" t="n">
        <f aca="false">(M439*N439/1000000)*(INDEX(AreaRate_Vals,MATCH(C439,AreaRate_Keys,0))+IFERROR(INDEX(GlazingUpg_Vals,MATCH(H439,GlazingUpg_Keys,0)),0))+INDEX(Hardware_Vals,MATCH("Windows",Hardware_Keys,0))</f>
        <v>4123.45465</v>
      </c>
      <c r="Q439" s="31" t="n">
        <f aca="false">INDEX(Markup_Vals,MATCH("Windows",MarkupCat_Keys,0))</f>
        <v>0.42</v>
      </c>
      <c r="R439" s="32" t="n">
        <f aca="false">P439*(1+Q439)</f>
        <v>5855.305603</v>
      </c>
      <c r="S439" s="32" t="n">
        <f aca="false">R439*(1-TradeDiscount)</f>
        <v>5152.66893064</v>
      </c>
      <c r="T439" s="32" t="n">
        <f aca="false">R439*(1-VolumeDiscount)</f>
        <v>4684.2444824</v>
      </c>
    </row>
    <row r="440" customFormat="false" ht="15" hidden="false" customHeight="false" outlineLevel="0" collapsed="false">
      <c r="A440" s="25" t="s">
        <v>1087</v>
      </c>
      <c r="B440" s="25" t="s">
        <v>96</v>
      </c>
      <c r="C440" s="25" t="s">
        <v>42</v>
      </c>
      <c r="D440" s="25" t="s">
        <v>1088</v>
      </c>
      <c r="E440" s="25" t="s">
        <v>1012</v>
      </c>
      <c r="F440" s="25" t="s">
        <v>748</v>
      </c>
      <c r="G440" s="25" t="s">
        <v>39</v>
      </c>
      <c r="H440" s="25" t="s">
        <v>64</v>
      </c>
      <c r="I440" s="25" t="s">
        <v>190</v>
      </c>
      <c r="J440" s="25" t="s">
        <v>685</v>
      </c>
      <c r="K440" s="25" t="s">
        <v>192</v>
      </c>
      <c r="L440" s="25" t="s">
        <v>29</v>
      </c>
      <c r="M440" s="25" t="n">
        <v>1209</v>
      </c>
      <c r="N440" s="25" t="n">
        <v>1209</v>
      </c>
      <c r="O440" s="25"/>
      <c r="P440" s="26" t="n">
        <f aca="false">(M440*N440/1000000)*(INDEX(AreaRate_Vals,MATCH(C440,AreaRate_Keys,0))+IFERROR(INDEX(GlazingUpg_Vals,MATCH(H440,GlazingUpg_Keys,0)),0))+INDEX(Hardware_Vals,MATCH("Windows",Hardware_Keys,0))</f>
        <v>4123.45465</v>
      </c>
      <c r="Q440" s="27" t="n">
        <f aca="false">INDEX(Markup_Vals,MATCH("Windows",MarkupCat_Keys,0))</f>
        <v>0.42</v>
      </c>
      <c r="R440" s="28" t="n">
        <f aca="false">P440*(1+Q440)</f>
        <v>5855.305603</v>
      </c>
      <c r="S440" s="28" t="n">
        <f aca="false">R440*(1-TradeDiscount)</f>
        <v>5152.66893064</v>
      </c>
      <c r="T440" s="28" t="n">
        <f aca="false">R440*(1-VolumeDiscount)</f>
        <v>4684.2444824</v>
      </c>
    </row>
    <row r="441" customFormat="false" ht="15" hidden="false" customHeight="false" outlineLevel="0" collapsed="false">
      <c r="A441" s="29" t="s">
        <v>1089</v>
      </c>
      <c r="B441" s="29" t="s">
        <v>96</v>
      </c>
      <c r="C441" s="29" t="s">
        <v>42</v>
      </c>
      <c r="D441" s="29" t="s">
        <v>1090</v>
      </c>
      <c r="E441" s="29" t="s">
        <v>1012</v>
      </c>
      <c r="F441" s="29" t="s">
        <v>748</v>
      </c>
      <c r="G441" s="29" t="s">
        <v>38</v>
      </c>
      <c r="H441" s="29" t="s">
        <v>64</v>
      </c>
      <c r="I441" s="29" t="s">
        <v>190</v>
      </c>
      <c r="J441" s="29" t="s">
        <v>685</v>
      </c>
      <c r="K441" s="29" t="s">
        <v>192</v>
      </c>
      <c r="L441" s="29" t="s">
        <v>29</v>
      </c>
      <c r="M441" s="29" t="n">
        <v>1209</v>
      </c>
      <c r="N441" s="29" t="n">
        <v>1209</v>
      </c>
      <c r="O441" s="29"/>
      <c r="P441" s="30" t="n">
        <f aca="false">(M441*N441/1000000)*(INDEX(AreaRate_Vals,MATCH(C441,AreaRate_Keys,0))+IFERROR(INDEX(GlazingUpg_Vals,MATCH(H441,GlazingUpg_Keys,0)),0))+INDEX(Hardware_Vals,MATCH("Windows",Hardware_Keys,0))</f>
        <v>4123.45465</v>
      </c>
      <c r="Q441" s="31" t="n">
        <f aca="false">INDEX(Markup_Vals,MATCH("Windows",MarkupCat_Keys,0))</f>
        <v>0.42</v>
      </c>
      <c r="R441" s="32" t="n">
        <f aca="false">P441*(1+Q441)</f>
        <v>5855.305603</v>
      </c>
      <c r="S441" s="32" t="n">
        <f aca="false">R441*(1-TradeDiscount)</f>
        <v>5152.66893064</v>
      </c>
      <c r="T441" s="32" t="n">
        <f aca="false">R441*(1-VolumeDiscount)</f>
        <v>4684.2444824</v>
      </c>
    </row>
    <row r="442" customFormat="false" ht="15" hidden="false" customHeight="false" outlineLevel="0" collapsed="false">
      <c r="A442" s="25" t="s">
        <v>1091</v>
      </c>
      <c r="B442" s="25" t="s">
        <v>96</v>
      </c>
      <c r="C442" s="25" t="s">
        <v>42</v>
      </c>
      <c r="D442" s="25" t="s">
        <v>1092</v>
      </c>
      <c r="E442" s="25" t="s">
        <v>1012</v>
      </c>
      <c r="F442" s="25" t="s">
        <v>769</v>
      </c>
      <c r="G442" s="25" t="s">
        <v>35</v>
      </c>
      <c r="H442" s="25" t="s">
        <v>63</v>
      </c>
      <c r="I442" s="25" t="s">
        <v>190</v>
      </c>
      <c r="J442" s="25" t="s">
        <v>685</v>
      </c>
      <c r="K442" s="25" t="s">
        <v>192</v>
      </c>
      <c r="L442" s="25" t="s">
        <v>29</v>
      </c>
      <c r="M442" s="25" t="n">
        <v>1209</v>
      </c>
      <c r="N442" s="25" t="n">
        <v>1509</v>
      </c>
      <c r="O442" s="25"/>
      <c r="P442" s="26" t="n">
        <f aca="false">(M442*N442/1000000)*(INDEX(AreaRate_Vals,MATCH(C442,AreaRate_Keys,0))+IFERROR(INDEX(GlazingUpg_Vals,MATCH(H442,GlazingUpg_Keys,0)),0))+INDEX(Hardware_Vals,MATCH("Windows",Hardware_Keys,0))</f>
        <v>4081.2001</v>
      </c>
      <c r="Q442" s="27" t="n">
        <f aca="false">INDEX(Markup_Vals,MATCH("Windows",MarkupCat_Keys,0))</f>
        <v>0.42</v>
      </c>
      <c r="R442" s="28" t="n">
        <f aca="false">P442*(1+Q442)</f>
        <v>5795.304142</v>
      </c>
      <c r="S442" s="28" t="n">
        <f aca="false">R442*(1-TradeDiscount)</f>
        <v>5099.86764496</v>
      </c>
      <c r="T442" s="28" t="n">
        <f aca="false">R442*(1-VolumeDiscount)</f>
        <v>4636.2433136</v>
      </c>
    </row>
    <row r="443" customFormat="false" ht="15" hidden="false" customHeight="false" outlineLevel="0" collapsed="false">
      <c r="A443" s="29" t="s">
        <v>1093</v>
      </c>
      <c r="B443" s="29" t="s">
        <v>96</v>
      </c>
      <c r="C443" s="29" t="s">
        <v>42</v>
      </c>
      <c r="D443" s="29" t="s">
        <v>1094</v>
      </c>
      <c r="E443" s="29" t="s">
        <v>1012</v>
      </c>
      <c r="F443" s="29" t="s">
        <v>769</v>
      </c>
      <c r="G443" s="29" t="s">
        <v>36</v>
      </c>
      <c r="H443" s="29" t="s">
        <v>63</v>
      </c>
      <c r="I443" s="29" t="s">
        <v>190</v>
      </c>
      <c r="J443" s="29" t="s">
        <v>685</v>
      </c>
      <c r="K443" s="29" t="s">
        <v>192</v>
      </c>
      <c r="L443" s="29" t="s">
        <v>29</v>
      </c>
      <c r="M443" s="29" t="n">
        <v>1209</v>
      </c>
      <c r="N443" s="29" t="n">
        <v>1509</v>
      </c>
      <c r="O443" s="29"/>
      <c r="P443" s="30" t="n">
        <f aca="false">(M443*N443/1000000)*(INDEX(AreaRate_Vals,MATCH(C443,AreaRate_Keys,0))+IFERROR(INDEX(GlazingUpg_Vals,MATCH(H443,GlazingUpg_Keys,0)),0))+INDEX(Hardware_Vals,MATCH("Windows",Hardware_Keys,0))</f>
        <v>4081.2001</v>
      </c>
      <c r="Q443" s="31" t="n">
        <f aca="false">INDEX(Markup_Vals,MATCH("Windows",MarkupCat_Keys,0))</f>
        <v>0.42</v>
      </c>
      <c r="R443" s="32" t="n">
        <f aca="false">P443*(1+Q443)</f>
        <v>5795.304142</v>
      </c>
      <c r="S443" s="32" t="n">
        <f aca="false">R443*(1-TradeDiscount)</f>
        <v>5099.86764496</v>
      </c>
      <c r="T443" s="32" t="n">
        <f aca="false">R443*(1-VolumeDiscount)</f>
        <v>4636.2433136</v>
      </c>
    </row>
    <row r="444" customFormat="false" ht="15" hidden="false" customHeight="false" outlineLevel="0" collapsed="false">
      <c r="A444" s="25" t="s">
        <v>1095</v>
      </c>
      <c r="B444" s="25" t="s">
        <v>96</v>
      </c>
      <c r="C444" s="25" t="s">
        <v>42</v>
      </c>
      <c r="D444" s="25" t="s">
        <v>1096</v>
      </c>
      <c r="E444" s="25" t="s">
        <v>1012</v>
      </c>
      <c r="F444" s="25" t="s">
        <v>769</v>
      </c>
      <c r="G444" s="25" t="s">
        <v>37</v>
      </c>
      <c r="H444" s="25" t="s">
        <v>63</v>
      </c>
      <c r="I444" s="25" t="s">
        <v>190</v>
      </c>
      <c r="J444" s="25" t="s">
        <v>685</v>
      </c>
      <c r="K444" s="25" t="s">
        <v>192</v>
      </c>
      <c r="L444" s="25" t="s">
        <v>29</v>
      </c>
      <c r="M444" s="25" t="n">
        <v>1209</v>
      </c>
      <c r="N444" s="25" t="n">
        <v>1509</v>
      </c>
      <c r="O444" s="25"/>
      <c r="P444" s="26" t="n">
        <f aca="false">(M444*N444/1000000)*(INDEX(AreaRate_Vals,MATCH(C444,AreaRate_Keys,0))+IFERROR(INDEX(GlazingUpg_Vals,MATCH(H444,GlazingUpg_Keys,0)),0))+INDEX(Hardware_Vals,MATCH("Windows",Hardware_Keys,0))</f>
        <v>4081.2001</v>
      </c>
      <c r="Q444" s="27" t="n">
        <f aca="false">INDEX(Markup_Vals,MATCH("Windows",MarkupCat_Keys,0))</f>
        <v>0.42</v>
      </c>
      <c r="R444" s="28" t="n">
        <f aca="false">P444*(1+Q444)</f>
        <v>5795.304142</v>
      </c>
      <c r="S444" s="28" t="n">
        <f aca="false">R444*(1-TradeDiscount)</f>
        <v>5099.86764496</v>
      </c>
      <c r="T444" s="28" t="n">
        <f aca="false">R444*(1-VolumeDiscount)</f>
        <v>4636.2433136</v>
      </c>
    </row>
    <row r="445" customFormat="false" ht="15" hidden="false" customHeight="false" outlineLevel="0" collapsed="false">
      <c r="A445" s="29" t="s">
        <v>1097</v>
      </c>
      <c r="B445" s="29" t="s">
        <v>96</v>
      </c>
      <c r="C445" s="29" t="s">
        <v>42</v>
      </c>
      <c r="D445" s="29" t="s">
        <v>1098</v>
      </c>
      <c r="E445" s="29" t="s">
        <v>1012</v>
      </c>
      <c r="F445" s="29" t="s">
        <v>769</v>
      </c>
      <c r="G445" s="29" t="s">
        <v>39</v>
      </c>
      <c r="H445" s="29" t="s">
        <v>63</v>
      </c>
      <c r="I445" s="29" t="s">
        <v>190</v>
      </c>
      <c r="J445" s="29" t="s">
        <v>685</v>
      </c>
      <c r="K445" s="29" t="s">
        <v>192</v>
      </c>
      <c r="L445" s="29" t="s">
        <v>29</v>
      </c>
      <c r="M445" s="29" t="n">
        <v>1209</v>
      </c>
      <c r="N445" s="29" t="n">
        <v>1509</v>
      </c>
      <c r="O445" s="29"/>
      <c r="P445" s="30" t="n">
        <f aca="false">(M445*N445/1000000)*(INDEX(AreaRate_Vals,MATCH(C445,AreaRate_Keys,0))+IFERROR(INDEX(GlazingUpg_Vals,MATCH(H445,GlazingUpg_Keys,0)),0))+INDEX(Hardware_Vals,MATCH("Windows",Hardware_Keys,0))</f>
        <v>4081.2001</v>
      </c>
      <c r="Q445" s="31" t="n">
        <f aca="false">INDEX(Markup_Vals,MATCH("Windows",MarkupCat_Keys,0))</f>
        <v>0.42</v>
      </c>
      <c r="R445" s="32" t="n">
        <f aca="false">P445*(1+Q445)</f>
        <v>5795.304142</v>
      </c>
      <c r="S445" s="32" t="n">
        <f aca="false">R445*(1-TradeDiscount)</f>
        <v>5099.86764496</v>
      </c>
      <c r="T445" s="32" t="n">
        <f aca="false">R445*(1-VolumeDiscount)</f>
        <v>4636.2433136</v>
      </c>
    </row>
    <row r="446" customFormat="false" ht="15" hidden="false" customHeight="false" outlineLevel="0" collapsed="false">
      <c r="A446" s="25" t="s">
        <v>1099</v>
      </c>
      <c r="B446" s="25" t="s">
        <v>96</v>
      </c>
      <c r="C446" s="25" t="s">
        <v>42</v>
      </c>
      <c r="D446" s="25" t="s">
        <v>1100</v>
      </c>
      <c r="E446" s="25" t="s">
        <v>1012</v>
      </c>
      <c r="F446" s="25" t="s">
        <v>769</v>
      </c>
      <c r="G446" s="25" t="s">
        <v>38</v>
      </c>
      <c r="H446" s="25" t="s">
        <v>63</v>
      </c>
      <c r="I446" s="25" t="s">
        <v>190</v>
      </c>
      <c r="J446" s="25" t="s">
        <v>685</v>
      </c>
      <c r="K446" s="25" t="s">
        <v>192</v>
      </c>
      <c r="L446" s="25" t="s">
        <v>29</v>
      </c>
      <c r="M446" s="25" t="n">
        <v>1209</v>
      </c>
      <c r="N446" s="25" t="n">
        <v>1509</v>
      </c>
      <c r="O446" s="25"/>
      <c r="P446" s="26" t="n">
        <f aca="false">(M446*N446/1000000)*(INDEX(AreaRate_Vals,MATCH(C446,AreaRate_Keys,0))+IFERROR(INDEX(GlazingUpg_Vals,MATCH(H446,GlazingUpg_Keys,0)),0))+INDEX(Hardware_Vals,MATCH("Windows",Hardware_Keys,0))</f>
        <v>4081.2001</v>
      </c>
      <c r="Q446" s="27" t="n">
        <f aca="false">INDEX(Markup_Vals,MATCH("Windows",MarkupCat_Keys,0))</f>
        <v>0.42</v>
      </c>
      <c r="R446" s="28" t="n">
        <f aca="false">P446*(1+Q446)</f>
        <v>5795.304142</v>
      </c>
      <c r="S446" s="28" t="n">
        <f aca="false">R446*(1-TradeDiscount)</f>
        <v>5099.86764496</v>
      </c>
      <c r="T446" s="28" t="n">
        <f aca="false">R446*(1-VolumeDiscount)</f>
        <v>4636.2433136</v>
      </c>
    </row>
    <row r="447" customFormat="false" ht="15" hidden="false" customHeight="false" outlineLevel="0" collapsed="false">
      <c r="A447" s="29" t="s">
        <v>1101</v>
      </c>
      <c r="B447" s="29" t="s">
        <v>96</v>
      </c>
      <c r="C447" s="29" t="s">
        <v>42</v>
      </c>
      <c r="D447" s="29" t="s">
        <v>1102</v>
      </c>
      <c r="E447" s="29" t="s">
        <v>1012</v>
      </c>
      <c r="F447" s="29" t="s">
        <v>769</v>
      </c>
      <c r="G447" s="29" t="s">
        <v>35</v>
      </c>
      <c r="H447" s="29" t="s">
        <v>64</v>
      </c>
      <c r="I447" s="29" t="s">
        <v>190</v>
      </c>
      <c r="J447" s="29" t="s">
        <v>685</v>
      </c>
      <c r="K447" s="29" t="s">
        <v>192</v>
      </c>
      <c r="L447" s="29" t="s">
        <v>29</v>
      </c>
      <c r="M447" s="29" t="n">
        <v>1209</v>
      </c>
      <c r="N447" s="29" t="n">
        <v>1509</v>
      </c>
      <c r="O447" s="29"/>
      <c r="P447" s="30" t="n">
        <f aca="false">(M447*N447/1000000)*(INDEX(AreaRate_Vals,MATCH(C447,AreaRate_Keys,0))+IFERROR(INDEX(GlazingUpg_Vals,MATCH(H447,GlazingUpg_Keys,0)),0))+INDEX(Hardware_Vals,MATCH("Windows",Hardware_Keys,0))</f>
        <v>5084.60965</v>
      </c>
      <c r="Q447" s="31" t="n">
        <f aca="false">INDEX(Markup_Vals,MATCH("Windows",MarkupCat_Keys,0))</f>
        <v>0.42</v>
      </c>
      <c r="R447" s="32" t="n">
        <f aca="false">P447*(1+Q447)</f>
        <v>7220.145703</v>
      </c>
      <c r="S447" s="32" t="n">
        <f aca="false">R447*(1-TradeDiscount)</f>
        <v>6353.72821864</v>
      </c>
      <c r="T447" s="32" t="n">
        <f aca="false">R447*(1-VolumeDiscount)</f>
        <v>5776.1165624</v>
      </c>
    </row>
    <row r="448" customFormat="false" ht="15" hidden="false" customHeight="false" outlineLevel="0" collapsed="false">
      <c r="A448" s="25" t="s">
        <v>1103</v>
      </c>
      <c r="B448" s="25" t="s">
        <v>96</v>
      </c>
      <c r="C448" s="25" t="s">
        <v>42</v>
      </c>
      <c r="D448" s="25" t="s">
        <v>1104</v>
      </c>
      <c r="E448" s="25" t="s">
        <v>1012</v>
      </c>
      <c r="F448" s="25" t="s">
        <v>769</v>
      </c>
      <c r="G448" s="25" t="s">
        <v>36</v>
      </c>
      <c r="H448" s="25" t="s">
        <v>64</v>
      </c>
      <c r="I448" s="25" t="s">
        <v>190</v>
      </c>
      <c r="J448" s="25" t="s">
        <v>685</v>
      </c>
      <c r="K448" s="25" t="s">
        <v>192</v>
      </c>
      <c r="L448" s="25" t="s">
        <v>29</v>
      </c>
      <c r="M448" s="25" t="n">
        <v>1209</v>
      </c>
      <c r="N448" s="25" t="n">
        <v>1509</v>
      </c>
      <c r="O448" s="25"/>
      <c r="P448" s="26" t="n">
        <f aca="false">(M448*N448/1000000)*(INDEX(AreaRate_Vals,MATCH(C448,AreaRate_Keys,0))+IFERROR(INDEX(GlazingUpg_Vals,MATCH(H448,GlazingUpg_Keys,0)),0))+INDEX(Hardware_Vals,MATCH("Windows",Hardware_Keys,0))</f>
        <v>5084.60965</v>
      </c>
      <c r="Q448" s="27" t="n">
        <f aca="false">INDEX(Markup_Vals,MATCH("Windows",MarkupCat_Keys,0))</f>
        <v>0.42</v>
      </c>
      <c r="R448" s="28" t="n">
        <f aca="false">P448*(1+Q448)</f>
        <v>7220.145703</v>
      </c>
      <c r="S448" s="28" t="n">
        <f aca="false">R448*(1-TradeDiscount)</f>
        <v>6353.72821864</v>
      </c>
      <c r="T448" s="28" t="n">
        <f aca="false">R448*(1-VolumeDiscount)</f>
        <v>5776.1165624</v>
      </c>
    </row>
    <row r="449" customFormat="false" ht="15" hidden="false" customHeight="false" outlineLevel="0" collapsed="false">
      <c r="A449" s="29" t="s">
        <v>1105</v>
      </c>
      <c r="B449" s="29" t="s">
        <v>96</v>
      </c>
      <c r="C449" s="29" t="s">
        <v>42</v>
      </c>
      <c r="D449" s="29" t="s">
        <v>1106</v>
      </c>
      <c r="E449" s="29" t="s">
        <v>1012</v>
      </c>
      <c r="F449" s="29" t="s">
        <v>769</v>
      </c>
      <c r="G449" s="29" t="s">
        <v>37</v>
      </c>
      <c r="H449" s="29" t="s">
        <v>64</v>
      </c>
      <c r="I449" s="29" t="s">
        <v>190</v>
      </c>
      <c r="J449" s="29" t="s">
        <v>685</v>
      </c>
      <c r="K449" s="29" t="s">
        <v>192</v>
      </c>
      <c r="L449" s="29" t="s">
        <v>29</v>
      </c>
      <c r="M449" s="29" t="n">
        <v>1209</v>
      </c>
      <c r="N449" s="29" t="n">
        <v>1509</v>
      </c>
      <c r="O449" s="29"/>
      <c r="P449" s="30" t="n">
        <f aca="false">(M449*N449/1000000)*(INDEX(AreaRate_Vals,MATCH(C449,AreaRate_Keys,0))+IFERROR(INDEX(GlazingUpg_Vals,MATCH(H449,GlazingUpg_Keys,0)),0))+INDEX(Hardware_Vals,MATCH("Windows",Hardware_Keys,0))</f>
        <v>5084.60965</v>
      </c>
      <c r="Q449" s="31" t="n">
        <f aca="false">INDEX(Markup_Vals,MATCH("Windows",MarkupCat_Keys,0))</f>
        <v>0.42</v>
      </c>
      <c r="R449" s="32" t="n">
        <f aca="false">P449*(1+Q449)</f>
        <v>7220.145703</v>
      </c>
      <c r="S449" s="32" t="n">
        <f aca="false">R449*(1-TradeDiscount)</f>
        <v>6353.72821864</v>
      </c>
      <c r="T449" s="32" t="n">
        <f aca="false">R449*(1-VolumeDiscount)</f>
        <v>5776.1165624</v>
      </c>
    </row>
    <row r="450" customFormat="false" ht="15" hidden="false" customHeight="false" outlineLevel="0" collapsed="false">
      <c r="A450" s="25" t="s">
        <v>1107</v>
      </c>
      <c r="B450" s="25" t="s">
        <v>96</v>
      </c>
      <c r="C450" s="25" t="s">
        <v>42</v>
      </c>
      <c r="D450" s="25" t="s">
        <v>1108</v>
      </c>
      <c r="E450" s="25" t="s">
        <v>1012</v>
      </c>
      <c r="F450" s="25" t="s">
        <v>769</v>
      </c>
      <c r="G450" s="25" t="s">
        <v>39</v>
      </c>
      <c r="H450" s="25" t="s">
        <v>64</v>
      </c>
      <c r="I450" s="25" t="s">
        <v>190</v>
      </c>
      <c r="J450" s="25" t="s">
        <v>685</v>
      </c>
      <c r="K450" s="25" t="s">
        <v>192</v>
      </c>
      <c r="L450" s="25" t="s">
        <v>29</v>
      </c>
      <c r="M450" s="25" t="n">
        <v>1209</v>
      </c>
      <c r="N450" s="25" t="n">
        <v>1509</v>
      </c>
      <c r="O450" s="25"/>
      <c r="P450" s="26" t="n">
        <f aca="false">(M450*N450/1000000)*(INDEX(AreaRate_Vals,MATCH(C450,AreaRate_Keys,0))+IFERROR(INDEX(GlazingUpg_Vals,MATCH(H450,GlazingUpg_Keys,0)),0))+INDEX(Hardware_Vals,MATCH("Windows",Hardware_Keys,0))</f>
        <v>5084.60965</v>
      </c>
      <c r="Q450" s="27" t="n">
        <f aca="false">INDEX(Markup_Vals,MATCH("Windows",MarkupCat_Keys,0))</f>
        <v>0.42</v>
      </c>
      <c r="R450" s="28" t="n">
        <f aca="false">P450*(1+Q450)</f>
        <v>7220.145703</v>
      </c>
      <c r="S450" s="28" t="n">
        <f aca="false">R450*(1-TradeDiscount)</f>
        <v>6353.72821864</v>
      </c>
      <c r="T450" s="28" t="n">
        <f aca="false">R450*(1-VolumeDiscount)</f>
        <v>5776.1165624</v>
      </c>
    </row>
    <row r="451" customFormat="false" ht="15" hidden="false" customHeight="false" outlineLevel="0" collapsed="false">
      <c r="A451" s="29" t="s">
        <v>1109</v>
      </c>
      <c r="B451" s="29" t="s">
        <v>96</v>
      </c>
      <c r="C451" s="29" t="s">
        <v>42</v>
      </c>
      <c r="D451" s="29" t="s">
        <v>1110</v>
      </c>
      <c r="E451" s="29" t="s">
        <v>1012</v>
      </c>
      <c r="F451" s="29" t="s">
        <v>769</v>
      </c>
      <c r="G451" s="29" t="s">
        <v>38</v>
      </c>
      <c r="H451" s="29" t="s">
        <v>64</v>
      </c>
      <c r="I451" s="29" t="s">
        <v>190</v>
      </c>
      <c r="J451" s="29" t="s">
        <v>685</v>
      </c>
      <c r="K451" s="29" t="s">
        <v>192</v>
      </c>
      <c r="L451" s="29" t="s">
        <v>29</v>
      </c>
      <c r="M451" s="29" t="n">
        <v>1209</v>
      </c>
      <c r="N451" s="29" t="n">
        <v>1509</v>
      </c>
      <c r="O451" s="29"/>
      <c r="P451" s="30" t="n">
        <f aca="false">(M451*N451/1000000)*(INDEX(AreaRate_Vals,MATCH(C451,AreaRate_Keys,0))+IFERROR(INDEX(GlazingUpg_Vals,MATCH(H451,GlazingUpg_Keys,0)),0))+INDEX(Hardware_Vals,MATCH("Windows",Hardware_Keys,0))</f>
        <v>5084.60965</v>
      </c>
      <c r="Q451" s="31" t="n">
        <f aca="false">INDEX(Markup_Vals,MATCH("Windows",MarkupCat_Keys,0))</f>
        <v>0.42</v>
      </c>
      <c r="R451" s="32" t="n">
        <f aca="false">P451*(1+Q451)</f>
        <v>7220.145703</v>
      </c>
      <c r="S451" s="32" t="n">
        <f aca="false">R451*(1-TradeDiscount)</f>
        <v>6353.72821864</v>
      </c>
      <c r="T451" s="32" t="n">
        <f aca="false">R451*(1-VolumeDiscount)</f>
        <v>5776.1165624</v>
      </c>
    </row>
    <row r="452" customFormat="false" ht="15" hidden="false" customHeight="false" outlineLevel="0" collapsed="false">
      <c r="A452" s="25" t="s">
        <v>1111</v>
      </c>
      <c r="B452" s="25" t="s">
        <v>96</v>
      </c>
      <c r="C452" s="25" t="s">
        <v>42</v>
      </c>
      <c r="D452" s="25" t="s">
        <v>1112</v>
      </c>
      <c r="E452" s="25" t="s">
        <v>1012</v>
      </c>
      <c r="F452" s="25" t="s">
        <v>276</v>
      </c>
      <c r="G452" s="25" t="s">
        <v>35</v>
      </c>
      <c r="H452" s="25" t="s">
        <v>63</v>
      </c>
      <c r="I452" s="25" t="s">
        <v>190</v>
      </c>
      <c r="J452" s="25" t="s">
        <v>685</v>
      </c>
      <c r="K452" s="25" t="s">
        <v>298</v>
      </c>
      <c r="L452" s="25" t="s">
        <v>29</v>
      </c>
      <c r="M452" s="25" t="n">
        <v>1809</v>
      </c>
      <c r="N452" s="25" t="n">
        <v>1209</v>
      </c>
      <c r="O452" s="25"/>
      <c r="P452" s="26" t="n">
        <f aca="false">(M452*N452/1000000)*(INDEX(AreaRate_Vals,MATCH(C452,AreaRate_Keys,0))+IFERROR(INDEX(GlazingUpg_Vals,MATCH(H452,GlazingUpg_Keys,0)),0))+INDEX(Hardware_Vals,MATCH("Windows",Hardware_Keys,0))</f>
        <v>4842.8701</v>
      </c>
      <c r="Q452" s="27" t="n">
        <f aca="false">INDEX(Markup_Vals,MATCH("Windows",MarkupCat_Keys,0))</f>
        <v>0.42</v>
      </c>
      <c r="R452" s="28" t="n">
        <f aca="false">P452*(1+Q452)</f>
        <v>6876.875542</v>
      </c>
      <c r="S452" s="28" t="n">
        <f aca="false">R452*(1-TradeDiscount)</f>
        <v>6051.65047696</v>
      </c>
      <c r="T452" s="28" t="n">
        <f aca="false">R452*(1-VolumeDiscount)</f>
        <v>5501.5004336</v>
      </c>
    </row>
    <row r="453" customFormat="false" ht="15" hidden="false" customHeight="false" outlineLevel="0" collapsed="false">
      <c r="A453" s="29" t="s">
        <v>1113</v>
      </c>
      <c r="B453" s="29" t="s">
        <v>96</v>
      </c>
      <c r="C453" s="29" t="s">
        <v>42</v>
      </c>
      <c r="D453" s="29" t="s">
        <v>1114</v>
      </c>
      <c r="E453" s="29" t="s">
        <v>1012</v>
      </c>
      <c r="F453" s="29" t="s">
        <v>276</v>
      </c>
      <c r="G453" s="29" t="s">
        <v>36</v>
      </c>
      <c r="H453" s="29" t="s">
        <v>63</v>
      </c>
      <c r="I453" s="29" t="s">
        <v>190</v>
      </c>
      <c r="J453" s="29" t="s">
        <v>685</v>
      </c>
      <c r="K453" s="29" t="s">
        <v>298</v>
      </c>
      <c r="L453" s="29" t="s">
        <v>29</v>
      </c>
      <c r="M453" s="29" t="n">
        <v>1809</v>
      </c>
      <c r="N453" s="29" t="n">
        <v>1209</v>
      </c>
      <c r="O453" s="29"/>
      <c r="P453" s="30" t="n">
        <f aca="false">(M453*N453/1000000)*(INDEX(AreaRate_Vals,MATCH(C453,AreaRate_Keys,0))+IFERROR(INDEX(GlazingUpg_Vals,MATCH(H453,GlazingUpg_Keys,0)),0))+INDEX(Hardware_Vals,MATCH("Windows",Hardware_Keys,0))</f>
        <v>4842.8701</v>
      </c>
      <c r="Q453" s="31" t="n">
        <f aca="false">INDEX(Markup_Vals,MATCH("Windows",MarkupCat_Keys,0))</f>
        <v>0.42</v>
      </c>
      <c r="R453" s="32" t="n">
        <f aca="false">P453*(1+Q453)</f>
        <v>6876.875542</v>
      </c>
      <c r="S453" s="32" t="n">
        <f aca="false">R453*(1-TradeDiscount)</f>
        <v>6051.65047696</v>
      </c>
      <c r="T453" s="32" t="n">
        <f aca="false">R453*(1-VolumeDiscount)</f>
        <v>5501.5004336</v>
      </c>
    </row>
    <row r="454" customFormat="false" ht="15" hidden="false" customHeight="false" outlineLevel="0" collapsed="false">
      <c r="A454" s="25" t="s">
        <v>1115</v>
      </c>
      <c r="B454" s="25" t="s">
        <v>96</v>
      </c>
      <c r="C454" s="25" t="s">
        <v>42</v>
      </c>
      <c r="D454" s="25" t="s">
        <v>1116</v>
      </c>
      <c r="E454" s="25" t="s">
        <v>1012</v>
      </c>
      <c r="F454" s="25" t="s">
        <v>276</v>
      </c>
      <c r="G454" s="25" t="s">
        <v>37</v>
      </c>
      <c r="H454" s="25" t="s">
        <v>63</v>
      </c>
      <c r="I454" s="25" t="s">
        <v>190</v>
      </c>
      <c r="J454" s="25" t="s">
        <v>685</v>
      </c>
      <c r="K454" s="25" t="s">
        <v>298</v>
      </c>
      <c r="L454" s="25" t="s">
        <v>29</v>
      </c>
      <c r="M454" s="25" t="n">
        <v>1809</v>
      </c>
      <c r="N454" s="25" t="n">
        <v>1209</v>
      </c>
      <c r="O454" s="25"/>
      <c r="P454" s="26" t="n">
        <f aca="false">(M454*N454/1000000)*(INDEX(AreaRate_Vals,MATCH(C454,AreaRate_Keys,0))+IFERROR(INDEX(GlazingUpg_Vals,MATCH(H454,GlazingUpg_Keys,0)),0))+INDEX(Hardware_Vals,MATCH("Windows",Hardware_Keys,0))</f>
        <v>4842.8701</v>
      </c>
      <c r="Q454" s="27" t="n">
        <f aca="false">INDEX(Markup_Vals,MATCH("Windows",MarkupCat_Keys,0))</f>
        <v>0.42</v>
      </c>
      <c r="R454" s="28" t="n">
        <f aca="false">P454*(1+Q454)</f>
        <v>6876.875542</v>
      </c>
      <c r="S454" s="28" t="n">
        <f aca="false">R454*(1-TradeDiscount)</f>
        <v>6051.65047696</v>
      </c>
      <c r="T454" s="28" t="n">
        <f aca="false">R454*(1-VolumeDiscount)</f>
        <v>5501.5004336</v>
      </c>
    </row>
    <row r="455" customFormat="false" ht="15" hidden="false" customHeight="false" outlineLevel="0" collapsed="false">
      <c r="A455" s="29" t="s">
        <v>1117</v>
      </c>
      <c r="B455" s="29" t="s">
        <v>96</v>
      </c>
      <c r="C455" s="29" t="s">
        <v>42</v>
      </c>
      <c r="D455" s="29" t="s">
        <v>1118</v>
      </c>
      <c r="E455" s="29" t="s">
        <v>1012</v>
      </c>
      <c r="F455" s="29" t="s">
        <v>276</v>
      </c>
      <c r="G455" s="29" t="s">
        <v>39</v>
      </c>
      <c r="H455" s="29" t="s">
        <v>63</v>
      </c>
      <c r="I455" s="29" t="s">
        <v>190</v>
      </c>
      <c r="J455" s="29" t="s">
        <v>685</v>
      </c>
      <c r="K455" s="29" t="s">
        <v>298</v>
      </c>
      <c r="L455" s="29" t="s">
        <v>29</v>
      </c>
      <c r="M455" s="29" t="n">
        <v>1809</v>
      </c>
      <c r="N455" s="29" t="n">
        <v>1209</v>
      </c>
      <c r="O455" s="29"/>
      <c r="P455" s="30" t="n">
        <f aca="false">(M455*N455/1000000)*(INDEX(AreaRate_Vals,MATCH(C455,AreaRate_Keys,0))+IFERROR(INDEX(GlazingUpg_Vals,MATCH(H455,GlazingUpg_Keys,0)),0))+INDEX(Hardware_Vals,MATCH("Windows",Hardware_Keys,0))</f>
        <v>4842.8701</v>
      </c>
      <c r="Q455" s="31" t="n">
        <f aca="false">INDEX(Markup_Vals,MATCH("Windows",MarkupCat_Keys,0))</f>
        <v>0.42</v>
      </c>
      <c r="R455" s="32" t="n">
        <f aca="false">P455*(1+Q455)</f>
        <v>6876.875542</v>
      </c>
      <c r="S455" s="32" t="n">
        <f aca="false">R455*(1-TradeDiscount)</f>
        <v>6051.65047696</v>
      </c>
      <c r="T455" s="32" t="n">
        <f aca="false">R455*(1-VolumeDiscount)</f>
        <v>5501.5004336</v>
      </c>
    </row>
    <row r="456" customFormat="false" ht="15" hidden="false" customHeight="false" outlineLevel="0" collapsed="false">
      <c r="A456" s="25" t="s">
        <v>1119</v>
      </c>
      <c r="B456" s="25" t="s">
        <v>96</v>
      </c>
      <c r="C456" s="25" t="s">
        <v>42</v>
      </c>
      <c r="D456" s="25" t="s">
        <v>1120</v>
      </c>
      <c r="E456" s="25" t="s">
        <v>1012</v>
      </c>
      <c r="F456" s="25" t="s">
        <v>276</v>
      </c>
      <c r="G456" s="25" t="s">
        <v>38</v>
      </c>
      <c r="H456" s="25" t="s">
        <v>63</v>
      </c>
      <c r="I456" s="25" t="s">
        <v>190</v>
      </c>
      <c r="J456" s="25" t="s">
        <v>685</v>
      </c>
      <c r="K456" s="25" t="s">
        <v>298</v>
      </c>
      <c r="L456" s="25" t="s">
        <v>29</v>
      </c>
      <c r="M456" s="25" t="n">
        <v>1809</v>
      </c>
      <c r="N456" s="25" t="n">
        <v>1209</v>
      </c>
      <c r="O456" s="25"/>
      <c r="P456" s="26" t="n">
        <f aca="false">(M456*N456/1000000)*(INDEX(AreaRate_Vals,MATCH(C456,AreaRate_Keys,0))+IFERROR(INDEX(GlazingUpg_Vals,MATCH(H456,GlazingUpg_Keys,0)),0))+INDEX(Hardware_Vals,MATCH("Windows",Hardware_Keys,0))</f>
        <v>4842.8701</v>
      </c>
      <c r="Q456" s="27" t="n">
        <f aca="false">INDEX(Markup_Vals,MATCH("Windows",MarkupCat_Keys,0))</f>
        <v>0.42</v>
      </c>
      <c r="R456" s="28" t="n">
        <f aca="false">P456*(1+Q456)</f>
        <v>6876.875542</v>
      </c>
      <c r="S456" s="28" t="n">
        <f aca="false">R456*(1-TradeDiscount)</f>
        <v>6051.65047696</v>
      </c>
      <c r="T456" s="28" t="n">
        <f aca="false">R456*(1-VolumeDiscount)</f>
        <v>5501.5004336</v>
      </c>
    </row>
    <row r="457" customFormat="false" ht="15" hidden="false" customHeight="false" outlineLevel="0" collapsed="false">
      <c r="A457" s="29" t="s">
        <v>1121</v>
      </c>
      <c r="B457" s="29" t="s">
        <v>96</v>
      </c>
      <c r="C457" s="29" t="s">
        <v>42</v>
      </c>
      <c r="D457" s="29" t="s">
        <v>1122</v>
      </c>
      <c r="E457" s="29" t="s">
        <v>1012</v>
      </c>
      <c r="F457" s="29" t="s">
        <v>276</v>
      </c>
      <c r="G457" s="29" t="s">
        <v>35</v>
      </c>
      <c r="H457" s="29" t="s">
        <v>64</v>
      </c>
      <c r="I457" s="29" t="s">
        <v>190</v>
      </c>
      <c r="J457" s="29" t="s">
        <v>685</v>
      </c>
      <c r="K457" s="29" t="s">
        <v>298</v>
      </c>
      <c r="L457" s="29" t="s">
        <v>29</v>
      </c>
      <c r="M457" s="29" t="n">
        <v>1809</v>
      </c>
      <c r="N457" s="29" t="n">
        <v>1209</v>
      </c>
      <c r="O457" s="29"/>
      <c r="P457" s="30" t="n">
        <f aca="false">(M457*N457/1000000)*(INDEX(AreaRate_Vals,MATCH(C457,AreaRate_Keys,0))+IFERROR(INDEX(GlazingUpg_Vals,MATCH(H457,GlazingUpg_Keys,0)),0))+INDEX(Hardware_Vals,MATCH("Windows",Hardware_Keys,0))</f>
        <v>6045.76465</v>
      </c>
      <c r="Q457" s="31" t="n">
        <f aca="false">INDEX(Markup_Vals,MATCH("Windows",MarkupCat_Keys,0))</f>
        <v>0.42</v>
      </c>
      <c r="R457" s="32" t="n">
        <f aca="false">P457*(1+Q457)</f>
        <v>8584.985803</v>
      </c>
      <c r="S457" s="32" t="n">
        <f aca="false">R457*(1-TradeDiscount)</f>
        <v>7554.78750664</v>
      </c>
      <c r="T457" s="32" t="n">
        <f aca="false">R457*(1-VolumeDiscount)</f>
        <v>6867.9886424</v>
      </c>
    </row>
    <row r="458" customFormat="false" ht="15" hidden="false" customHeight="false" outlineLevel="0" collapsed="false">
      <c r="A458" s="25" t="s">
        <v>1123</v>
      </c>
      <c r="B458" s="25" t="s">
        <v>96</v>
      </c>
      <c r="C458" s="25" t="s">
        <v>42</v>
      </c>
      <c r="D458" s="25" t="s">
        <v>1124</v>
      </c>
      <c r="E458" s="25" t="s">
        <v>1012</v>
      </c>
      <c r="F458" s="25" t="s">
        <v>276</v>
      </c>
      <c r="G458" s="25" t="s">
        <v>36</v>
      </c>
      <c r="H458" s="25" t="s">
        <v>64</v>
      </c>
      <c r="I458" s="25" t="s">
        <v>190</v>
      </c>
      <c r="J458" s="25" t="s">
        <v>685</v>
      </c>
      <c r="K458" s="25" t="s">
        <v>298</v>
      </c>
      <c r="L458" s="25" t="s">
        <v>29</v>
      </c>
      <c r="M458" s="25" t="n">
        <v>1809</v>
      </c>
      <c r="N458" s="25" t="n">
        <v>1209</v>
      </c>
      <c r="O458" s="25"/>
      <c r="P458" s="26" t="n">
        <f aca="false">(M458*N458/1000000)*(INDEX(AreaRate_Vals,MATCH(C458,AreaRate_Keys,0))+IFERROR(INDEX(GlazingUpg_Vals,MATCH(H458,GlazingUpg_Keys,0)),0))+INDEX(Hardware_Vals,MATCH("Windows",Hardware_Keys,0))</f>
        <v>6045.76465</v>
      </c>
      <c r="Q458" s="27" t="n">
        <f aca="false">INDEX(Markup_Vals,MATCH("Windows",MarkupCat_Keys,0))</f>
        <v>0.42</v>
      </c>
      <c r="R458" s="28" t="n">
        <f aca="false">P458*(1+Q458)</f>
        <v>8584.985803</v>
      </c>
      <c r="S458" s="28" t="n">
        <f aca="false">R458*(1-TradeDiscount)</f>
        <v>7554.78750664</v>
      </c>
      <c r="T458" s="28" t="n">
        <f aca="false">R458*(1-VolumeDiscount)</f>
        <v>6867.9886424</v>
      </c>
    </row>
    <row r="459" customFormat="false" ht="15" hidden="false" customHeight="false" outlineLevel="0" collapsed="false">
      <c r="A459" s="29" t="s">
        <v>1125</v>
      </c>
      <c r="B459" s="29" t="s">
        <v>96</v>
      </c>
      <c r="C459" s="29" t="s">
        <v>42</v>
      </c>
      <c r="D459" s="29" t="s">
        <v>1126</v>
      </c>
      <c r="E459" s="29" t="s">
        <v>1012</v>
      </c>
      <c r="F459" s="29" t="s">
        <v>276</v>
      </c>
      <c r="G459" s="29" t="s">
        <v>37</v>
      </c>
      <c r="H459" s="29" t="s">
        <v>64</v>
      </c>
      <c r="I459" s="29" t="s">
        <v>190</v>
      </c>
      <c r="J459" s="29" t="s">
        <v>685</v>
      </c>
      <c r="K459" s="29" t="s">
        <v>298</v>
      </c>
      <c r="L459" s="29" t="s">
        <v>29</v>
      </c>
      <c r="M459" s="29" t="n">
        <v>1809</v>
      </c>
      <c r="N459" s="29" t="n">
        <v>1209</v>
      </c>
      <c r="O459" s="29"/>
      <c r="P459" s="30" t="n">
        <f aca="false">(M459*N459/1000000)*(INDEX(AreaRate_Vals,MATCH(C459,AreaRate_Keys,0))+IFERROR(INDEX(GlazingUpg_Vals,MATCH(H459,GlazingUpg_Keys,0)),0))+INDEX(Hardware_Vals,MATCH("Windows",Hardware_Keys,0))</f>
        <v>6045.76465</v>
      </c>
      <c r="Q459" s="31" t="n">
        <f aca="false">INDEX(Markup_Vals,MATCH("Windows",MarkupCat_Keys,0))</f>
        <v>0.42</v>
      </c>
      <c r="R459" s="32" t="n">
        <f aca="false">P459*(1+Q459)</f>
        <v>8584.985803</v>
      </c>
      <c r="S459" s="32" t="n">
        <f aca="false">R459*(1-TradeDiscount)</f>
        <v>7554.78750664</v>
      </c>
      <c r="T459" s="32" t="n">
        <f aca="false">R459*(1-VolumeDiscount)</f>
        <v>6867.9886424</v>
      </c>
    </row>
    <row r="460" customFormat="false" ht="15" hidden="false" customHeight="false" outlineLevel="0" collapsed="false">
      <c r="A460" s="25" t="s">
        <v>1127</v>
      </c>
      <c r="B460" s="25" t="s">
        <v>96</v>
      </c>
      <c r="C460" s="25" t="s">
        <v>42</v>
      </c>
      <c r="D460" s="25" t="s">
        <v>1128</v>
      </c>
      <c r="E460" s="25" t="s">
        <v>1012</v>
      </c>
      <c r="F460" s="25" t="s">
        <v>276</v>
      </c>
      <c r="G460" s="25" t="s">
        <v>39</v>
      </c>
      <c r="H460" s="25" t="s">
        <v>64</v>
      </c>
      <c r="I460" s="25" t="s">
        <v>190</v>
      </c>
      <c r="J460" s="25" t="s">
        <v>685</v>
      </c>
      <c r="K460" s="25" t="s">
        <v>298</v>
      </c>
      <c r="L460" s="25" t="s">
        <v>29</v>
      </c>
      <c r="M460" s="25" t="n">
        <v>1809</v>
      </c>
      <c r="N460" s="25" t="n">
        <v>1209</v>
      </c>
      <c r="O460" s="25"/>
      <c r="P460" s="26" t="n">
        <f aca="false">(M460*N460/1000000)*(INDEX(AreaRate_Vals,MATCH(C460,AreaRate_Keys,0))+IFERROR(INDEX(GlazingUpg_Vals,MATCH(H460,GlazingUpg_Keys,0)),0))+INDEX(Hardware_Vals,MATCH("Windows",Hardware_Keys,0))</f>
        <v>6045.76465</v>
      </c>
      <c r="Q460" s="27" t="n">
        <f aca="false">INDEX(Markup_Vals,MATCH("Windows",MarkupCat_Keys,0))</f>
        <v>0.42</v>
      </c>
      <c r="R460" s="28" t="n">
        <f aca="false">P460*(1+Q460)</f>
        <v>8584.985803</v>
      </c>
      <c r="S460" s="28" t="n">
        <f aca="false">R460*(1-TradeDiscount)</f>
        <v>7554.78750664</v>
      </c>
      <c r="T460" s="28" t="n">
        <f aca="false">R460*(1-VolumeDiscount)</f>
        <v>6867.9886424</v>
      </c>
    </row>
    <row r="461" customFormat="false" ht="15" hidden="false" customHeight="false" outlineLevel="0" collapsed="false">
      <c r="A461" s="29" t="s">
        <v>1129</v>
      </c>
      <c r="B461" s="29" t="s">
        <v>96</v>
      </c>
      <c r="C461" s="29" t="s">
        <v>42</v>
      </c>
      <c r="D461" s="29" t="s">
        <v>1130</v>
      </c>
      <c r="E461" s="29" t="s">
        <v>1012</v>
      </c>
      <c r="F461" s="29" t="s">
        <v>276</v>
      </c>
      <c r="G461" s="29" t="s">
        <v>38</v>
      </c>
      <c r="H461" s="29" t="s">
        <v>64</v>
      </c>
      <c r="I461" s="29" t="s">
        <v>190</v>
      </c>
      <c r="J461" s="29" t="s">
        <v>685</v>
      </c>
      <c r="K461" s="29" t="s">
        <v>298</v>
      </c>
      <c r="L461" s="29" t="s">
        <v>29</v>
      </c>
      <c r="M461" s="29" t="n">
        <v>1809</v>
      </c>
      <c r="N461" s="29" t="n">
        <v>1209</v>
      </c>
      <c r="O461" s="29"/>
      <c r="P461" s="30" t="n">
        <f aca="false">(M461*N461/1000000)*(INDEX(AreaRate_Vals,MATCH(C461,AreaRate_Keys,0))+IFERROR(INDEX(GlazingUpg_Vals,MATCH(H461,GlazingUpg_Keys,0)),0))+INDEX(Hardware_Vals,MATCH("Windows",Hardware_Keys,0))</f>
        <v>6045.76465</v>
      </c>
      <c r="Q461" s="31" t="n">
        <f aca="false">INDEX(Markup_Vals,MATCH("Windows",MarkupCat_Keys,0))</f>
        <v>0.42</v>
      </c>
      <c r="R461" s="32" t="n">
        <f aca="false">P461*(1+Q461)</f>
        <v>8584.985803</v>
      </c>
      <c r="S461" s="32" t="n">
        <f aca="false">R461*(1-TradeDiscount)</f>
        <v>7554.78750664</v>
      </c>
      <c r="T461" s="32" t="n">
        <f aca="false">R461*(1-VolumeDiscount)</f>
        <v>6867.9886424</v>
      </c>
    </row>
    <row r="462" customFormat="false" ht="15" hidden="false" customHeight="false" outlineLevel="0" collapsed="false">
      <c r="A462" s="25" t="s">
        <v>1131</v>
      </c>
      <c r="B462" s="25" t="s">
        <v>96</v>
      </c>
      <c r="C462" s="25" t="s">
        <v>42</v>
      </c>
      <c r="D462" s="25" t="s">
        <v>1132</v>
      </c>
      <c r="E462" s="25" t="s">
        <v>1012</v>
      </c>
      <c r="F462" s="25" t="s">
        <v>810</v>
      </c>
      <c r="G462" s="25" t="s">
        <v>35</v>
      </c>
      <c r="H462" s="25" t="s">
        <v>63</v>
      </c>
      <c r="I462" s="25" t="s">
        <v>190</v>
      </c>
      <c r="J462" s="25" t="s">
        <v>685</v>
      </c>
      <c r="K462" s="25" t="s">
        <v>298</v>
      </c>
      <c r="L462" s="25" t="s">
        <v>29</v>
      </c>
      <c r="M462" s="25" t="n">
        <v>1809</v>
      </c>
      <c r="N462" s="25" t="n">
        <v>1509</v>
      </c>
      <c r="O462" s="25"/>
      <c r="P462" s="26" t="n">
        <f aca="false">(M462*N462/1000000)*(INDEX(AreaRate_Vals,MATCH(C462,AreaRate_Keys,0))+IFERROR(INDEX(GlazingUpg_Vals,MATCH(H462,GlazingUpg_Keys,0)),0))+INDEX(Hardware_Vals,MATCH("Windows",Hardware_Keys,0))</f>
        <v>5982.5401</v>
      </c>
      <c r="Q462" s="27" t="n">
        <f aca="false">INDEX(Markup_Vals,MATCH("Windows",MarkupCat_Keys,0))</f>
        <v>0.42</v>
      </c>
      <c r="R462" s="28" t="n">
        <f aca="false">P462*(1+Q462)</f>
        <v>8495.206942</v>
      </c>
      <c r="S462" s="28" t="n">
        <f aca="false">R462*(1-TradeDiscount)</f>
        <v>7475.78210896</v>
      </c>
      <c r="T462" s="28" t="n">
        <f aca="false">R462*(1-VolumeDiscount)</f>
        <v>6796.1655536</v>
      </c>
    </row>
    <row r="463" customFormat="false" ht="15" hidden="false" customHeight="false" outlineLevel="0" collapsed="false">
      <c r="A463" s="29" t="s">
        <v>1133</v>
      </c>
      <c r="B463" s="29" t="s">
        <v>96</v>
      </c>
      <c r="C463" s="29" t="s">
        <v>42</v>
      </c>
      <c r="D463" s="29" t="s">
        <v>1134</v>
      </c>
      <c r="E463" s="29" t="s">
        <v>1012</v>
      </c>
      <c r="F463" s="29" t="s">
        <v>810</v>
      </c>
      <c r="G463" s="29" t="s">
        <v>36</v>
      </c>
      <c r="H463" s="29" t="s">
        <v>63</v>
      </c>
      <c r="I463" s="29" t="s">
        <v>190</v>
      </c>
      <c r="J463" s="29" t="s">
        <v>685</v>
      </c>
      <c r="K463" s="29" t="s">
        <v>298</v>
      </c>
      <c r="L463" s="29" t="s">
        <v>29</v>
      </c>
      <c r="M463" s="29" t="n">
        <v>1809</v>
      </c>
      <c r="N463" s="29" t="n">
        <v>1509</v>
      </c>
      <c r="O463" s="29"/>
      <c r="P463" s="30" t="n">
        <f aca="false">(M463*N463/1000000)*(INDEX(AreaRate_Vals,MATCH(C463,AreaRate_Keys,0))+IFERROR(INDEX(GlazingUpg_Vals,MATCH(H463,GlazingUpg_Keys,0)),0))+INDEX(Hardware_Vals,MATCH("Windows",Hardware_Keys,0))</f>
        <v>5982.5401</v>
      </c>
      <c r="Q463" s="31" t="n">
        <f aca="false">INDEX(Markup_Vals,MATCH("Windows",MarkupCat_Keys,0))</f>
        <v>0.42</v>
      </c>
      <c r="R463" s="32" t="n">
        <f aca="false">P463*(1+Q463)</f>
        <v>8495.206942</v>
      </c>
      <c r="S463" s="32" t="n">
        <f aca="false">R463*(1-TradeDiscount)</f>
        <v>7475.78210896</v>
      </c>
      <c r="T463" s="32" t="n">
        <f aca="false">R463*(1-VolumeDiscount)</f>
        <v>6796.1655536</v>
      </c>
    </row>
    <row r="464" customFormat="false" ht="15" hidden="false" customHeight="false" outlineLevel="0" collapsed="false">
      <c r="A464" s="25" t="s">
        <v>1135</v>
      </c>
      <c r="B464" s="25" t="s">
        <v>96</v>
      </c>
      <c r="C464" s="25" t="s">
        <v>42</v>
      </c>
      <c r="D464" s="25" t="s">
        <v>1136</v>
      </c>
      <c r="E464" s="25" t="s">
        <v>1012</v>
      </c>
      <c r="F464" s="25" t="s">
        <v>810</v>
      </c>
      <c r="G464" s="25" t="s">
        <v>37</v>
      </c>
      <c r="H464" s="25" t="s">
        <v>63</v>
      </c>
      <c r="I464" s="25" t="s">
        <v>190</v>
      </c>
      <c r="J464" s="25" t="s">
        <v>685</v>
      </c>
      <c r="K464" s="25" t="s">
        <v>298</v>
      </c>
      <c r="L464" s="25" t="s">
        <v>29</v>
      </c>
      <c r="M464" s="25" t="n">
        <v>1809</v>
      </c>
      <c r="N464" s="25" t="n">
        <v>1509</v>
      </c>
      <c r="O464" s="25"/>
      <c r="P464" s="26" t="n">
        <f aca="false">(M464*N464/1000000)*(INDEX(AreaRate_Vals,MATCH(C464,AreaRate_Keys,0))+IFERROR(INDEX(GlazingUpg_Vals,MATCH(H464,GlazingUpg_Keys,0)),0))+INDEX(Hardware_Vals,MATCH("Windows",Hardware_Keys,0))</f>
        <v>5982.5401</v>
      </c>
      <c r="Q464" s="27" t="n">
        <f aca="false">INDEX(Markup_Vals,MATCH("Windows",MarkupCat_Keys,0))</f>
        <v>0.42</v>
      </c>
      <c r="R464" s="28" t="n">
        <f aca="false">P464*(1+Q464)</f>
        <v>8495.206942</v>
      </c>
      <c r="S464" s="28" t="n">
        <f aca="false">R464*(1-TradeDiscount)</f>
        <v>7475.78210896</v>
      </c>
      <c r="T464" s="28" t="n">
        <f aca="false">R464*(1-VolumeDiscount)</f>
        <v>6796.1655536</v>
      </c>
    </row>
    <row r="465" customFormat="false" ht="15" hidden="false" customHeight="false" outlineLevel="0" collapsed="false">
      <c r="A465" s="29" t="s">
        <v>1137</v>
      </c>
      <c r="B465" s="29" t="s">
        <v>96</v>
      </c>
      <c r="C465" s="29" t="s">
        <v>42</v>
      </c>
      <c r="D465" s="29" t="s">
        <v>1138</v>
      </c>
      <c r="E465" s="29" t="s">
        <v>1012</v>
      </c>
      <c r="F465" s="29" t="s">
        <v>810</v>
      </c>
      <c r="G465" s="29" t="s">
        <v>39</v>
      </c>
      <c r="H465" s="29" t="s">
        <v>63</v>
      </c>
      <c r="I465" s="29" t="s">
        <v>190</v>
      </c>
      <c r="J465" s="29" t="s">
        <v>685</v>
      </c>
      <c r="K465" s="29" t="s">
        <v>298</v>
      </c>
      <c r="L465" s="29" t="s">
        <v>29</v>
      </c>
      <c r="M465" s="29" t="n">
        <v>1809</v>
      </c>
      <c r="N465" s="29" t="n">
        <v>1509</v>
      </c>
      <c r="O465" s="29"/>
      <c r="P465" s="30" t="n">
        <f aca="false">(M465*N465/1000000)*(INDEX(AreaRate_Vals,MATCH(C465,AreaRate_Keys,0))+IFERROR(INDEX(GlazingUpg_Vals,MATCH(H465,GlazingUpg_Keys,0)),0))+INDEX(Hardware_Vals,MATCH("Windows",Hardware_Keys,0))</f>
        <v>5982.5401</v>
      </c>
      <c r="Q465" s="31" t="n">
        <f aca="false">INDEX(Markup_Vals,MATCH("Windows",MarkupCat_Keys,0))</f>
        <v>0.42</v>
      </c>
      <c r="R465" s="32" t="n">
        <f aca="false">P465*(1+Q465)</f>
        <v>8495.206942</v>
      </c>
      <c r="S465" s="32" t="n">
        <f aca="false">R465*(1-TradeDiscount)</f>
        <v>7475.78210896</v>
      </c>
      <c r="T465" s="32" t="n">
        <f aca="false">R465*(1-VolumeDiscount)</f>
        <v>6796.1655536</v>
      </c>
    </row>
    <row r="466" customFormat="false" ht="15" hidden="false" customHeight="false" outlineLevel="0" collapsed="false">
      <c r="A466" s="25" t="s">
        <v>1139</v>
      </c>
      <c r="B466" s="25" t="s">
        <v>96</v>
      </c>
      <c r="C466" s="25" t="s">
        <v>42</v>
      </c>
      <c r="D466" s="25" t="s">
        <v>1140</v>
      </c>
      <c r="E466" s="25" t="s">
        <v>1012</v>
      </c>
      <c r="F466" s="25" t="s">
        <v>810</v>
      </c>
      <c r="G466" s="25" t="s">
        <v>38</v>
      </c>
      <c r="H466" s="25" t="s">
        <v>63</v>
      </c>
      <c r="I466" s="25" t="s">
        <v>190</v>
      </c>
      <c r="J466" s="25" t="s">
        <v>685</v>
      </c>
      <c r="K466" s="25" t="s">
        <v>298</v>
      </c>
      <c r="L466" s="25" t="s">
        <v>29</v>
      </c>
      <c r="M466" s="25" t="n">
        <v>1809</v>
      </c>
      <c r="N466" s="25" t="n">
        <v>1509</v>
      </c>
      <c r="O466" s="25"/>
      <c r="P466" s="26" t="n">
        <f aca="false">(M466*N466/1000000)*(INDEX(AreaRate_Vals,MATCH(C466,AreaRate_Keys,0))+IFERROR(INDEX(GlazingUpg_Vals,MATCH(H466,GlazingUpg_Keys,0)),0))+INDEX(Hardware_Vals,MATCH("Windows",Hardware_Keys,0))</f>
        <v>5982.5401</v>
      </c>
      <c r="Q466" s="27" t="n">
        <f aca="false">INDEX(Markup_Vals,MATCH("Windows",MarkupCat_Keys,0))</f>
        <v>0.42</v>
      </c>
      <c r="R466" s="28" t="n">
        <f aca="false">P466*(1+Q466)</f>
        <v>8495.206942</v>
      </c>
      <c r="S466" s="28" t="n">
        <f aca="false">R466*(1-TradeDiscount)</f>
        <v>7475.78210896</v>
      </c>
      <c r="T466" s="28" t="n">
        <f aca="false">R466*(1-VolumeDiscount)</f>
        <v>6796.1655536</v>
      </c>
    </row>
    <row r="467" customFormat="false" ht="15" hidden="false" customHeight="false" outlineLevel="0" collapsed="false">
      <c r="A467" s="29" t="s">
        <v>1141</v>
      </c>
      <c r="B467" s="29" t="s">
        <v>96</v>
      </c>
      <c r="C467" s="29" t="s">
        <v>42</v>
      </c>
      <c r="D467" s="29" t="s">
        <v>1142</v>
      </c>
      <c r="E467" s="29" t="s">
        <v>1012</v>
      </c>
      <c r="F467" s="29" t="s">
        <v>810</v>
      </c>
      <c r="G467" s="29" t="s">
        <v>35</v>
      </c>
      <c r="H467" s="29" t="s">
        <v>64</v>
      </c>
      <c r="I467" s="29" t="s">
        <v>190</v>
      </c>
      <c r="J467" s="29" t="s">
        <v>685</v>
      </c>
      <c r="K467" s="29" t="s">
        <v>298</v>
      </c>
      <c r="L467" s="29" t="s">
        <v>29</v>
      </c>
      <c r="M467" s="29" t="n">
        <v>1809</v>
      </c>
      <c r="N467" s="29" t="n">
        <v>1509</v>
      </c>
      <c r="O467" s="29"/>
      <c r="P467" s="30" t="n">
        <f aca="false">(M467*N467/1000000)*(INDEX(AreaRate_Vals,MATCH(C467,AreaRate_Keys,0))+IFERROR(INDEX(GlazingUpg_Vals,MATCH(H467,GlazingUpg_Keys,0)),0))+INDEX(Hardware_Vals,MATCH("Windows",Hardware_Keys,0))</f>
        <v>7483.91965</v>
      </c>
      <c r="Q467" s="31" t="n">
        <f aca="false">INDEX(Markup_Vals,MATCH("Windows",MarkupCat_Keys,0))</f>
        <v>0.42</v>
      </c>
      <c r="R467" s="32" t="n">
        <f aca="false">P467*(1+Q467)</f>
        <v>10627.165903</v>
      </c>
      <c r="S467" s="32" t="n">
        <f aca="false">R467*(1-TradeDiscount)</f>
        <v>9351.90599464</v>
      </c>
      <c r="T467" s="32" t="n">
        <f aca="false">R467*(1-VolumeDiscount)</f>
        <v>8501.7327224</v>
      </c>
    </row>
    <row r="468" customFormat="false" ht="15" hidden="false" customHeight="false" outlineLevel="0" collapsed="false">
      <c r="A468" s="25" t="s">
        <v>1143</v>
      </c>
      <c r="B468" s="25" t="s">
        <v>96</v>
      </c>
      <c r="C468" s="25" t="s">
        <v>42</v>
      </c>
      <c r="D468" s="25" t="s">
        <v>1144</v>
      </c>
      <c r="E468" s="25" t="s">
        <v>1012</v>
      </c>
      <c r="F468" s="25" t="s">
        <v>810</v>
      </c>
      <c r="G468" s="25" t="s">
        <v>36</v>
      </c>
      <c r="H468" s="25" t="s">
        <v>64</v>
      </c>
      <c r="I468" s="25" t="s">
        <v>190</v>
      </c>
      <c r="J468" s="25" t="s">
        <v>685</v>
      </c>
      <c r="K468" s="25" t="s">
        <v>298</v>
      </c>
      <c r="L468" s="25" t="s">
        <v>29</v>
      </c>
      <c r="M468" s="25" t="n">
        <v>1809</v>
      </c>
      <c r="N468" s="25" t="n">
        <v>1509</v>
      </c>
      <c r="O468" s="25"/>
      <c r="P468" s="26" t="n">
        <f aca="false">(M468*N468/1000000)*(INDEX(AreaRate_Vals,MATCH(C468,AreaRate_Keys,0))+IFERROR(INDEX(GlazingUpg_Vals,MATCH(H468,GlazingUpg_Keys,0)),0))+INDEX(Hardware_Vals,MATCH("Windows",Hardware_Keys,0))</f>
        <v>7483.91965</v>
      </c>
      <c r="Q468" s="27" t="n">
        <f aca="false">INDEX(Markup_Vals,MATCH("Windows",MarkupCat_Keys,0))</f>
        <v>0.42</v>
      </c>
      <c r="R468" s="28" t="n">
        <f aca="false">P468*(1+Q468)</f>
        <v>10627.165903</v>
      </c>
      <c r="S468" s="28" t="n">
        <f aca="false">R468*(1-TradeDiscount)</f>
        <v>9351.90599464</v>
      </c>
      <c r="T468" s="28" t="n">
        <f aca="false">R468*(1-VolumeDiscount)</f>
        <v>8501.7327224</v>
      </c>
    </row>
    <row r="469" customFormat="false" ht="15" hidden="false" customHeight="false" outlineLevel="0" collapsed="false">
      <c r="A469" s="29" t="s">
        <v>1145</v>
      </c>
      <c r="B469" s="29" t="s">
        <v>96</v>
      </c>
      <c r="C469" s="29" t="s">
        <v>42</v>
      </c>
      <c r="D469" s="29" t="s">
        <v>1146</v>
      </c>
      <c r="E469" s="29" t="s">
        <v>1012</v>
      </c>
      <c r="F469" s="29" t="s">
        <v>810</v>
      </c>
      <c r="G469" s="29" t="s">
        <v>37</v>
      </c>
      <c r="H469" s="29" t="s">
        <v>64</v>
      </c>
      <c r="I469" s="29" t="s">
        <v>190</v>
      </c>
      <c r="J469" s="29" t="s">
        <v>685</v>
      </c>
      <c r="K469" s="29" t="s">
        <v>298</v>
      </c>
      <c r="L469" s="29" t="s">
        <v>29</v>
      </c>
      <c r="M469" s="29" t="n">
        <v>1809</v>
      </c>
      <c r="N469" s="29" t="n">
        <v>1509</v>
      </c>
      <c r="O469" s="29"/>
      <c r="P469" s="30" t="n">
        <f aca="false">(M469*N469/1000000)*(INDEX(AreaRate_Vals,MATCH(C469,AreaRate_Keys,0))+IFERROR(INDEX(GlazingUpg_Vals,MATCH(H469,GlazingUpg_Keys,0)),0))+INDEX(Hardware_Vals,MATCH("Windows",Hardware_Keys,0))</f>
        <v>7483.91965</v>
      </c>
      <c r="Q469" s="31" t="n">
        <f aca="false">INDEX(Markup_Vals,MATCH("Windows",MarkupCat_Keys,0))</f>
        <v>0.42</v>
      </c>
      <c r="R469" s="32" t="n">
        <f aca="false">P469*(1+Q469)</f>
        <v>10627.165903</v>
      </c>
      <c r="S469" s="32" t="n">
        <f aca="false">R469*(1-TradeDiscount)</f>
        <v>9351.90599464</v>
      </c>
      <c r="T469" s="32" t="n">
        <f aca="false">R469*(1-VolumeDiscount)</f>
        <v>8501.7327224</v>
      </c>
    </row>
    <row r="470" customFormat="false" ht="15" hidden="false" customHeight="false" outlineLevel="0" collapsed="false">
      <c r="A470" s="25" t="s">
        <v>1147</v>
      </c>
      <c r="B470" s="25" t="s">
        <v>96</v>
      </c>
      <c r="C470" s="25" t="s">
        <v>42</v>
      </c>
      <c r="D470" s="25" t="s">
        <v>1148</v>
      </c>
      <c r="E470" s="25" t="s">
        <v>1012</v>
      </c>
      <c r="F470" s="25" t="s">
        <v>810</v>
      </c>
      <c r="G470" s="25" t="s">
        <v>39</v>
      </c>
      <c r="H470" s="25" t="s">
        <v>64</v>
      </c>
      <c r="I470" s="25" t="s">
        <v>190</v>
      </c>
      <c r="J470" s="25" t="s">
        <v>685</v>
      </c>
      <c r="K470" s="25" t="s">
        <v>298</v>
      </c>
      <c r="L470" s="25" t="s">
        <v>29</v>
      </c>
      <c r="M470" s="25" t="n">
        <v>1809</v>
      </c>
      <c r="N470" s="25" t="n">
        <v>1509</v>
      </c>
      <c r="O470" s="25"/>
      <c r="P470" s="26" t="n">
        <f aca="false">(M470*N470/1000000)*(INDEX(AreaRate_Vals,MATCH(C470,AreaRate_Keys,0))+IFERROR(INDEX(GlazingUpg_Vals,MATCH(H470,GlazingUpg_Keys,0)),0))+INDEX(Hardware_Vals,MATCH("Windows",Hardware_Keys,0))</f>
        <v>7483.91965</v>
      </c>
      <c r="Q470" s="27" t="n">
        <f aca="false">INDEX(Markup_Vals,MATCH("Windows",MarkupCat_Keys,0))</f>
        <v>0.42</v>
      </c>
      <c r="R470" s="28" t="n">
        <f aca="false">P470*(1+Q470)</f>
        <v>10627.165903</v>
      </c>
      <c r="S470" s="28" t="n">
        <f aca="false">R470*(1-TradeDiscount)</f>
        <v>9351.90599464</v>
      </c>
      <c r="T470" s="28" t="n">
        <f aca="false">R470*(1-VolumeDiscount)</f>
        <v>8501.7327224</v>
      </c>
    </row>
    <row r="471" customFormat="false" ht="15" hidden="false" customHeight="false" outlineLevel="0" collapsed="false">
      <c r="A471" s="29" t="s">
        <v>1149</v>
      </c>
      <c r="B471" s="29" t="s">
        <v>96</v>
      </c>
      <c r="C471" s="29" t="s">
        <v>42</v>
      </c>
      <c r="D471" s="29" t="s">
        <v>1150</v>
      </c>
      <c r="E471" s="29" t="s">
        <v>1012</v>
      </c>
      <c r="F471" s="29" t="s">
        <v>810</v>
      </c>
      <c r="G471" s="29" t="s">
        <v>38</v>
      </c>
      <c r="H471" s="29" t="s">
        <v>64</v>
      </c>
      <c r="I471" s="29" t="s">
        <v>190</v>
      </c>
      <c r="J471" s="29" t="s">
        <v>685</v>
      </c>
      <c r="K471" s="29" t="s">
        <v>298</v>
      </c>
      <c r="L471" s="29" t="s">
        <v>29</v>
      </c>
      <c r="M471" s="29" t="n">
        <v>1809</v>
      </c>
      <c r="N471" s="29" t="n">
        <v>1509</v>
      </c>
      <c r="O471" s="29"/>
      <c r="P471" s="30" t="n">
        <f aca="false">(M471*N471/1000000)*(INDEX(AreaRate_Vals,MATCH(C471,AreaRate_Keys,0))+IFERROR(INDEX(GlazingUpg_Vals,MATCH(H471,GlazingUpg_Keys,0)),0))+INDEX(Hardware_Vals,MATCH("Windows",Hardware_Keys,0))</f>
        <v>7483.91965</v>
      </c>
      <c r="Q471" s="31" t="n">
        <f aca="false">INDEX(Markup_Vals,MATCH("Windows",MarkupCat_Keys,0))</f>
        <v>0.42</v>
      </c>
      <c r="R471" s="32" t="n">
        <f aca="false">P471*(1+Q471)</f>
        <v>10627.165903</v>
      </c>
      <c r="S471" s="32" t="n">
        <f aca="false">R471*(1-TradeDiscount)</f>
        <v>9351.90599464</v>
      </c>
      <c r="T471" s="32" t="n">
        <f aca="false">R471*(1-VolumeDiscount)</f>
        <v>8501.7327224</v>
      </c>
    </row>
    <row r="472" customFormat="false" ht="15" hidden="false" customHeight="false" outlineLevel="0" collapsed="false">
      <c r="A472" s="25" t="s">
        <v>1151</v>
      </c>
      <c r="B472" s="25" t="s">
        <v>96</v>
      </c>
      <c r="C472" s="25" t="s">
        <v>42</v>
      </c>
      <c r="D472" s="25" t="s">
        <v>1152</v>
      </c>
      <c r="E472" s="25" t="s">
        <v>1012</v>
      </c>
      <c r="F472" s="25" t="s">
        <v>319</v>
      </c>
      <c r="G472" s="25" t="s">
        <v>35</v>
      </c>
      <c r="H472" s="25" t="s">
        <v>63</v>
      </c>
      <c r="I472" s="25" t="s">
        <v>190</v>
      </c>
      <c r="J472" s="25" t="s">
        <v>685</v>
      </c>
      <c r="K472" s="25" t="s">
        <v>298</v>
      </c>
      <c r="L472" s="25" t="s">
        <v>29</v>
      </c>
      <c r="M472" s="25" t="n">
        <v>2409</v>
      </c>
      <c r="N472" s="25" t="n">
        <v>1509</v>
      </c>
      <c r="O472" s="25"/>
      <c r="P472" s="26" t="n">
        <f aca="false">(M472*N472/1000000)*(INDEX(AreaRate_Vals,MATCH(C472,AreaRate_Keys,0))+IFERROR(INDEX(GlazingUpg_Vals,MATCH(H472,GlazingUpg_Keys,0)),0))+INDEX(Hardware_Vals,MATCH("Windows",Hardware_Keys,0))</f>
        <v>7883.8801</v>
      </c>
      <c r="Q472" s="27" t="n">
        <f aca="false">INDEX(Markup_Vals,MATCH("Windows",MarkupCat_Keys,0))</f>
        <v>0.42</v>
      </c>
      <c r="R472" s="28" t="n">
        <f aca="false">P472*(1+Q472)</f>
        <v>11195.109742</v>
      </c>
      <c r="S472" s="28" t="n">
        <f aca="false">R472*(1-TradeDiscount)</f>
        <v>9851.69657296</v>
      </c>
      <c r="T472" s="28" t="n">
        <f aca="false">R472*(1-VolumeDiscount)</f>
        <v>8956.0877936</v>
      </c>
    </row>
    <row r="473" customFormat="false" ht="15" hidden="false" customHeight="false" outlineLevel="0" collapsed="false">
      <c r="A473" s="29" t="s">
        <v>1153</v>
      </c>
      <c r="B473" s="29" t="s">
        <v>96</v>
      </c>
      <c r="C473" s="29" t="s">
        <v>42</v>
      </c>
      <c r="D473" s="29" t="s">
        <v>1154</v>
      </c>
      <c r="E473" s="29" t="s">
        <v>1012</v>
      </c>
      <c r="F473" s="29" t="s">
        <v>319</v>
      </c>
      <c r="G473" s="29" t="s">
        <v>36</v>
      </c>
      <c r="H473" s="29" t="s">
        <v>63</v>
      </c>
      <c r="I473" s="29" t="s">
        <v>190</v>
      </c>
      <c r="J473" s="29" t="s">
        <v>685</v>
      </c>
      <c r="K473" s="29" t="s">
        <v>298</v>
      </c>
      <c r="L473" s="29" t="s">
        <v>29</v>
      </c>
      <c r="M473" s="29" t="n">
        <v>2409</v>
      </c>
      <c r="N473" s="29" t="n">
        <v>1509</v>
      </c>
      <c r="O473" s="29"/>
      <c r="P473" s="30" t="n">
        <f aca="false">(M473*N473/1000000)*(INDEX(AreaRate_Vals,MATCH(C473,AreaRate_Keys,0))+IFERROR(INDEX(GlazingUpg_Vals,MATCH(H473,GlazingUpg_Keys,0)),0))+INDEX(Hardware_Vals,MATCH("Windows",Hardware_Keys,0))</f>
        <v>7883.8801</v>
      </c>
      <c r="Q473" s="31" t="n">
        <f aca="false">INDEX(Markup_Vals,MATCH("Windows",MarkupCat_Keys,0))</f>
        <v>0.42</v>
      </c>
      <c r="R473" s="32" t="n">
        <f aca="false">P473*(1+Q473)</f>
        <v>11195.109742</v>
      </c>
      <c r="S473" s="32" t="n">
        <f aca="false">R473*(1-TradeDiscount)</f>
        <v>9851.69657296</v>
      </c>
      <c r="T473" s="32" t="n">
        <f aca="false">R473*(1-VolumeDiscount)</f>
        <v>8956.0877936</v>
      </c>
    </row>
    <row r="474" customFormat="false" ht="15" hidden="false" customHeight="false" outlineLevel="0" collapsed="false">
      <c r="A474" s="25" t="s">
        <v>1155</v>
      </c>
      <c r="B474" s="25" t="s">
        <v>96</v>
      </c>
      <c r="C474" s="25" t="s">
        <v>42</v>
      </c>
      <c r="D474" s="25" t="s">
        <v>1156</v>
      </c>
      <c r="E474" s="25" t="s">
        <v>1012</v>
      </c>
      <c r="F474" s="25" t="s">
        <v>319</v>
      </c>
      <c r="G474" s="25" t="s">
        <v>37</v>
      </c>
      <c r="H474" s="25" t="s">
        <v>63</v>
      </c>
      <c r="I474" s="25" t="s">
        <v>190</v>
      </c>
      <c r="J474" s="25" t="s">
        <v>685</v>
      </c>
      <c r="K474" s="25" t="s">
        <v>298</v>
      </c>
      <c r="L474" s="25" t="s">
        <v>29</v>
      </c>
      <c r="M474" s="25" t="n">
        <v>2409</v>
      </c>
      <c r="N474" s="25" t="n">
        <v>1509</v>
      </c>
      <c r="O474" s="25"/>
      <c r="P474" s="26" t="n">
        <f aca="false">(M474*N474/1000000)*(INDEX(AreaRate_Vals,MATCH(C474,AreaRate_Keys,0))+IFERROR(INDEX(GlazingUpg_Vals,MATCH(H474,GlazingUpg_Keys,0)),0))+INDEX(Hardware_Vals,MATCH("Windows",Hardware_Keys,0))</f>
        <v>7883.8801</v>
      </c>
      <c r="Q474" s="27" t="n">
        <f aca="false">INDEX(Markup_Vals,MATCH("Windows",MarkupCat_Keys,0))</f>
        <v>0.42</v>
      </c>
      <c r="R474" s="28" t="n">
        <f aca="false">P474*(1+Q474)</f>
        <v>11195.109742</v>
      </c>
      <c r="S474" s="28" t="n">
        <f aca="false">R474*(1-TradeDiscount)</f>
        <v>9851.69657296</v>
      </c>
      <c r="T474" s="28" t="n">
        <f aca="false">R474*(1-VolumeDiscount)</f>
        <v>8956.0877936</v>
      </c>
    </row>
    <row r="475" customFormat="false" ht="15" hidden="false" customHeight="false" outlineLevel="0" collapsed="false">
      <c r="A475" s="29" t="s">
        <v>1157</v>
      </c>
      <c r="B475" s="29" t="s">
        <v>96</v>
      </c>
      <c r="C475" s="29" t="s">
        <v>42</v>
      </c>
      <c r="D475" s="29" t="s">
        <v>1158</v>
      </c>
      <c r="E475" s="29" t="s">
        <v>1012</v>
      </c>
      <c r="F475" s="29" t="s">
        <v>319</v>
      </c>
      <c r="G475" s="29" t="s">
        <v>39</v>
      </c>
      <c r="H475" s="29" t="s">
        <v>63</v>
      </c>
      <c r="I475" s="29" t="s">
        <v>190</v>
      </c>
      <c r="J475" s="29" t="s">
        <v>685</v>
      </c>
      <c r="K475" s="29" t="s">
        <v>298</v>
      </c>
      <c r="L475" s="29" t="s">
        <v>29</v>
      </c>
      <c r="M475" s="29" t="n">
        <v>2409</v>
      </c>
      <c r="N475" s="29" t="n">
        <v>1509</v>
      </c>
      <c r="O475" s="29"/>
      <c r="P475" s="30" t="n">
        <f aca="false">(M475*N475/1000000)*(INDEX(AreaRate_Vals,MATCH(C475,AreaRate_Keys,0))+IFERROR(INDEX(GlazingUpg_Vals,MATCH(H475,GlazingUpg_Keys,0)),0))+INDEX(Hardware_Vals,MATCH("Windows",Hardware_Keys,0))</f>
        <v>7883.8801</v>
      </c>
      <c r="Q475" s="31" t="n">
        <f aca="false">INDEX(Markup_Vals,MATCH("Windows",MarkupCat_Keys,0))</f>
        <v>0.42</v>
      </c>
      <c r="R475" s="32" t="n">
        <f aca="false">P475*(1+Q475)</f>
        <v>11195.109742</v>
      </c>
      <c r="S475" s="32" t="n">
        <f aca="false">R475*(1-TradeDiscount)</f>
        <v>9851.69657296</v>
      </c>
      <c r="T475" s="32" t="n">
        <f aca="false">R475*(1-VolumeDiscount)</f>
        <v>8956.0877936</v>
      </c>
    </row>
    <row r="476" customFormat="false" ht="15" hidden="false" customHeight="false" outlineLevel="0" collapsed="false">
      <c r="A476" s="25" t="s">
        <v>1159</v>
      </c>
      <c r="B476" s="25" t="s">
        <v>96</v>
      </c>
      <c r="C476" s="25" t="s">
        <v>42</v>
      </c>
      <c r="D476" s="25" t="s">
        <v>1160</v>
      </c>
      <c r="E476" s="25" t="s">
        <v>1012</v>
      </c>
      <c r="F476" s="25" t="s">
        <v>319</v>
      </c>
      <c r="G476" s="25" t="s">
        <v>38</v>
      </c>
      <c r="H476" s="25" t="s">
        <v>63</v>
      </c>
      <c r="I476" s="25" t="s">
        <v>190</v>
      </c>
      <c r="J476" s="25" t="s">
        <v>685</v>
      </c>
      <c r="K476" s="25" t="s">
        <v>298</v>
      </c>
      <c r="L476" s="25" t="s">
        <v>29</v>
      </c>
      <c r="M476" s="25" t="n">
        <v>2409</v>
      </c>
      <c r="N476" s="25" t="n">
        <v>1509</v>
      </c>
      <c r="O476" s="25"/>
      <c r="P476" s="26" t="n">
        <f aca="false">(M476*N476/1000000)*(INDEX(AreaRate_Vals,MATCH(C476,AreaRate_Keys,0))+IFERROR(INDEX(GlazingUpg_Vals,MATCH(H476,GlazingUpg_Keys,0)),0))+INDEX(Hardware_Vals,MATCH("Windows",Hardware_Keys,0))</f>
        <v>7883.8801</v>
      </c>
      <c r="Q476" s="27" t="n">
        <f aca="false">INDEX(Markup_Vals,MATCH("Windows",MarkupCat_Keys,0))</f>
        <v>0.42</v>
      </c>
      <c r="R476" s="28" t="n">
        <f aca="false">P476*(1+Q476)</f>
        <v>11195.109742</v>
      </c>
      <c r="S476" s="28" t="n">
        <f aca="false">R476*(1-TradeDiscount)</f>
        <v>9851.69657296</v>
      </c>
      <c r="T476" s="28" t="n">
        <f aca="false">R476*(1-VolumeDiscount)</f>
        <v>8956.0877936</v>
      </c>
    </row>
    <row r="477" customFormat="false" ht="15" hidden="false" customHeight="false" outlineLevel="0" collapsed="false">
      <c r="A477" s="29" t="s">
        <v>1161</v>
      </c>
      <c r="B477" s="29" t="s">
        <v>96</v>
      </c>
      <c r="C477" s="29" t="s">
        <v>42</v>
      </c>
      <c r="D477" s="29" t="s">
        <v>1162</v>
      </c>
      <c r="E477" s="29" t="s">
        <v>1012</v>
      </c>
      <c r="F477" s="29" t="s">
        <v>319</v>
      </c>
      <c r="G477" s="29" t="s">
        <v>35</v>
      </c>
      <c r="H477" s="29" t="s">
        <v>64</v>
      </c>
      <c r="I477" s="29" t="s">
        <v>190</v>
      </c>
      <c r="J477" s="29" t="s">
        <v>685</v>
      </c>
      <c r="K477" s="29" t="s">
        <v>298</v>
      </c>
      <c r="L477" s="29" t="s">
        <v>29</v>
      </c>
      <c r="M477" s="29" t="n">
        <v>2409</v>
      </c>
      <c r="N477" s="29" t="n">
        <v>1509</v>
      </c>
      <c r="O477" s="29"/>
      <c r="P477" s="30" t="n">
        <f aca="false">(M477*N477/1000000)*(INDEX(AreaRate_Vals,MATCH(C477,AreaRate_Keys,0))+IFERROR(INDEX(GlazingUpg_Vals,MATCH(H477,GlazingUpg_Keys,0)),0))+INDEX(Hardware_Vals,MATCH("Windows",Hardware_Keys,0))</f>
        <v>9883.22965</v>
      </c>
      <c r="Q477" s="31" t="n">
        <f aca="false">INDEX(Markup_Vals,MATCH("Windows",MarkupCat_Keys,0))</f>
        <v>0.42</v>
      </c>
      <c r="R477" s="32" t="n">
        <f aca="false">P477*(1+Q477)</f>
        <v>14034.186103</v>
      </c>
      <c r="S477" s="32" t="n">
        <f aca="false">R477*(1-TradeDiscount)</f>
        <v>12350.08377064</v>
      </c>
      <c r="T477" s="32" t="n">
        <f aca="false">R477*(1-VolumeDiscount)</f>
        <v>11227.3488824</v>
      </c>
    </row>
    <row r="478" customFormat="false" ht="15" hidden="false" customHeight="false" outlineLevel="0" collapsed="false">
      <c r="A478" s="25" t="s">
        <v>1163</v>
      </c>
      <c r="B478" s="25" t="s">
        <v>96</v>
      </c>
      <c r="C478" s="25" t="s">
        <v>42</v>
      </c>
      <c r="D478" s="25" t="s">
        <v>1164</v>
      </c>
      <c r="E478" s="25" t="s">
        <v>1012</v>
      </c>
      <c r="F478" s="25" t="s">
        <v>319</v>
      </c>
      <c r="G478" s="25" t="s">
        <v>36</v>
      </c>
      <c r="H478" s="25" t="s">
        <v>64</v>
      </c>
      <c r="I478" s="25" t="s">
        <v>190</v>
      </c>
      <c r="J478" s="25" t="s">
        <v>685</v>
      </c>
      <c r="K478" s="25" t="s">
        <v>298</v>
      </c>
      <c r="L478" s="25" t="s">
        <v>29</v>
      </c>
      <c r="M478" s="25" t="n">
        <v>2409</v>
      </c>
      <c r="N478" s="25" t="n">
        <v>1509</v>
      </c>
      <c r="O478" s="25"/>
      <c r="P478" s="26" t="n">
        <f aca="false">(M478*N478/1000000)*(INDEX(AreaRate_Vals,MATCH(C478,AreaRate_Keys,0))+IFERROR(INDEX(GlazingUpg_Vals,MATCH(H478,GlazingUpg_Keys,0)),0))+INDEX(Hardware_Vals,MATCH("Windows",Hardware_Keys,0))</f>
        <v>9883.22965</v>
      </c>
      <c r="Q478" s="27" t="n">
        <f aca="false">INDEX(Markup_Vals,MATCH("Windows",MarkupCat_Keys,0))</f>
        <v>0.42</v>
      </c>
      <c r="R478" s="28" t="n">
        <f aca="false">P478*(1+Q478)</f>
        <v>14034.186103</v>
      </c>
      <c r="S478" s="28" t="n">
        <f aca="false">R478*(1-TradeDiscount)</f>
        <v>12350.08377064</v>
      </c>
      <c r="T478" s="28" t="n">
        <f aca="false">R478*(1-VolumeDiscount)</f>
        <v>11227.3488824</v>
      </c>
    </row>
    <row r="479" customFormat="false" ht="15" hidden="false" customHeight="false" outlineLevel="0" collapsed="false">
      <c r="A479" s="29" t="s">
        <v>1165</v>
      </c>
      <c r="B479" s="29" t="s">
        <v>96</v>
      </c>
      <c r="C479" s="29" t="s">
        <v>42</v>
      </c>
      <c r="D479" s="29" t="s">
        <v>1166</v>
      </c>
      <c r="E479" s="29" t="s">
        <v>1012</v>
      </c>
      <c r="F479" s="29" t="s">
        <v>319</v>
      </c>
      <c r="G479" s="29" t="s">
        <v>37</v>
      </c>
      <c r="H479" s="29" t="s">
        <v>64</v>
      </c>
      <c r="I479" s="29" t="s">
        <v>190</v>
      </c>
      <c r="J479" s="29" t="s">
        <v>685</v>
      </c>
      <c r="K479" s="29" t="s">
        <v>298</v>
      </c>
      <c r="L479" s="29" t="s">
        <v>29</v>
      </c>
      <c r="M479" s="29" t="n">
        <v>2409</v>
      </c>
      <c r="N479" s="29" t="n">
        <v>1509</v>
      </c>
      <c r="O479" s="29"/>
      <c r="P479" s="30" t="n">
        <f aca="false">(M479*N479/1000000)*(INDEX(AreaRate_Vals,MATCH(C479,AreaRate_Keys,0))+IFERROR(INDEX(GlazingUpg_Vals,MATCH(H479,GlazingUpg_Keys,0)),0))+INDEX(Hardware_Vals,MATCH("Windows",Hardware_Keys,0))</f>
        <v>9883.22965</v>
      </c>
      <c r="Q479" s="31" t="n">
        <f aca="false">INDEX(Markup_Vals,MATCH("Windows",MarkupCat_Keys,0))</f>
        <v>0.42</v>
      </c>
      <c r="R479" s="32" t="n">
        <f aca="false">P479*(1+Q479)</f>
        <v>14034.186103</v>
      </c>
      <c r="S479" s="32" t="n">
        <f aca="false">R479*(1-TradeDiscount)</f>
        <v>12350.08377064</v>
      </c>
      <c r="T479" s="32" t="n">
        <f aca="false">R479*(1-VolumeDiscount)</f>
        <v>11227.3488824</v>
      </c>
    </row>
    <row r="480" customFormat="false" ht="15" hidden="false" customHeight="false" outlineLevel="0" collapsed="false">
      <c r="A480" s="25" t="s">
        <v>1167</v>
      </c>
      <c r="B480" s="25" t="s">
        <v>96</v>
      </c>
      <c r="C480" s="25" t="s">
        <v>42</v>
      </c>
      <c r="D480" s="25" t="s">
        <v>1168</v>
      </c>
      <c r="E480" s="25" t="s">
        <v>1012</v>
      </c>
      <c r="F480" s="25" t="s">
        <v>319</v>
      </c>
      <c r="G480" s="25" t="s">
        <v>39</v>
      </c>
      <c r="H480" s="25" t="s">
        <v>64</v>
      </c>
      <c r="I480" s="25" t="s">
        <v>190</v>
      </c>
      <c r="J480" s="25" t="s">
        <v>685</v>
      </c>
      <c r="K480" s="25" t="s">
        <v>298</v>
      </c>
      <c r="L480" s="25" t="s">
        <v>29</v>
      </c>
      <c r="M480" s="25" t="n">
        <v>2409</v>
      </c>
      <c r="N480" s="25" t="n">
        <v>1509</v>
      </c>
      <c r="O480" s="25"/>
      <c r="P480" s="26" t="n">
        <f aca="false">(M480*N480/1000000)*(INDEX(AreaRate_Vals,MATCH(C480,AreaRate_Keys,0))+IFERROR(INDEX(GlazingUpg_Vals,MATCH(H480,GlazingUpg_Keys,0)),0))+INDEX(Hardware_Vals,MATCH("Windows",Hardware_Keys,0))</f>
        <v>9883.22965</v>
      </c>
      <c r="Q480" s="27" t="n">
        <f aca="false">INDEX(Markup_Vals,MATCH("Windows",MarkupCat_Keys,0))</f>
        <v>0.42</v>
      </c>
      <c r="R480" s="28" t="n">
        <f aca="false">P480*(1+Q480)</f>
        <v>14034.186103</v>
      </c>
      <c r="S480" s="28" t="n">
        <f aca="false">R480*(1-TradeDiscount)</f>
        <v>12350.08377064</v>
      </c>
      <c r="T480" s="28" t="n">
        <f aca="false">R480*(1-VolumeDiscount)</f>
        <v>11227.3488824</v>
      </c>
    </row>
    <row r="481" customFormat="false" ht="15" hidden="false" customHeight="false" outlineLevel="0" collapsed="false">
      <c r="A481" s="29" t="s">
        <v>1169</v>
      </c>
      <c r="B481" s="29" t="s">
        <v>96</v>
      </c>
      <c r="C481" s="29" t="s">
        <v>42</v>
      </c>
      <c r="D481" s="29" t="s">
        <v>1170</v>
      </c>
      <c r="E481" s="29" t="s">
        <v>1012</v>
      </c>
      <c r="F481" s="29" t="s">
        <v>319</v>
      </c>
      <c r="G481" s="29" t="s">
        <v>38</v>
      </c>
      <c r="H481" s="29" t="s">
        <v>64</v>
      </c>
      <c r="I481" s="29" t="s">
        <v>190</v>
      </c>
      <c r="J481" s="29" t="s">
        <v>685</v>
      </c>
      <c r="K481" s="29" t="s">
        <v>298</v>
      </c>
      <c r="L481" s="29" t="s">
        <v>29</v>
      </c>
      <c r="M481" s="29" t="n">
        <v>2409</v>
      </c>
      <c r="N481" s="29" t="n">
        <v>1509</v>
      </c>
      <c r="O481" s="29"/>
      <c r="P481" s="30" t="n">
        <f aca="false">(M481*N481/1000000)*(INDEX(AreaRate_Vals,MATCH(C481,AreaRate_Keys,0))+IFERROR(INDEX(GlazingUpg_Vals,MATCH(H481,GlazingUpg_Keys,0)),0))+INDEX(Hardware_Vals,MATCH("Windows",Hardware_Keys,0))</f>
        <v>9883.22965</v>
      </c>
      <c r="Q481" s="31" t="n">
        <f aca="false">INDEX(Markup_Vals,MATCH("Windows",MarkupCat_Keys,0))</f>
        <v>0.42</v>
      </c>
      <c r="R481" s="32" t="n">
        <f aca="false">P481*(1+Q481)</f>
        <v>14034.186103</v>
      </c>
      <c r="S481" s="32" t="n">
        <f aca="false">R481*(1-TradeDiscount)</f>
        <v>12350.08377064</v>
      </c>
      <c r="T481" s="32" t="n">
        <f aca="false">R481*(1-VolumeDiscount)</f>
        <v>11227.3488824</v>
      </c>
    </row>
    <row r="482" customFormat="false" ht="15" hidden="false" customHeight="false" outlineLevel="0" collapsed="false">
      <c r="A482" s="25" t="s">
        <v>1171</v>
      </c>
      <c r="B482" s="25" t="s">
        <v>96</v>
      </c>
      <c r="C482" s="25" t="s">
        <v>43</v>
      </c>
      <c r="D482" s="25" t="s">
        <v>1172</v>
      </c>
      <c r="E482" s="25" t="s">
        <v>1173</v>
      </c>
      <c r="F482" s="25" t="s">
        <v>189</v>
      </c>
      <c r="G482" s="25" t="s">
        <v>35</v>
      </c>
      <c r="H482" s="25" t="s">
        <v>67</v>
      </c>
      <c r="I482" s="25" t="s">
        <v>190</v>
      </c>
      <c r="J482" s="25" t="s">
        <v>191</v>
      </c>
      <c r="K482" s="25" t="s">
        <v>192</v>
      </c>
      <c r="L482" s="25" t="s">
        <v>29</v>
      </c>
      <c r="M482" s="25" t="n">
        <v>609</v>
      </c>
      <c r="N482" s="25" t="n">
        <v>609</v>
      </c>
      <c r="O482" s="25"/>
      <c r="P482" s="26" t="n">
        <f aca="false">(M482*N482/1000000)*(INDEX(AreaRate_Vals,MATCH(C482,AreaRate_Keys,0))+IFERROR(INDEX(GlazingUpg_Vals,MATCH(H482,GlazingUpg_Keys,0)),0))+INDEX(Hardware_Vals,MATCH("Windows",Hardware_Keys,0))</f>
        <v>1047.39415</v>
      </c>
      <c r="Q482" s="27" t="n">
        <f aca="false">INDEX(Markup_Vals,MATCH("Windows",MarkupCat_Keys,0))</f>
        <v>0.42</v>
      </c>
      <c r="R482" s="28" t="n">
        <f aca="false">P482*(1+Q482)</f>
        <v>1487.299693</v>
      </c>
      <c r="S482" s="28" t="n">
        <f aca="false">R482*(1-TradeDiscount)</f>
        <v>1308.82372984</v>
      </c>
      <c r="T482" s="28" t="n">
        <f aca="false">R482*(1-VolumeDiscount)</f>
        <v>1189.8397544</v>
      </c>
    </row>
    <row r="483" customFormat="false" ht="15" hidden="false" customHeight="false" outlineLevel="0" collapsed="false">
      <c r="A483" s="29" t="s">
        <v>1174</v>
      </c>
      <c r="B483" s="29" t="s">
        <v>96</v>
      </c>
      <c r="C483" s="29" t="s">
        <v>43</v>
      </c>
      <c r="D483" s="29" t="s">
        <v>1175</v>
      </c>
      <c r="E483" s="29" t="s">
        <v>1173</v>
      </c>
      <c r="F483" s="29" t="s">
        <v>189</v>
      </c>
      <c r="G483" s="29" t="s">
        <v>36</v>
      </c>
      <c r="H483" s="29" t="s">
        <v>67</v>
      </c>
      <c r="I483" s="29" t="s">
        <v>190</v>
      </c>
      <c r="J483" s="29" t="s">
        <v>191</v>
      </c>
      <c r="K483" s="29" t="s">
        <v>192</v>
      </c>
      <c r="L483" s="29" t="s">
        <v>29</v>
      </c>
      <c r="M483" s="29" t="n">
        <v>609</v>
      </c>
      <c r="N483" s="29" t="n">
        <v>609</v>
      </c>
      <c r="O483" s="29"/>
      <c r="P483" s="30" t="n">
        <f aca="false">(M483*N483/1000000)*(INDEX(AreaRate_Vals,MATCH(C483,AreaRate_Keys,0))+IFERROR(INDEX(GlazingUpg_Vals,MATCH(H483,GlazingUpg_Keys,0)),0))+INDEX(Hardware_Vals,MATCH("Windows",Hardware_Keys,0))</f>
        <v>1047.39415</v>
      </c>
      <c r="Q483" s="31" t="n">
        <f aca="false">INDEX(Markup_Vals,MATCH("Windows",MarkupCat_Keys,0))</f>
        <v>0.42</v>
      </c>
      <c r="R483" s="32" t="n">
        <f aca="false">P483*(1+Q483)</f>
        <v>1487.299693</v>
      </c>
      <c r="S483" s="32" t="n">
        <f aca="false">R483*(1-TradeDiscount)</f>
        <v>1308.82372984</v>
      </c>
      <c r="T483" s="32" t="n">
        <f aca="false">R483*(1-VolumeDiscount)</f>
        <v>1189.8397544</v>
      </c>
    </row>
    <row r="484" customFormat="false" ht="15" hidden="false" customHeight="false" outlineLevel="0" collapsed="false">
      <c r="A484" s="25" t="s">
        <v>1176</v>
      </c>
      <c r="B484" s="25" t="s">
        <v>96</v>
      </c>
      <c r="C484" s="25" t="s">
        <v>43</v>
      </c>
      <c r="D484" s="25" t="s">
        <v>1177</v>
      </c>
      <c r="E484" s="25" t="s">
        <v>1173</v>
      </c>
      <c r="F484" s="25" t="s">
        <v>189</v>
      </c>
      <c r="G484" s="25" t="s">
        <v>37</v>
      </c>
      <c r="H484" s="25" t="s">
        <v>67</v>
      </c>
      <c r="I484" s="25" t="s">
        <v>190</v>
      </c>
      <c r="J484" s="25" t="s">
        <v>191</v>
      </c>
      <c r="K484" s="25" t="s">
        <v>192</v>
      </c>
      <c r="L484" s="25" t="s">
        <v>29</v>
      </c>
      <c r="M484" s="25" t="n">
        <v>609</v>
      </c>
      <c r="N484" s="25" t="n">
        <v>609</v>
      </c>
      <c r="O484" s="25"/>
      <c r="P484" s="26" t="n">
        <f aca="false">(M484*N484/1000000)*(INDEX(AreaRate_Vals,MATCH(C484,AreaRate_Keys,0))+IFERROR(INDEX(GlazingUpg_Vals,MATCH(H484,GlazingUpg_Keys,0)),0))+INDEX(Hardware_Vals,MATCH("Windows",Hardware_Keys,0))</f>
        <v>1047.39415</v>
      </c>
      <c r="Q484" s="27" t="n">
        <f aca="false">INDEX(Markup_Vals,MATCH("Windows",MarkupCat_Keys,0))</f>
        <v>0.42</v>
      </c>
      <c r="R484" s="28" t="n">
        <f aca="false">P484*(1+Q484)</f>
        <v>1487.299693</v>
      </c>
      <c r="S484" s="28" t="n">
        <f aca="false">R484*(1-TradeDiscount)</f>
        <v>1308.82372984</v>
      </c>
      <c r="T484" s="28" t="n">
        <f aca="false">R484*(1-VolumeDiscount)</f>
        <v>1189.8397544</v>
      </c>
    </row>
    <row r="485" customFormat="false" ht="15" hidden="false" customHeight="false" outlineLevel="0" collapsed="false">
      <c r="A485" s="29" t="s">
        <v>1178</v>
      </c>
      <c r="B485" s="29" t="s">
        <v>96</v>
      </c>
      <c r="C485" s="29" t="s">
        <v>43</v>
      </c>
      <c r="D485" s="29" t="s">
        <v>1179</v>
      </c>
      <c r="E485" s="29" t="s">
        <v>1173</v>
      </c>
      <c r="F485" s="29" t="s">
        <v>189</v>
      </c>
      <c r="G485" s="29" t="s">
        <v>39</v>
      </c>
      <c r="H485" s="29" t="s">
        <v>67</v>
      </c>
      <c r="I485" s="29" t="s">
        <v>190</v>
      </c>
      <c r="J485" s="29" t="s">
        <v>191</v>
      </c>
      <c r="K485" s="29" t="s">
        <v>192</v>
      </c>
      <c r="L485" s="29" t="s">
        <v>29</v>
      </c>
      <c r="M485" s="29" t="n">
        <v>609</v>
      </c>
      <c r="N485" s="29" t="n">
        <v>609</v>
      </c>
      <c r="O485" s="29"/>
      <c r="P485" s="30" t="n">
        <f aca="false">(M485*N485/1000000)*(INDEX(AreaRate_Vals,MATCH(C485,AreaRate_Keys,0))+IFERROR(INDEX(GlazingUpg_Vals,MATCH(H485,GlazingUpg_Keys,0)),0))+INDEX(Hardware_Vals,MATCH("Windows",Hardware_Keys,0))</f>
        <v>1047.39415</v>
      </c>
      <c r="Q485" s="31" t="n">
        <f aca="false">INDEX(Markup_Vals,MATCH("Windows",MarkupCat_Keys,0))</f>
        <v>0.42</v>
      </c>
      <c r="R485" s="32" t="n">
        <f aca="false">P485*(1+Q485)</f>
        <v>1487.299693</v>
      </c>
      <c r="S485" s="32" t="n">
        <f aca="false">R485*(1-TradeDiscount)</f>
        <v>1308.82372984</v>
      </c>
      <c r="T485" s="32" t="n">
        <f aca="false">R485*(1-VolumeDiscount)</f>
        <v>1189.8397544</v>
      </c>
    </row>
    <row r="486" customFormat="false" ht="15" hidden="false" customHeight="false" outlineLevel="0" collapsed="false">
      <c r="A486" s="25" t="s">
        <v>1180</v>
      </c>
      <c r="B486" s="25" t="s">
        <v>96</v>
      </c>
      <c r="C486" s="25" t="s">
        <v>43</v>
      </c>
      <c r="D486" s="25" t="s">
        <v>1181</v>
      </c>
      <c r="E486" s="25" t="s">
        <v>1173</v>
      </c>
      <c r="F486" s="25" t="s">
        <v>189</v>
      </c>
      <c r="G486" s="25" t="s">
        <v>38</v>
      </c>
      <c r="H486" s="25" t="s">
        <v>67</v>
      </c>
      <c r="I486" s="25" t="s">
        <v>190</v>
      </c>
      <c r="J486" s="25" t="s">
        <v>191</v>
      </c>
      <c r="K486" s="25" t="s">
        <v>192</v>
      </c>
      <c r="L486" s="25" t="s">
        <v>29</v>
      </c>
      <c r="M486" s="25" t="n">
        <v>609</v>
      </c>
      <c r="N486" s="25" t="n">
        <v>609</v>
      </c>
      <c r="O486" s="25"/>
      <c r="P486" s="26" t="n">
        <f aca="false">(M486*N486/1000000)*(INDEX(AreaRate_Vals,MATCH(C486,AreaRate_Keys,0))+IFERROR(INDEX(GlazingUpg_Vals,MATCH(H486,GlazingUpg_Keys,0)),0))+INDEX(Hardware_Vals,MATCH("Windows",Hardware_Keys,0))</f>
        <v>1047.39415</v>
      </c>
      <c r="Q486" s="27" t="n">
        <f aca="false">INDEX(Markup_Vals,MATCH("Windows",MarkupCat_Keys,0))</f>
        <v>0.42</v>
      </c>
      <c r="R486" s="28" t="n">
        <f aca="false">P486*(1+Q486)</f>
        <v>1487.299693</v>
      </c>
      <c r="S486" s="28" t="n">
        <f aca="false">R486*(1-TradeDiscount)</f>
        <v>1308.82372984</v>
      </c>
      <c r="T486" s="28" t="n">
        <f aca="false">R486*(1-VolumeDiscount)</f>
        <v>1189.8397544</v>
      </c>
    </row>
    <row r="487" customFormat="false" ht="15" hidden="false" customHeight="false" outlineLevel="0" collapsed="false">
      <c r="A487" s="29" t="s">
        <v>1182</v>
      </c>
      <c r="B487" s="29" t="s">
        <v>96</v>
      </c>
      <c r="C487" s="29" t="s">
        <v>43</v>
      </c>
      <c r="D487" s="29" t="s">
        <v>1183</v>
      </c>
      <c r="E487" s="29" t="s">
        <v>1173</v>
      </c>
      <c r="F487" s="29" t="s">
        <v>1184</v>
      </c>
      <c r="G487" s="29" t="s">
        <v>35</v>
      </c>
      <c r="H487" s="29" t="s">
        <v>67</v>
      </c>
      <c r="I487" s="29" t="s">
        <v>190</v>
      </c>
      <c r="J487" s="29" t="s">
        <v>191</v>
      </c>
      <c r="K487" s="29" t="s">
        <v>192</v>
      </c>
      <c r="L487" s="29" t="s">
        <v>29</v>
      </c>
      <c r="M487" s="29" t="n">
        <v>909</v>
      </c>
      <c r="N487" s="29" t="n">
        <v>609</v>
      </c>
      <c r="O487" s="29"/>
      <c r="P487" s="30" t="n">
        <f aca="false">(M487*N487/1000000)*(INDEX(AreaRate_Vals,MATCH(C487,AreaRate_Keys,0))+IFERROR(INDEX(GlazingUpg_Vals,MATCH(H487,GlazingUpg_Keys,0)),0))+INDEX(Hardware_Vals,MATCH("Windows",Hardware_Keys,0))</f>
        <v>1440.19915</v>
      </c>
      <c r="Q487" s="31" t="n">
        <f aca="false">INDEX(Markup_Vals,MATCH("Windows",MarkupCat_Keys,0))</f>
        <v>0.42</v>
      </c>
      <c r="R487" s="32" t="n">
        <f aca="false">P487*(1+Q487)</f>
        <v>2045.082793</v>
      </c>
      <c r="S487" s="32" t="n">
        <f aca="false">R487*(1-TradeDiscount)</f>
        <v>1799.67285784</v>
      </c>
      <c r="T487" s="32" t="n">
        <f aca="false">R487*(1-VolumeDiscount)</f>
        <v>1636.0662344</v>
      </c>
    </row>
    <row r="488" customFormat="false" ht="15" hidden="false" customHeight="false" outlineLevel="0" collapsed="false">
      <c r="A488" s="25" t="s">
        <v>1185</v>
      </c>
      <c r="B488" s="25" t="s">
        <v>96</v>
      </c>
      <c r="C488" s="25" t="s">
        <v>43</v>
      </c>
      <c r="D488" s="25" t="s">
        <v>1186</v>
      </c>
      <c r="E488" s="25" t="s">
        <v>1173</v>
      </c>
      <c r="F488" s="25" t="s">
        <v>1184</v>
      </c>
      <c r="G488" s="25" t="s">
        <v>36</v>
      </c>
      <c r="H488" s="25" t="s">
        <v>67</v>
      </c>
      <c r="I488" s="25" t="s">
        <v>190</v>
      </c>
      <c r="J488" s="25" t="s">
        <v>191</v>
      </c>
      <c r="K488" s="25" t="s">
        <v>192</v>
      </c>
      <c r="L488" s="25" t="s">
        <v>29</v>
      </c>
      <c r="M488" s="25" t="n">
        <v>909</v>
      </c>
      <c r="N488" s="25" t="n">
        <v>609</v>
      </c>
      <c r="O488" s="25"/>
      <c r="P488" s="26" t="n">
        <f aca="false">(M488*N488/1000000)*(INDEX(AreaRate_Vals,MATCH(C488,AreaRate_Keys,0))+IFERROR(INDEX(GlazingUpg_Vals,MATCH(H488,GlazingUpg_Keys,0)),0))+INDEX(Hardware_Vals,MATCH("Windows",Hardware_Keys,0))</f>
        <v>1440.19915</v>
      </c>
      <c r="Q488" s="27" t="n">
        <f aca="false">INDEX(Markup_Vals,MATCH("Windows",MarkupCat_Keys,0))</f>
        <v>0.42</v>
      </c>
      <c r="R488" s="28" t="n">
        <f aca="false">P488*(1+Q488)</f>
        <v>2045.082793</v>
      </c>
      <c r="S488" s="28" t="n">
        <f aca="false">R488*(1-TradeDiscount)</f>
        <v>1799.67285784</v>
      </c>
      <c r="T488" s="28" t="n">
        <f aca="false">R488*(1-VolumeDiscount)</f>
        <v>1636.0662344</v>
      </c>
    </row>
    <row r="489" customFormat="false" ht="15" hidden="false" customHeight="false" outlineLevel="0" collapsed="false">
      <c r="A489" s="29" t="s">
        <v>1187</v>
      </c>
      <c r="B489" s="29" t="s">
        <v>96</v>
      </c>
      <c r="C489" s="29" t="s">
        <v>43</v>
      </c>
      <c r="D489" s="29" t="s">
        <v>1188</v>
      </c>
      <c r="E489" s="29" t="s">
        <v>1173</v>
      </c>
      <c r="F489" s="29" t="s">
        <v>1184</v>
      </c>
      <c r="G489" s="29" t="s">
        <v>37</v>
      </c>
      <c r="H489" s="29" t="s">
        <v>67</v>
      </c>
      <c r="I489" s="29" t="s">
        <v>190</v>
      </c>
      <c r="J489" s="29" t="s">
        <v>191</v>
      </c>
      <c r="K489" s="29" t="s">
        <v>192</v>
      </c>
      <c r="L489" s="29" t="s">
        <v>29</v>
      </c>
      <c r="M489" s="29" t="n">
        <v>909</v>
      </c>
      <c r="N489" s="29" t="n">
        <v>609</v>
      </c>
      <c r="O489" s="29"/>
      <c r="P489" s="30" t="n">
        <f aca="false">(M489*N489/1000000)*(INDEX(AreaRate_Vals,MATCH(C489,AreaRate_Keys,0))+IFERROR(INDEX(GlazingUpg_Vals,MATCH(H489,GlazingUpg_Keys,0)),0))+INDEX(Hardware_Vals,MATCH("Windows",Hardware_Keys,0))</f>
        <v>1440.19915</v>
      </c>
      <c r="Q489" s="31" t="n">
        <f aca="false">INDEX(Markup_Vals,MATCH("Windows",MarkupCat_Keys,0))</f>
        <v>0.42</v>
      </c>
      <c r="R489" s="32" t="n">
        <f aca="false">P489*(1+Q489)</f>
        <v>2045.082793</v>
      </c>
      <c r="S489" s="32" t="n">
        <f aca="false">R489*(1-TradeDiscount)</f>
        <v>1799.67285784</v>
      </c>
      <c r="T489" s="32" t="n">
        <f aca="false">R489*(1-VolumeDiscount)</f>
        <v>1636.0662344</v>
      </c>
    </row>
    <row r="490" customFormat="false" ht="15" hidden="false" customHeight="false" outlineLevel="0" collapsed="false">
      <c r="A490" s="25" t="s">
        <v>1189</v>
      </c>
      <c r="B490" s="25" t="s">
        <v>96</v>
      </c>
      <c r="C490" s="25" t="s">
        <v>43</v>
      </c>
      <c r="D490" s="25" t="s">
        <v>1190</v>
      </c>
      <c r="E490" s="25" t="s">
        <v>1173</v>
      </c>
      <c r="F490" s="25" t="s">
        <v>1184</v>
      </c>
      <c r="G490" s="25" t="s">
        <v>39</v>
      </c>
      <c r="H490" s="25" t="s">
        <v>67</v>
      </c>
      <c r="I490" s="25" t="s">
        <v>190</v>
      </c>
      <c r="J490" s="25" t="s">
        <v>191</v>
      </c>
      <c r="K490" s="25" t="s">
        <v>192</v>
      </c>
      <c r="L490" s="25" t="s">
        <v>29</v>
      </c>
      <c r="M490" s="25" t="n">
        <v>909</v>
      </c>
      <c r="N490" s="25" t="n">
        <v>609</v>
      </c>
      <c r="O490" s="25"/>
      <c r="P490" s="26" t="n">
        <f aca="false">(M490*N490/1000000)*(INDEX(AreaRate_Vals,MATCH(C490,AreaRate_Keys,0))+IFERROR(INDEX(GlazingUpg_Vals,MATCH(H490,GlazingUpg_Keys,0)),0))+INDEX(Hardware_Vals,MATCH("Windows",Hardware_Keys,0))</f>
        <v>1440.19915</v>
      </c>
      <c r="Q490" s="27" t="n">
        <f aca="false">INDEX(Markup_Vals,MATCH("Windows",MarkupCat_Keys,0))</f>
        <v>0.42</v>
      </c>
      <c r="R490" s="28" t="n">
        <f aca="false">P490*(1+Q490)</f>
        <v>2045.082793</v>
      </c>
      <c r="S490" s="28" t="n">
        <f aca="false">R490*(1-TradeDiscount)</f>
        <v>1799.67285784</v>
      </c>
      <c r="T490" s="28" t="n">
        <f aca="false">R490*(1-VolumeDiscount)</f>
        <v>1636.0662344</v>
      </c>
    </row>
    <row r="491" customFormat="false" ht="15" hidden="false" customHeight="false" outlineLevel="0" collapsed="false">
      <c r="A491" s="29" t="s">
        <v>1191</v>
      </c>
      <c r="B491" s="29" t="s">
        <v>96</v>
      </c>
      <c r="C491" s="29" t="s">
        <v>43</v>
      </c>
      <c r="D491" s="29" t="s">
        <v>1192</v>
      </c>
      <c r="E491" s="29" t="s">
        <v>1173</v>
      </c>
      <c r="F491" s="29" t="s">
        <v>1184</v>
      </c>
      <c r="G491" s="29" t="s">
        <v>38</v>
      </c>
      <c r="H491" s="29" t="s">
        <v>67</v>
      </c>
      <c r="I491" s="29" t="s">
        <v>190</v>
      </c>
      <c r="J491" s="29" t="s">
        <v>191</v>
      </c>
      <c r="K491" s="29" t="s">
        <v>192</v>
      </c>
      <c r="L491" s="29" t="s">
        <v>29</v>
      </c>
      <c r="M491" s="29" t="n">
        <v>909</v>
      </c>
      <c r="N491" s="29" t="n">
        <v>609</v>
      </c>
      <c r="O491" s="29"/>
      <c r="P491" s="30" t="n">
        <f aca="false">(M491*N491/1000000)*(INDEX(AreaRate_Vals,MATCH(C491,AreaRate_Keys,0))+IFERROR(INDEX(GlazingUpg_Vals,MATCH(H491,GlazingUpg_Keys,0)),0))+INDEX(Hardware_Vals,MATCH("Windows",Hardware_Keys,0))</f>
        <v>1440.19915</v>
      </c>
      <c r="Q491" s="31" t="n">
        <f aca="false">INDEX(Markup_Vals,MATCH("Windows",MarkupCat_Keys,0))</f>
        <v>0.42</v>
      </c>
      <c r="R491" s="32" t="n">
        <f aca="false">P491*(1+Q491)</f>
        <v>2045.082793</v>
      </c>
      <c r="S491" s="32" t="n">
        <f aca="false">R491*(1-TradeDiscount)</f>
        <v>1799.67285784</v>
      </c>
      <c r="T491" s="32" t="n">
        <f aca="false">R491*(1-VolumeDiscount)</f>
        <v>1636.0662344</v>
      </c>
    </row>
    <row r="492" customFormat="false" ht="15" hidden="false" customHeight="false" outlineLevel="0" collapsed="false">
      <c r="A492" s="25" t="s">
        <v>1193</v>
      </c>
      <c r="B492" s="25" t="s">
        <v>96</v>
      </c>
      <c r="C492" s="25" t="s">
        <v>43</v>
      </c>
      <c r="D492" s="25" t="s">
        <v>1194</v>
      </c>
      <c r="E492" s="25" t="s">
        <v>1173</v>
      </c>
      <c r="F492" s="25" t="s">
        <v>213</v>
      </c>
      <c r="G492" s="25" t="s">
        <v>35</v>
      </c>
      <c r="H492" s="25" t="s">
        <v>67</v>
      </c>
      <c r="I492" s="25" t="s">
        <v>190</v>
      </c>
      <c r="J492" s="25" t="s">
        <v>191</v>
      </c>
      <c r="K492" s="25" t="s">
        <v>192</v>
      </c>
      <c r="L492" s="25" t="s">
        <v>29</v>
      </c>
      <c r="M492" s="25" t="n">
        <v>1209</v>
      </c>
      <c r="N492" s="25" t="n">
        <v>609</v>
      </c>
      <c r="O492" s="25"/>
      <c r="P492" s="26" t="n">
        <f aca="false">(M492*N492/1000000)*(INDEX(AreaRate_Vals,MATCH(C492,AreaRate_Keys,0))+IFERROR(INDEX(GlazingUpg_Vals,MATCH(H492,GlazingUpg_Keys,0)),0))+INDEX(Hardware_Vals,MATCH("Windows",Hardware_Keys,0))</f>
        <v>1833.00415</v>
      </c>
      <c r="Q492" s="27" t="n">
        <f aca="false">INDEX(Markup_Vals,MATCH("Windows",MarkupCat_Keys,0))</f>
        <v>0.42</v>
      </c>
      <c r="R492" s="28" t="n">
        <f aca="false">P492*(1+Q492)</f>
        <v>2602.865893</v>
      </c>
      <c r="S492" s="28" t="n">
        <f aca="false">R492*(1-TradeDiscount)</f>
        <v>2290.52198584</v>
      </c>
      <c r="T492" s="28" t="n">
        <f aca="false">R492*(1-VolumeDiscount)</f>
        <v>2082.2927144</v>
      </c>
    </row>
    <row r="493" customFormat="false" ht="15" hidden="false" customHeight="false" outlineLevel="0" collapsed="false">
      <c r="A493" s="29" t="s">
        <v>1195</v>
      </c>
      <c r="B493" s="29" t="s">
        <v>96</v>
      </c>
      <c r="C493" s="29" t="s">
        <v>43</v>
      </c>
      <c r="D493" s="29" t="s">
        <v>1196</v>
      </c>
      <c r="E493" s="29" t="s">
        <v>1173</v>
      </c>
      <c r="F493" s="29" t="s">
        <v>213</v>
      </c>
      <c r="G493" s="29" t="s">
        <v>36</v>
      </c>
      <c r="H493" s="29" t="s">
        <v>67</v>
      </c>
      <c r="I493" s="29" t="s">
        <v>190</v>
      </c>
      <c r="J493" s="29" t="s">
        <v>191</v>
      </c>
      <c r="K493" s="29" t="s">
        <v>192</v>
      </c>
      <c r="L493" s="29" t="s">
        <v>29</v>
      </c>
      <c r="M493" s="29" t="n">
        <v>1209</v>
      </c>
      <c r="N493" s="29" t="n">
        <v>609</v>
      </c>
      <c r="O493" s="29"/>
      <c r="P493" s="30" t="n">
        <f aca="false">(M493*N493/1000000)*(INDEX(AreaRate_Vals,MATCH(C493,AreaRate_Keys,0))+IFERROR(INDEX(GlazingUpg_Vals,MATCH(H493,GlazingUpg_Keys,0)),0))+INDEX(Hardware_Vals,MATCH("Windows",Hardware_Keys,0))</f>
        <v>1833.00415</v>
      </c>
      <c r="Q493" s="31" t="n">
        <f aca="false">INDEX(Markup_Vals,MATCH("Windows",MarkupCat_Keys,0))</f>
        <v>0.42</v>
      </c>
      <c r="R493" s="32" t="n">
        <f aca="false">P493*(1+Q493)</f>
        <v>2602.865893</v>
      </c>
      <c r="S493" s="32" t="n">
        <f aca="false">R493*(1-TradeDiscount)</f>
        <v>2290.52198584</v>
      </c>
      <c r="T493" s="32" t="n">
        <f aca="false">R493*(1-VolumeDiscount)</f>
        <v>2082.2927144</v>
      </c>
    </row>
    <row r="494" customFormat="false" ht="15" hidden="false" customHeight="false" outlineLevel="0" collapsed="false">
      <c r="A494" s="25" t="s">
        <v>1197</v>
      </c>
      <c r="B494" s="25" t="s">
        <v>96</v>
      </c>
      <c r="C494" s="25" t="s">
        <v>43</v>
      </c>
      <c r="D494" s="25" t="s">
        <v>1198</v>
      </c>
      <c r="E494" s="25" t="s">
        <v>1173</v>
      </c>
      <c r="F494" s="25" t="s">
        <v>213</v>
      </c>
      <c r="G494" s="25" t="s">
        <v>37</v>
      </c>
      <c r="H494" s="25" t="s">
        <v>67</v>
      </c>
      <c r="I494" s="25" t="s">
        <v>190</v>
      </c>
      <c r="J494" s="25" t="s">
        <v>191</v>
      </c>
      <c r="K494" s="25" t="s">
        <v>192</v>
      </c>
      <c r="L494" s="25" t="s">
        <v>29</v>
      </c>
      <c r="M494" s="25" t="n">
        <v>1209</v>
      </c>
      <c r="N494" s="25" t="n">
        <v>609</v>
      </c>
      <c r="O494" s="25"/>
      <c r="P494" s="26" t="n">
        <f aca="false">(M494*N494/1000000)*(INDEX(AreaRate_Vals,MATCH(C494,AreaRate_Keys,0))+IFERROR(INDEX(GlazingUpg_Vals,MATCH(H494,GlazingUpg_Keys,0)),0))+INDEX(Hardware_Vals,MATCH("Windows",Hardware_Keys,0))</f>
        <v>1833.00415</v>
      </c>
      <c r="Q494" s="27" t="n">
        <f aca="false">INDEX(Markup_Vals,MATCH("Windows",MarkupCat_Keys,0))</f>
        <v>0.42</v>
      </c>
      <c r="R494" s="28" t="n">
        <f aca="false">P494*(1+Q494)</f>
        <v>2602.865893</v>
      </c>
      <c r="S494" s="28" t="n">
        <f aca="false">R494*(1-TradeDiscount)</f>
        <v>2290.52198584</v>
      </c>
      <c r="T494" s="28" t="n">
        <f aca="false">R494*(1-VolumeDiscount)</f>
        <v>2082.2927144</v>
      </c>
    </row>
    <row r="495" customFormat="false" ht="15" hidden="false" customHeight="false" outlineLevel="0" collapsed="false">
      <c r="A495" s="29" t="s">
        <v>1199</v>
      </c>
      <c r="B495" s="29" t="s">
        <v>96</v>
      </c>
      <c r="C495" s="29" t="s">
        <v>43</v>
      </c>
      <c r="D495" s="29" t="s">
        <v>1200</v>
      </c>
      <c r="E495" s="29" t="s">
        <v>1173</v>
      </c>
      <c r="F495" s="29" t="s">
        <v>213</v>
      </c>
      <c r="G495" s="29" t="s">
        <v>39</v>
      </c>
      <c r="H495" s="29" t="s">
        <v>67</v>
      </c>
      <c r="I495" s="29" t="s">
        <v>190</v>
      </c>
      <c r="J495" s="29" t="s">
        <v>191</v>
      </c>
      <c r="K495" s="29" t="s">
        <v>192</v>
      </c>
      <c r="L495" s="29" t="s">
        <v>29</v>
      </c>
      <c r="M495" s="29" t="n">
        <v>1209</v>
      </c>
      <c r="N495" s="29" t="n">
        <v>609</v>
      </c>
      <c r="O495" s="29"/>
      <c r="P495" s="30" t="n">
        <f aca="false">(M495*N495/1000000)*(INDEX(AreaRate_Vals,MATCH(C495,AreaRate_Keys,0))+IFERROR(INDEX(GlazingUpg_Vals,MATCH(H495,GlazingUpg_Keys,0)),0))+INDEX(Hardware_Vals,MATCH("Windows",Hardware_Keys,0))</f>
        <v>1833.00415</v>
      </c>
      <c r="Q495" s="31" t="n">
        <f aca="false">INDEX(Markup_Vals,MATCH("Windows",MarkupCat_Keys,0))</f>
        <v>0.42</v>
      </c>
      <c r="R495" s="32" t="n">
        <f aca="false">P495*(1+Q495)</f>
        <v>2602.865893</v>
      </c>
      <c r="S495" s="32" t="n">
        <f aca="false">R495*(1-TradeDiscount)</f>
        <v>2290.52198584</v>
      </c>
      <c r="T495" s="32" t="n">
        <f aca="false">R495*(1-VolumeDiscount)</f>
        <v>2082.2927144</v>
      </c>
    </row>
    <row r="496" customFormat="false" ht="15" hidden="false" customHeight="false" outlineLevel="0" collapsed="false">
      <c r="A496" s="25" t="s">
        <v>1201</v>
      </c>
      <c r="B496" s="25" t="s">
        <v>96</v>
      </c>
      <c r="C496" s="25" t="s">
        <v>43</v>
      </c>
      <c r="D496" s="25" t="s">
        <v>1202</v>
      </c>
      <c r="E496" s="25" t="s">
        <v>1173</v>
      </c>
      <c r="F496" s="25" t="s">
        <v>213</v>
      </c>
      <c r="G496" s="25" t="s">
        <v>38</v>
      </c>
      <c r="H496" s="25" t="s">
        <v>67</v>
      </c>
      <c r="I496" s="25" t="s">
        <v>190</v>
      </c>
      <c r="J496" s="25" t="s">
        <v>191</v>
      </c>
      <c r="K496" s="25" t="s">
        <v>192</v>
      </c>
      <c r="L496" s="25" t="s">
        <v>29</v>
      </c>
      <c r="M496" s="25" t="n">
        <v>1209</v>
      </c>
      <c r="N496" s="25" t="n">
        <v>609</v>
      </c>
      <c r="O496" s="25"/>
      <c r="P496" s="26" t="n">
        <f aca="false">(M496*N496/1000000)*(INDEX(AreaRate_Vals,MATCH(C496,AreaRate_Keys,0))+IFERROR(INDEX(GlazingUpg_Vals,MATCH(H496,GlazingUpg_Keys,0)),0))+INDEX(Hardware_Vals,MATCH("Windows",Hardware_Keys,0))</f>
        <v>1833.00415</v>
      </c>
      <c r="Q496" s="27" t="n">
        <f aca="false">INDEX(Markup_Vals,MATCH("Windows",MarkupCat_Keys,0))</f>
        <v>0.42</v>
      </c>
      <c r="R496" s="28" t="n">
        <f aca="false">P496*(1+Q496)</f>
        <v>2602.865893</v>
      </c>
      <c r="S496" s="28" t="n">
        <f aca="false">R496*(1-TradeDiscount)</f>
        <v>2290.52198584</v>
      </c>
      <c r="T496" s="28" t="n">
        <f aca="false">R496*(1-VolumeDiscount)</f>
        <v>2082.2927144</v>
      </c>
    </row>
    <row r="497" customFormat="false" ht="15" hidden="false" customHeight="false" outlineLevel="0" collapsed="false">
      <c r="A497" s="29" t="s">
        <v>1203</v>
      </c>
      <c r="B497" s="29" t="s">
        <v>96</v>
      </c>
      <c r="C497" s="29" t="s">
        <v>43</v>
      </c>
      <c r="D497" s="29" t="s">
        <v>1204</v>
      </c>
      <c r="E497" s="29" t="s">
        <v>1173</v>
      </c>
      <c r="F497" s="29" t="s">
        <v>234</v>
      </c>
      <c r="G497" s="29" t="s">
        <v>35</v>
      </c>
      <c r="H497" s="29" t="s">
        <v>67</v>
      </c>
      <c r="I497" s="29" t="s">
        <v>190</v>
      </c>
      <c r="J497" s="29" t="s">
        <v>191</v>
      </c>
      <c r="K497" s="29" t="s">
        <v>192</v>
      </c>
      <c r="L497" s="29" t="s">
        <v>29</v>
      </c>
      <c r="M497" s="29" t="n">
        <v>1209</v>
      </c>
      <c r="N497" s="29" t="n">
        <v>909</v>
      </c>
      <c r="O497" s="29"/>
      <c r="P497" s="30" t="n">
        <f aca="false">(M497*N497/1000000)*(INDEX(AreaRate_Vals,MATCH(C497,AreaRate_Keys,0))+IFERROR(INDEX(GlazingUpg_Vals,MATCH(H497,GlazingUpg_Keys,0)),0))+INDEX(Hardware_Vals,MATCH("Windows",Hardware_Keys,0))</f>
        <v>2612.80915</v>
      </c>
      <c r="Q497" s="31" t="n">
        <f aca="false">INDEX(Markup_Vals,MATCH("Windows",MarkupCat_Keys,0))</f>
        <v>0.42</v>
      </c>
      <c r="R497" s="32" t="n">
        <f aca="false">P497*(1+Q497)</f>
        <v>3710.188993</v>
      </c>
      <c r="S497" s="32" t="n">
        <f aca="false">R497*(1-TradeDiscount)</f>
        <v>3264.96631384</v>
      </c>
      <c r="T497" s="32" t="n">
        <f aca="false">R497*(1-VolumeDiscount)</f>
        <v>2968.1511944</v>
      </c>
    </row>
    <row r="498" customFormat="false" ht="15" hidden="false" customHeight="false" outlineLevel="0" collapsed="false">
      <c r="A498" s="25" t="s">
        <v>1205</v>
      </c>
      <c r="B498" s="25" t="s">
        <v>96</v>
      </c>
      <c r="C498" s="25" t="s">
        <v>43</v>
      </c>
      <c r="D498" s="25" t="s">
        <v>1206</v>
      </c>
      <c r="E498" s="25" t="s">
        <v>1173</v>
      </c>
      <c r="F498" s="25" t="s">
        <v>234</v>
      </c>
      <c r="G498" s="25" t="s">
        <v>36</v>
      </c>
      <c r="H498" s="25" t="s">
        <v>67</v>
      </c>
      <c r="I498" s="25" t="s">
        <v>190</v>
      </c>
      <c r="J498" s="25" t="s">
        <v>191</v>
      </c>
      <c r="K498" s="25" t="s">
        <v>192</v>
      </c>
      <c r="L498" s="25" t="s">
        <v>29</v>
      </c>
      <c r="M498" s="25" t="n">
        <v>1209</v>
      </c>
      <c r="N498" s="25" t="n">
        <v>909</v>
      </c>
      <c r="O498" s="25"/>
      <c r="P498" s="26" t="n">
        <f aca="false">(M498*N498/1000000)*(INDEX(AreaRate_Vals,MATCH(C498,AreaRate_Keys,0))+IFERROR(INDEX(GlazingUpg_Vals,MATCH(H498,GlazingUpg_Keys,0)),0))+INDEX(Hardware_Vals,MATCH("Windows",Hardware_Keys,0))</f>
        <v>2612.80915</v>
      </c>
      <c r="Q498" s="27" t="n">
        <f aca="false">INDEX(Markup_Vals,MATCH("Windows",MarkupCat_Keys,0))</f>
        <v>0.42</v>
      </c>
      <c r="R498" s="28" t="n">
        <f aca="false">P498*(1+Q498)</f>
        <v>3710.188993</v>
      </c>
      <c r="S498" s="28" t="n">
        <f aca="false">R498*(1-TradeDiscount)</f>
        <v>3264.96631384</v>
      </c>
      <c r="T498" s="28" t="n">
        <f aca="false">R498*(1-VolumeDiscount)</f>
        <v>2968.1511944</v>
      </c>
    </row>
    <row r="499" customFormat="false" ht="15" hidden="false" customHeight="false" outlineLevel="0" collapsed="false">
      <c r="A499" s="29" t="s">
        <v>1207</v>
      </c>
      <c r="B499" s="29" t="s">
        <v>96</v>
      </c>
      <c r="C499" s="29" t="s">
        <v>43</v>
      </c>
      <c r="D499" s="29" t="s">
        <v>1208</v>
      </c>
      <c r="E499" s="29" t="s">
        <v>1173</v>
      </c>
      <c r="F499" s="29" t="s">
        <v>234</v>
      </c>
      <c r="G499" s="29" t="s">
        <v>37</v>
      </c>
      <c r="H499" s="29" t="s">
        <v>67</v>
      </c>
      <c r="I499" s="29" t="s">
        <v>190</v>
      </c>
      <c r="J499" s="29" t="s">
        <v>191</v>
      </c>
      <c r="K499" s="29" t="s">
        <v>192</v>
      </c>
      <c r="L499" s="29" t="s">
        <v>29</v>
      </c>
      <c r="M499" s="29" t="n">
        <v>1209</v>
      </c>
      <c r="N499" s="29" t="n">
        <v>909</v>
      </c>
      <c r="O499" s="29"/>
      <c r="P499" s="30" t="n">
        <f aca="false">(M499*N499/1000000)*(INDEX(AreaRate_Vals,MATCH(C499,AreaRate_Keys,0))+IFERROR(INDEX(GlazingUpg_Vals,MATCH(H499,GlazingUpg_Keys,0)),0))+INDEX(Hardware_Vals,MATCH("Windows",Hardware_Keys,0))</f>
        <v>2612.80915</v>
      </c>
      <c r="Q499" s="31" t="n">
        <f aca="false">INDEX(Markup_Vals,MATCH("Windows",MarkupCat_Keys,0))</f>
        <v>0.42</v>
      </c>
      <c r="R499" s="32" t="n">
        <f aca="false">P499*(1+Q499)</f>
        <v>3710.188993</v>
      </c>
      <c r="S499" s="32" t="n">
        <f aca="false">R499*(1-TradeDiscount)</f>
        <v>3264.96631384</v>
      </c>
      <c r="T499" s="32" t="n">
        <f aca="false">R499*(1-VolumeDiscount)</f>
        <v>2968.1511944</v>
      </c>
    </row>
    <row r="500" customFormat="false" ht="15" hidden="false" customHeight="false" outlineLevel="0" collapsed="false">
      <c r="A500" s="25" t="s">
        <v>1209</v>
      </c>
      <c r="B500" s="25" t="s">
        <v>96</v>
      </c>
      <c r="C500" s="25" t="s">
        <v>43</v>
      </c>
      <c r="D500" s="25" t="s">
        <v>1210</v>
      </c>
      <c r="E500" s="25" t="s">
        <v>1173</v>
      </c>
      <c r="F500" s="25" t="s">
        <v>234</v>
      </c>
      <c r="G500" s="25" t="s">
        <v>39</v>
      </c>
      <c r="H500" s="25" t="s">
        <v>67</v>
      </c>
      <c r="I500" s="25" t="s">
        <v>190</v>
      </c>
      <c r="J500" s="25" t="s">
        <v>191</v>
      </c>
      <c r="K500" s="25" t="s">
        <v>192</v>
      </c>
      <c r="L500" s="25" t="s">
        <v>29</v>
      </c>
      <c r="M500" s="25" t="n">
        <v>1209</v>
      </c>
      <c r="N500" s="25" t="n">
        <v>909</v>
      </c>
      <c r="O500" s="25"/>
      <c r="P500" s="26" t="n">
        <f aca="false">(M500*N500/1000000)*(INDEX(AreaRate_Vals,MATCH(C500,AreaRate_Keys,0))+IFERROR(INDEX(GlazingUpg_Vals,MATCH(H500,GlazingUpg_Keys,0)),0))+INDEX(Hardware_Vals,MATCH("Windows",Hardware_Keys,0))</f>
        <v>2612.80915</v>
      </c>
      <c r="Q500" s="27" t="n">
        <f aca="false">INDEX(Markup_Vals,MATCH("Windows",MarkupCat_Keys,0))</f>
        <v>0.42</v>
      </c>
      <c r="R500" s="28" t="n">
        <f aca="false">P500*(1+Q500)</f>
        <v>3710.188993</v>
      </c>
      <c r="S500" s="28" t="n">
        <f aca="false">R500*(1-TradeDiscount)</f>
        <v>3264.96631384</v>
      </c>
      <c r="T500" s="28" t="n">
        <f aca="false">R500*(1-VolumeDiscount)</f>
        <v>2968.1511944</v>
      </c>
    </row>
    <row r="501" customFormat="false" ht="15" hidden="false" customHeight="false" outlineLevel="0" collapsed="false">
      <c r="A501" s="29" t="s">
        <v>1211</v>
      </c>
      <c r="B501" s="29" t="s">
        <v>96</v>
      </c>
      <c r="C501" s="29" t="s">
        <v>43</v>
      </c>
      <c r="D501" s="29" t="s">
        <v>1212</v>
      </c>
      <c r="E501" s="29" t="s">
        <v>1173</v>
      </c>
      <c r="F501" s="29" t="s">
        <v>234</v>
      </c>
      <c r="G501" s="29" t="s">
        <v>38</v>
      </c>
      <c r="H501" s="29" t="s">
        <v>67</v>
      </c>
      <c r="I501" s="29" t="s">
        <v>190</v>
      </c>
      <c r="J501" s="29" t="s">
        <v>191</v>
      </c>
      <c r="K501" s="29" t="s">
        <v>192</v>
      </c>
      <c r="L501" s="29" t="s">
        <v>29</v>
      </c>
      <c r="M501" s="29" t="n">
        <v>1209</v>
      </c>
      <c r="N501" s="29" t="n">
        <v>909</v>
      </c>
      <c r="O501" s="29"/>
      <c r="P501" s="30" t="n">
        <f aca="false">(M501*N501/1000000)*(INDEX(AreaRate_Vals,MATCH(C501,AreaRate_Keys,0))+IFERROR(INDEX(GlazingUpg_Vals,MATCH(H501,GlazingUpg_Keys,0)),0))+INDEX(Hardware_Vals,MATCH("Windows",Hardware_Keys,0))</f>
        <v>2612.80915</v>
      </c>
      <c r="Q501" s="31" t="n">
        <f aca="false">INDEX(Markup_Vals,MATCH("Windows",MarkupCat_Keys,0))</f>
        <v>0.42</v>
      </c>
      <c r="R501" s="32" t="n">
        <f aca="false">P501*(1+Q501)</f>
        <v>3710.188993</v>
      </c>
      <c r="S501" s="32" t="n">
        <f aca="false">R501*(1-TradeDiscount)</f>
        <v>3264.96631384</v>
      </c>
      <c r="T501" s="32" t="n">
        <f aca="false">R501*(1-VolumeDiscount)</f>
        <v>2968.1511944</v>
      </c>
    </row>
    <row r="502" customFormat="false" ht="15" hidden="false" customHeight="false" outlineLevel="0" collapsed="false">
      <c r="A502" s="25" t="s">
        <v>1213</v>
      </c>
      <c r="B502" s="25" t="s">
        <v>96</v>
      </c>
      <c r="C502" s="25" t="s">
        <v>43</v>
      </c>
      <c r="D502" s="25" t="s">
        <v>1214</v>
      </c>
      <c r="E502" s="25" t="s">
        <v>1173</v>
      </c>
      <c r="F502" s="25" t="s">
        <v>1215</v>
      </c>
      <c r="G502" s="25" t="s">
        <v>35</v>
      </c>
      <c r="H502" s="25" t="s">
        <v>67</v>
      </c>
      <c r="I502" s="25" t="s">
        <v>190</v>
      </c>
      <c r="J502" s="25" t="s">
        <v>191</v>
      </c>
      <c r="K502" s="25" t="s">
        <v>192</v>
      </c>
      <c r="L502" s="25" t="s">
        <v>29</v>
      </c>
      <c r="M502" s="25" t="n">
        <v>1509</v>
      </c>
      <c r="N502" s="25" t="n">
        <v>909</v>
      </c>
      <c r="O502" s="25"/>
      <c r="P502" s="26" t="n">
        <f aca="false">(M502*N502/1000000)*(INDEX(AreaRate_Vals,MATCH(C502,AreaRate_Keys,0))+IFERROR(INDEX(GlazingUpg_Vals,MATCH(H502,GlazingUpg_Keys,0)),0))+INDEX(Hardware_Vals,MATCH("Windows",Hardware_Keys,0))</f>
        <v>3199.11415</v>
      </c>
      <c r="Q502" s="27" t="n">
        <f aca="false">INDEX(Markup_Vals,MATCH("Windows",MarkupCat_Keys,0))</f>
        <v>0.42</v>
      </c>
      <c r="R502" s="28" t="n">
        <f aca="false">P502*(1+Q502)</f>
        <v>4542.742093</v>
      </c>
      <c r="S502" s="28" t="n">
        <f aca="false">R502*(1-TradeDiscount)</f>
        <v>3997.61304184</v>
      </c>
      <c r="T502" s="28" t="n">
        <f aca="false">R502*(1-VolumeDiscount)</f>
        <v>3634.1936744</v>
      </c>
    </row>
    <row r="503" customFormat="false" ht="15" hidden="false" customHeight="false" outlineLevel="0" collapsed="false">
      <c r="A503" s="29" t="s">
        <v>1216</v>
      </c>
      <c r="B503" s="29" t="s">
        <v>96</v>
      </c>
      <c r="C503" s="29" t="s">
        <v>43</v>
      </c>
      <c r="D503" s="29" t="s">
        <v>1217</v>
      </c>
      <c r="E503" s="29" t="s">
        <v>1173</v>
      </c>
      <c r="F503" s="29" t="s">
        <v>1215</v>
      </c>
      <c r="G503" s="29" t="s">
        <v>36</v>
      </c>
      <c r="H503" s="29" t="s">
        <v>67</v>
      </c>
      <c r="I503" s="29" t="s">
        <v>190</v>
      </c>
      <c r="J503" s="29" t="s">
        <v>191</v>
      </c>
      <c r="K503" s="29" t="s">
        <v>192</v>
      </c>
      <c r="L503" s="29" t="s">
        <v>29</v>
      </c>
      <c r="M503" s="29" t="n">
        <v>1509</v>
      </c>
      <c r="N503" s="29" t="n">
        <v>909</v>
      </c>
      <c r="O503" s="29"/>
      <c r="P503" s="30" t="n">
        <f aca="false">(M503*N503/1000000)*(INDEX(AreaRate_Vals,MATCH(C503,AreaRate_Keys,0))+IFERROR(INDEX(GlazingUpg_Vals,MATCH(H503,GlazingUpg_Keys,0)),0))+INDEX(Hardware_Vals,MATCH("Windows",Hardware_Keys,0))</f>
        <v>3199.11415</v>
      </c>
      <c r="Q503" s="31" t="n">
        <f aca="false">INDEX(Markup_Vals,MATCH("Windows",MarkupCat_Keys,0))</f>
        <v>0.42</v>
      </c>
      <c r="R503" s="32" t="n">
        <f aca="false">P503*(1+Q503)</f>
        <v>4542.742093</v>
      </c>
      <c r="S503" s="32" t="n">
        <f aca="false">R503*(1-TradeDiscount)</f>
        <v>3997.61304184</v>
      </c>
      <c r="T503" s="32" t="n">
        <f aca="false">R503*(1-VolumeDiscount)</f>
        <v>3634.1936744</v>
      </c>
    </row>
    <row r="504" customFormat="false" ht="15" hidden="false" customHeight="false" outlineLevel="0" collapsed="false">
      <c r="A504" s="25" t="s">
        <v>1218</v>
      </c>
      <c r="B504" s="25" t="s">
        <v>96</v>
      </c>
      <c r="C504" s="25" t="s">
        <v>43</v>
      </c>
      <c r="D504" s="25" t="s">
        <v>1219</v>
      </c>
      <c r="E504" s="25" t="s">
        <v>1173</v>
      </c>
      <c r="F504" s="25" t="s">
        <v>1215</v>
      </c>
      <c r="G504" s="25" t="s">
        <v>37</v>
      </c>
      <c r="H504" s="25" t="s">
        <v>67</v>
      </c>
      <c r="I504" s="25" t="s">
        <v>190</v>
      </c>
      <c r="J504" s="25" t="s">
        <v>191</v>
      </c>
      <c r="K504" s="25" t="s">
        <v>192</v>
      </c>
      <c r="L504" s="25" t="s">
        <v>29</v>
      </c>
      <c r="M504" s="25" t="n">
        <v>1509</v>
      </c>
      <c r="N504" s="25" t="n">
        <v>909</v>
      </c>
      <c r="O504" s="25"/>
      <c r="P504" s="26" t="n">
        <f aca="false">(M504*N504/1000000)*(INDEX(AreaRate_Vals,MATCH(C504,AreaRate_Keys,0))+IFERROR(INDEX(GlazingUpg_Vals,MATCH(H504,GlazingUpg_Keys,0)),0))+INDEX(Hardware_Vals,MATCH("Windows",Hardware_Keys,0))</f>
        <v>3199.11415</v>
      </c>
      <c r="Q504" s="27" t="n">
        <f aca="false">INDEX(Markup_Vals,MATCH("Windows",MarkupCat_Keys,0))</f>
        <v>0.42</v>
      </c>
      <c r="R504" s="28" t="n">
        <f aca="false">P504*(1+Q504)</f>
        <v>4542.742093</v>
      </c>
      <c r="S504" s="28" t="n">
        <f aca="false">R504*(1-TradeDiscount)</f>
        <v>3997.61304184</v>
      </c>
      <c r="T504" s="28" t="n">
        <f aca="false">R504*(1-VolumeDiscount)</f>
        <v>3634.1936744</v>
      </c>
    </row>
    <row r="505" customFormat="false" ht="15" hidden="false" customHeight="false" outlineLevel="0" collapsed="false">
      <c r="A505" s="29" t="s">
        <v>1220</v>
      </c>
      <c r="B505" s="29" t="s">
        <v>96</v>
      </c>
      <c r="C505" s="29" t="s">
        <v>43</v>
      </c>
      <c r="D505" s="29" t="s">
        <v>1221</v>
      </c>
      <c r="E505" s="29" t="s">
        <v>1173</v>
      </c>
      <c r="F505" s="29" t="s">
        <v>1215</v>
      </c>
      <c r="G505" s="29" t="s">
        <v>39</v>
      </c>
      <c r="H505" s="29" t="s">
        <v>67</v>
      </c>
      <c r="I505" s="29" t="s">
        <v>190</v>
      </c>
      <c r="J505" s="29" t="s">
        <v>191</v>
      </c>
      <c r="K505" s="29" t="s">
        <v>192</v>
      </c>
      <c r="L505" s="29" t="s">
        <v>29</v>
      </c>
      <c r="M505" s="29" t="n">
        <v>1509</v>
      </c>
      <c r="N505" s="29" t="n">
        <v>909</v>
      </c>
      <c r="O505" s="29"/>
      <c r="P505" s="30" t="n">
        <f aca="false">(M505*N505/1000000)*(INDEX(AreaRate_Vals,MATCH(C505,AreaRate_Keys,0))+IFERROR(INDEX(GlazingUpg_Vals,MATCH(H505,GlazingUpg_Keys,0)),0))+INDEX(Hardware_Vals,MATCH("Windows",Hardware_Keys,0))</f>
        <v>3199.11415</v>
      </c>
      <c r="Q505" s="31" t="n">
        <f aca="false">INDEX(Markup_Vals,MATCH("Windows",MarkupCat_Keys,0))</f>
        <v>0.42</v>
      </c>
      <c r="R505" s="32" t="n">
        <f aca="false">P505*(1+Q505)</f>
        <v>4542.742093</v>
      </c>
      <c r="S505" s="32" t="n">
        <f aca="false">R505*(1-TradeDiscount)</f>
        <v>3997.61304184</v>
      </c>
      <c r="T505" s="32" t="n">
        <f aca="false">R505*(1-VolumeDiscount)</f>
        <v>3634.1936744</v>
      </c>
    </row>
    <row r="506" customFormat="false" ht="15" hidden="false" customHeight="false" outlineLevel="0" collapsed="false">
      <c r="A506" s="25" t="s">
        <v>1222</v>
      </c>
      <c r="B506" s="25" t="s">
        <v>96</v>
      </c>
      <c r="C506" s="25" t="s">
        <v>43</v>
      </c>
      <c r="D506" s="25" t="s">
        <v>1223</v>
      </c>
      <c r="E506" s="25" t="s">
        <v>1173</v>
      </c>
      <c r="F506" s="25" t="s">
        <v>1215</v>
      </c>
      <c r="G506" s="25" t="s">
        <v>38</v>
      </c>
      <c r="H506" s="25" t="s">
        <v>67</v>
      </c>
      <c r="I506" s="25" t="s">
        <v>190</v>
      </c>
      <c r="J506" s="25" t="s">
        <v>191</v>
      </c>
      <c r="K506" s="25" t="s">
        <v>192</v>
      </c>
      <c r="L506" s="25" t="s">
        <v>29</v>
      </c>
      <c r="M506" s="25" t="n">
        <v>1509</v>
      </c>
      <c r="N506" s="25" t="n">
        <v>909</v>
      </c>
      <c r="O506" s="25"/>
      <c r="P506" s="26" t="n">
        <f aca="false">(M506*N506/1000000)*(INDEX(AreaRate_Vals,MATCH(C506,AreaRate_Keys,0))+IFERROR(INDEX(GlazingUpg_Vals,MATCH(H506,GlazingUpg_Keys,0)),0))+INDEX(Hardware_Vals,MATCH("Windows",Hardware_Keys,0))</f>
        <v>3199.11415</v>
      </c>
      <c r="Q506" s="27" t="n">
        <f aca="false">INDEX(Markup_Vals,MATCH("Windows",MarkupCat_Keys,0))</f>
        <v>0.42</v>
      </c>
      <c r="R506" s="28" t="n">
        <f aca="false">P506*(1+Q506)</f>
        <v>4542.742093</v>
      </c>
      <c r="S506" s="28" t="n">
        <f aca="false">R506*(1-TradeDiscount)</f>
        <v>3997.61304184</v>
      </c>
      <c r="T506" s="28" t="n">
        <f aca="false">R506*(1-VolumeDiscount)</f>
        <v>3634.1936744</v>
      </c>
    </row>
    <row r="507" customFormat="false" ht="15" hidden="false" customHeight="false" outlineLevel="0" collapsed="false">
      <c r="A507" s="29" t="s">
        <v>1224</v>
      </c>
      <c r="B507" s="29" t="s">
        <v>96</v>
      </c>
      <c r="C507" s="29" t="s">
        <v>43</v>
      </c>
      <c r="D507" s="29" t="s">
        <v>1225</v>
      </c>
      <c r="E507" s="29" t="s">
        <v>1173</v>
      </c>
      <c r="F507" s="29" t="s">
        <v>255</v>
      </c>
      <c r="G507" s="29" t="s">
        <v>35</v>
      </c>
      <c r="H507" s="29" t="s">
        <v>67</v>
      </c>
      <c r="I507" s="29" t="s">
        <v>190</v>
      </c>
      <c r="J507" s="29" t="s">
        <v>191</v>
      </c>
      <c r="K507" s="29" t="s">
        <v>192</v>
      </c>
      <c r="L507" s="29" t="s">
        <v>29</v>
      </c>
      <c r="M507" s="29" t="n">
        <v>1809</v>
      </c>
      <c r="N507" s="29" t="n">
        <v>909</v>
      </c>
      <c r="O507" s="29"/>
      <c r="P507" s="30" t="n">
        <f aca="false">(M507*N507/1000000)*(INDEX(AreaRate_Vals,MATCH(C507,AreaRate_Keys,0))+IFERROR(INDEX(GlazingUpg_Vals,MATCH(H507,GlazingUpg_Keys,0)),0))+INDEX(Hardware_Vals,MATCH("Windows",Hardware_Keys,0))</f>
        <v>3785.41915</v>
      </c>
      <c r="Q507" s="31" t="n">
        <f aca="false">INDEX(Markup_Vals,MATCH("Windows",MarkupCat_Keys,0))</f>
        <v>0.42</v>
      </c>
      <c r="R507" s="32" t="n">
        <f aca="false">P507*(1+Q507)</f>
        <v>5375.295193</v>
      </c>
      <c r="S507" s="32" t="n">
        <f aca="false">R507*(1-TradeDiscount)</f>
        <v>4730.25976984</v>
      </c>
      <c r="T507" s="32" t="n">
        <f aca="false">R507*(1-VolumeDiscount)</f>
        <v>4300.2361544</v>
      </c>
    </row>
    <row r="508" customFormat="false" ht="15" hidden="false" customHeight="false" outlineLevel="0" collapsed="false">
      <c r="A508" s="25" t="s">
        <v>1226</v>
      </c>
      <c r="B508" s="25" t="s">
        <v>96</v>
      </c>
      <c r="C508" s="25" t="s">
        <v>43</v>
      </c>
      <c r="D508" s="25" t="s">
        <v>1227</v>
      </c>
      <c r="E508" s="25" t="s">
        <v>1173</v>
      </c>
      <c r="F508" s="25" t="s">
        <v>255</v>
      </c>
      <c r="G508" s="25" t="s">
        <v>36</v>
      </c>
      <c r="H508" s="25" t="s">
        <v>67</v>
      </c>
      <c r="I508" s="25" t="s">
        <v>190</v>
      </c>
      <c r="J508" s="25" t="s">
        <v>191</v>
      </c>
      <c r="K508" s="25" t="s">
        <v>192</v>
      </c>
      <c r="L508" s="25" t="s">
        <v>29</v>
      </c>
      <c r="M508" s="25" t="n">
        <v>1809</v>
      </c>
      <c r="N508" s="25" t="n">
        <v>909</v>
      </c>
      <c r="O508" s="25"/>
      <c r="P508" s="26" t="n">
        <f aca="false">(M508*N508/1000000)*(INDEX(AreaRate_Vals,MATCH(C508,AreaRate_Keys,0))+IFERROR(INDEX(GlazingUpg_Vals,MATCH(H508,GlazingUpg_Keys,0)),0))+INDEX(Hardware_Vals,MATCH("Windows",Hardware_Keys,0))</f>
        <v>3785.41915</v>
      </c>
      <c r="Q508" s="27" t="n">
        <f aca="false">INDEX(Markup_Vals,MATCH("Windows",MarkupCat_Keys,0))</f>
        <v>0.42</v>
      </c>
      <c r="R508" s="28" t="n">
        <f aca="false">P508*(1+Q508)</f>
        <v>5375.295193</v>
      </c>
      <c r="S508" s="28" t="n">
        <f aca="false">R508*(1-TradeDiscount)</f>
        <v>4730.25976984</v>
      </c>
      <c r="T508" s="28" t="n">
        <f aca="false">R508*(1-VolumeDiscount)</f>
        <v>4300.2361544</v>
      </c>
    </row>
    <row r="509" customFormat="false" ht="15" hidden="false" customHeight="false" outlineLevel="0" collapsed="false">
      <c r="A509" s="29" t="s">
        <v>1228</v>
      </c>
      <c r="B509" s="29" t="s">
        <v>96</v>
      </c>
      <c r="C509" s="29" t="s">
        <v>43</v>
      </c>
      <c r="D509" s="29" t="s">
        <v>1229</v>
      </c>
      <c r="E509" s="29" t="s">
        <v>1173</v>
      </c>
      <c r="F509" s="29" t="s">
        <v>255</v>
      </c>
      <c r="G509" s="29" t="s">
        <v>37</v>
      </c>
      <c r="H509" s="29" t="s">
        <v>67</v>
      </c>
      <c r="I509" s="29" t="s">
        <v>190</v>
      </c>
      <c r="J509" s="29" t="s">
        <v>191</v>
      </c>
      <c r="K509" s="29" t="s">
        <v>192</v>
      </c>
      <c r="L509" s="29" t="s">
        <v>29</v>
      </c>
      <c r="M509" s="29" t="n">
        <v>1809</v>
      </c>
      <c r="N509" s="29" t="n">
        <v>909</v>
      </c>
      <c r="O509" s="29"/>
      <c r="P509" s="30" t="n">
        <f aca="false">(M509*N509/1000000)*(INDEX(AreaRate_Vals,MATCH(C509,AreaRate_Keys,0))+IFERROR(INDEX(GlazingUpg_Vals,MATCH(H509,GlazingUpg_Keys,0)),0))+INDEX(Hardware_Vals,MATCH("Windows",Hardware_Keys,0))</f>
        <v>3785.41915</v>
      </c>
      <c r="Q509" s="31" t="n">
        <f aca="false">INDEX(Markup_Vals,MATCH("Windows",MarkupCat_Keys,0))</f>
        <v>0.42</v>
      </c>
      <c r="R509" s="32" t="n">
        <f aca="false">P509*(1+Q509)</f>
        <v>5375.295193</v>
      </c>
      <c r="S509" s="32" t="n">
        <f aca="false">R509*(1-TradeDiscount)</f>
        <v>4730.25976984</v>
      </c>
      <c r="T509" s="32" t="n">
        <f aca="false">R509*(1-VolumeDiscount)</f>
        <v>4300.2361544</v>
      </c>
    </row>
    <row r="510" customFormat="false" ht="15" hidden="false" customHeight="false" outlineLevel="0" collapsed="false">
      <c r="A510" s="25" t="s">
        <v>1230</v>
      </c>
      <c r="B510" s="25" t="s">
        <v>96</v>
      </c>
      <c r="C510" s="25" t="s">
        <v>43</v>
      </c>
      <c r="D510" s="25" t="s">
        <v>1231</v>
      </c>
      <c r="E510" s="25" t="s">
        <v>1173</v>
      </c>
      <c r="F510" s="25" t="s">
        <v>255</v>
      </c>
      <c r="G510" s="25" t="s">
        <v>39</v>
      </c>
      <c r="H510" s="25" t="s">
        <v>67</v>
      </c>
      <c r="I510" s="25" t="s">
        <v>190</v>
      </c>
      <c r="J510" s="25" t="s">
        <v>191</v>
      </c>
      <c r="K510" s="25" t="s">
        <v>192</v>
      </c>
      <c r="L510" s="25" t="s">
        <v>29</v>
      </c>
      <c r="M510" s="25" t="n">
        <v>1809</v>
      </c>
      <c r="N510" s="25" t="n">
        <v>909</v>
      </c>
      <c r="O510" s="25"/>
      <c r="P510" s="26" t="n">
        <f aca="false">(M510*N510/1000000)*(INDEX(AreaRate_Vals,MATCH(C510,AreaRate_Keys,0))+IFERROR(INDEX(GlazingUpg_Vals,MATCH(H510,GlazingUpg_Keys,0)),0))+INDEX(Hardware_Vals,MATCH("Windows",Hardware_Keys,0))</f>
        <v>3785.41915</v>
      </c>
      <c r="Q510" s="27" t="n">
        <f aca="false">INDEX(Markup_Vals,MATCH("Windows",MarkupCat_Keys,0))</f>
        <v>0.42</v>
      </c>
      <c r="R510" s="28" t="n">
        <f aca="false">P510*(1+Q510)</f>
        <v>5375.295193</v>
      </c>
      <c r="S510" s="28" t="n">
        <f aca="false">R510*(1-TradeDiscount)</f>
        <v>4730.25976984</v>
      </c>
      <c r="T510" s="28" t="n">
        <f aca="false">R510*(1-VolumeDiscount)</f>
        <v>4300.2361544</v>
      </c>
    </row>
    <row r="511" customFormat="false" ht="15" hidden="false" customHeight="false" outlineLevel="0" collapsed="false">
      <c r="A511" s="29" t="s">
        <v>1232</v>
      </c>
      <c r="B511" s="29" t="s">
        <v>96</v>
      </c>
      <c r="C511" s="29" t="s">
        <v>43</v>
      </c>
      <c r="D511" s="29" t="s">
        <v>1233</v>
      </c>
      <c r="E511" s="29" t="s">
        <v>1173</v>
      </c>
      <c r="F511" s="29" t="s">
        <v>255</v>
      </c>
      <c r="G511" s="29" t="s">
        <v>38</v>
      </c>
      <c r="H511" s="29" t="s">
        <v>67</v>
      </c>
      <c r="I511" s="29" t="s">
        <v>190</v>
      </c>
      <c r="J511" s="29" t="s">
        <v>191</v>
      </c>
      <c r="K511" s="29" t="s">
        <v>192</v>
      </c>
      <c r="L511" s="29" t="s">
        <v>29</v>
      </c>
      <c r="M511" s="29" t="n">
        <v>1809</v>
      </c>
      <c r="N511" s="29" t="n">
        <v>909</v>
      </c>
      <c r="O511" s="29"/>
      <c r="P511" s="30" t="n">
        <f aca="false">(M511*N511/1000000)*(INDEX(AreaRate_Vals,MATCH(C511,AreaRate_Keys,0))+IFERROR(INDEX(GlazingUpg_Vals,MATCH(H511,GlazingUpg_Keys,0)),0))+INDEX(Hardware_Vals,MATCH("Windows",Hardware_Keys,0))</f>
        <v>3785.41915</v>
      </c>
      <c r="Q511" s="31" t="n">
        <f aca="false">INDEX(Markup_Vals,MATCH("Windows",MarkupCat_Keys,0))</f>
        <v>0.42</v>
      </c>
      <c r="R511" s="32" t="n">
        <f aca="false">P511*(1+Q511)</f>
        <v>5375.295193</v>
      </c>
      <c r="S511" s="32" t="n">
        <f aca="false">R511*(1-TradeDiscount)</f>
        <v>4730.25976984</v>
      </c>
      <c r="T511" s="32" t="n">
        <f aca="false">R511*(1-VolumeDiscount)</f>
        <v>4300.2361544</v>
      </c>
    </row>
    <row r="512" customFormat="false" ht="15" hidden="false" customHeight="false" outlineLevel="0" collapsed="false">
      <c r="A512" s="25" t="s">
        <v>1234</v>
      </c>
      <c r="B512" s="25" t="s">
        <v>96</v>
      </c>
      <c r="C512" s="25" t="s">
        <v>43</v>
      </c>
      <c r="D512" s="25" t="s">
        <v>1235</v>
      </c>
      <c r="E512" s="25" t="s">
        <v>1173</v>
      </c>
      <c r="F512" s="25" t="s">
        <v>276</v>
      </c>
      <c r="G512" s="25" t="s">
        <v>35</v>
      </c>
      <c r="H512" s="25" t="s">
        <v>67</v>
      </c>
      <c r="I512" s="25" t="s">
        <v>190</v>
      </c>
      <c r="J512" s="25" t="s">
        <v>191</v>
      </c>
      <c r="K512" s="25" t="s">
        <v>192</v>
      </c>
      <c r="L512" s="25" t="s">
        <v>29</v>
      </c>
      <c r="M512" s="25" t="n">
        <v>1809</v>
      </c>
      <c r="N512" s="25" t="n">
        <v>1209</v>
      </c>
      <c r="O512" s="25"/>
      <c r="P512" s="26" t="n">
        <f aca="false">(M512*N512/1000000)*(INDEX(AreaRate_Vals,MATCH(C512,AreaRate_Keys,0))+IFERROR(INDEX(GlazingUpg_Vals,MATCH(H512,GlazingUpg_Keys,0)),0))+INDEX(Hardware_Vals,MATCH("Windows",Hardware_Keys,0))</f>
        <v>4952.22415</v>
      </c>
      <c r="Q512" s="27" t="n">
        <f aca="false">INDEX(Markup_Vals,MATCH("Windows",MarkupCat_Keys,0))</f>
        <v>0.42</v>
      </c>
      <c r="R512" s="28" t="n">
        <f aca="false">P512*(1+Q512)</f>
        <v>7032.158293</v>
      </c>
      <c r="S512" s="28" t="n">
        <f aca="false">R512*(1-TradeDiscount)</f>
        <v>6188.29929784</v>
      </c>
      <c r="T512" s="28" t="n">
        <f aca="false">R512*(1-VolumeDiscount)</f>
        <v>5625.7266344</v>
      </c>
    </row>
    <row r="513" customFormat="false" ht="15" hidden="false" customHeight="false" outlineLevel="0" collapsed="false">
      <c r="A513" s="29" t="s">
        <v>1236</v>
      </c>
      <c r="B513" s="29" t="s">
        <v>96</v>
      </c>
      <c r="C513" s="29" t="s">
        <v>43</v>
      </c>
      <c r="D513" s="29" t="s">
        <v>1237</v>
      </c>
      <c r="E513" s="29" t="s">
        <v>1173</v>
      </c>
      <c r="F513" s="29" t="s">
        <v>276</v>
      </c>
      <c r="G513" s="29" t="s">
        <v>36</v>
      </c>
      <c r="H513" s="29" t="s">
        <v>67</v>
      </c>
      <c r="I513" s="29" t="s">
        <v>190</v>
      </c>
      <c r="J513" s="29" t="s">
        <v>191</v>
      </c>
      <c r="K513" s="29" t="s">
        <v>192</v>
      </c>
      <c r="L513" s="29" t="s">
        <v>29</v>
      </c>
      <c r="M513" s="29" t="n">
        <v>1809</v>
      </c>
      <c r="N513" s="29" t="n">
        <v>1209</v>
      </c>
      <c r="O513" s="29"/>
      <c r="P513" s="30" t="n">
        <f aca="false">(M513*N513/1000000)*(INDEX(AreaRate_Vals,MATCH(C513,AreaRate_Keys,0))+IFERROR(INDEX(GlazingUpg_Vals,MATCH(H513,GlazingUpg_Keys,0)),0))+INDEX(Hardware_Vals,MATCH("Windows",Hardware_Keys,0))</f>
        <v>4952.22415</v>
      </c>
      <c r="Q513" s="31" t="n">
        <f aca="false">INDEX(Markup_Vals,MATCH("Windows",MarkupCat_Keys,0))</f>
        <v>0.42</v>
      </c>
      <c r="R513" s="32" t="n">
        <f aca="false">P513*(1+Q513)</f>
        <v>7032.158293</v>
      </c>
      <c r="S513" s="32" t="n">
        <f aca="false">R513*(1-TradeDiscount)</f>
        <v>6188.29929784</v>
      </c>
      <c r="T513" s="32" t="n">
        <f aca="false">R513*(1-VolumeDiscount)</f>
        <v>5625.7266344</v>
      </c>
    </row>
    <row r="514" customFormat="false" ht="15" hidden="false" customHeight="false" outlineLevel="0" collapsed="false">
      <c r="A514" s="25" t="s">
        <v>1238</v>
      </c>
      <c r="B514" s="25" t="s">
        <v>96</v>
      </c>
      <c r="C514" s="25" t="s">
        <v>43</v>
      </c>
      <c r="D514" s="25" t="s">
        <v>1239</v>
      </c>
      <c r="E514" s="25" t="s">
        <v>1173</v>
      </c>
      <c r="F514" s="25" t="s">
        <v>276</v>
      </c>
      <c r="G514" s="25" t="s">
        <v>37</v>
      </c>
      <c r="H514" s="25" t="s">
        <v>67</v>
      </c>
      <c r="I514" s="25" t="s">
        <v>190</v>
      </c>
      <c r="J514" s="25" t="s">
        <v>191</v>
      </c>
      <c r="K514" s="25" t="s">
        <v>192</v>
      </c>
      <c r="L514" s="25" t="s">
        <v>29</v>
      </c>
      <c r="M514" s="25" t="n">
        <v>1809</v>
      </c>
      <c r="N514" s="25" t="n">
        <v>1209</v>
      </c>
      <c r="O514" s="25"/>
      <c r="P514" s="26" t="n">
        <f aca="false">(M514*N514/1000000)*(INDEX(AreaRate_Vals,MATCH(C514,AreaRate_Keys,0))+IFERROR(INDEX(GlazingUpg_Vals,MATCH(H514,GlazingUpg_Keys,0)),0))+INDEX(Hardware_Vals,MATCH("Windows",Hardware_Keys,0))</f>
        <v>4952.22415</v>
      </c>
      <c r="Q514" s="27" t="n">
        <f aca="false">INDEX(Markup_Vals,MATCH("Windows",MarkupCat_Keys,0))</f>
        <v>0.42</v>
      </c>
      <c r="R514" s="28" t="n">
        <f aca="false">P514*(1+Q514)</f>
        <v>7032.158293</v>
      </c>
      <c r="S514" s="28" t="n">
        <f aca="false">R514*(1-TradeDiscount)</f>
        <v>6188.29929784</v>
      </c>
      <c r="T514" s="28" t="n">
        <f aca="false">R514*(1-VolumeDiscount)</f>
        <v>5625.7266344</v>
      </c>
    </row>
    <row r="515" customFormat="false" ht="15" hidden="false" customHeight="false" outlineLevel="0" collapsed="false">
      <c r="A515" s="29" t="s">
        <v>1240</v>
      </c>
      <c r="B515" s="29" t="s">
        <v>96</v>
      </c>
      <c r="C515" s="29" t="s">
        <v>43</v>
      </c>
      <c r="D515" s="29" t="s">
        <v>1241</v>
      </c>
      <c r="E515" s="29" t="s">
        <v>1173</v>
      </c>
      <c r="F515" s="29" t="s">
        <v>276</v>
      </c>
      <c r="G515" s="29" t="s">
        <v>39</v>
      </c>
      <c r="H515" s="29" t="s">
        <v>67</v>
      </c>
      <c r="I515" s="29" t="s">
        <v>190</v>
      </c>
      <c r="J515" s="29" t="s">
        <v>191</v>
      </c>
      <c r="K515" s="29" t="s">
        <v>192</v>
      </c>
      <c r="L515" s="29" t="s">
        <v>29</v>
      </c>
      <c r="M515" s="29" t="n">
        <v>1809</v>
      </c>
      <c r="N515" s="29" t="n">
        <v>1209</v>
      </c>
      <c r="O515" s="29"/>
      <c r="P515" s="30" t="n">
        <f aca="false">(M515*N515/1000000)*(INDEX(AreaRate_Vals,MATCH(C515,AreaRate_Keys,0))+IFERROR(INDEX(GlazingUpg_Vals,MATCH(H515,GlazingUpg_Keys,0)),0))+INDEX(Hardware_Vals,MATCH("Windows",Hardware_Keys,0))</f>
        <v>4952.22415</v>
      </c>
      <c r="Q515" s="31" t="n">
        <f aca="false">INDEX(Markup_Vals,MATCH("Windows",MarkupCat_Keys,0))</f>
        <v>0.42</v>
      </c>
      <c r="R515" s="32" t="n">
        <f aca="false">P515*(1+Q515)</f>
        <v>7032.158293</v>
      </c>
      <c r="S515" s="32" t="n">
        <f aca="false">R515*(1-TradeDiscount)</f>
        <v>6188.29929784</v>
      </c>
      <c r="T515" s="32" t="n">
        <f aca="false">R515*(1-VolumeDiscount)</f>
        <v>5625.7266344</v>
      </c>
    </row>
    <row r="516" customFormat="false" ht="15" hidden="false" customHeight="false" outlineLevel="0" collapsed="false">
      <c r="A516" s="25" t="s">
        <v>1242</v>
      </c>
      <c r="B516" s="25" t="s">
        <v>96</v>
      </c>
      <c r="C516" s="25" t="s">
        <v>43</v>
      </c>
      <c r="D516" s="25" t="s">
        <v>1243</v>
      </c>
      <c r="E516" s="25" t="s">
        <v>1173</v>
      </c>
      <c r="F516" s="25" t="s">
        <v>276</v>
      </c>
      <c r="G516" s="25" t="s">
        <v>38</v>
      </c>
      <c r="H516" s="25" t="s">
        <v>67</v>
      </c>
      <c r="I516" s="25" t="s">
        <v>190</v>
      </c>
      <c r="J516" s="25" t="s">
        <v>191</v>
      </c>
      <c r="K516" s="25" t="s">
        <v>192</v>
      </c>
      <c r="L516" s="25" t="s">
        <v>29</v>
      </c>
      <c r="M516" s="25" t="n">
        <v>1809</v>
      </c>
      <c r="N516" s="25" t="n">
        <v>1209</v>
      </c>
      <c r="O516" s="25"/>
      <c r="P516" s="26" t="n">
        <f aca="false">(M516*N516/1000000)*(INDEX(AreaRate_Vals,MATCH(C516,AreaRate_Keys,0))+IFERROR(INDEX(GlazingUpg_Vals,MATCH(H516,GlazingUpg_Keys,0)),0))+INDEX(Hardware_Vals,MATCH("Windows",Hardware_Keys,0))</f>
        <v>4952.22415</v>
      </c>
      <c r="Q516" s="27" t="n">
        <f aca="false">INDEX(Markup_Vals,MATCH("Windows",MarkupCat_Keys,0))</f>
        <v>0.42</v>
      </c>
      <c r="R516" s="28" t="n">
        <f aca="false">P516*(1+Q516)</f>
        <v>7032.158293</v>
      </c>
      <c r="S516" s="28" t="n">
        <f aca="false">R516*(1-TradeDiscount)</f>
        <v>6188.29929784</v>
      </c>
      <c r="T516" s="28" t="n">
        <f aca="false">R516*(1-VolumeDiscount)</f>
        <v>5625.7266344</v>
      </c>
    </row>
    <row r="517" customFormat="false" ht="15" hidden="false" customHeight="false" outlineLevel="0" collapsed="false">
      <c r="A517" s="29" t="s">
        <v>1244</v>
      </c>
      <c r="B517" s="29" t="s">
        <v>96</v>
      </c>
      <c r="C517" s="29" t="s">
        <v>43</v>
      </c>
      <c r="D517" s="29" t="s">
        <v>1245</v>
      </c>
      <c r="E517" s="29" t="s">
        <v>1173</v>
      </c>
      <c r="F517" s="29" t="s">
        <v>297</v>
      </c>
      <c r="G517" s="29" t="s">
        <v>35</v>
      </c>
      <c r="H517" s="29" t="s">
        <v>67</v>
      </c>
      <c r="I517" s="29" t="s">
        <v>190</v>
      </c>
      <c r="J517" s="29" t="s">
        <v>191</v>
      </c>
      <c r="K517" s="29" t="s">
        <v>192</v>
      </c>
      <c r="L517" s="29" t="s">
        <v>29</v>
      </c>
      <c r="M517" s="29" t="n">
        <v>2409</v>
      </c>
      <c r="N517" s="29" t="n">
        <v>1209</v>
      </c>
      <c r="O517" s="29"/>
      <c r="P517" s="30" t="n">
        <f aca="false">(M517*N517/1000000)*(INDEX(AreaRate_Vals,MATCH(C517,AreaRate_Keys,0))+IFERROR(INDEX(GlazingUpg_Vals,MATCH(H517,GlazingUpg_Keys,0)),0))+INDEX(Hardware_Vals,MATCH("Windows",Hardware_Keys,0))</f>
        <v>6511.83415</v>
      </c>
      <c r="Q517" s="31" t="n">
        <f aca="false">INDEX(Markup_Vals,MATCH("Windows",MarkupCat_Keys,0))</f>
        <v>0.42</v>
      </c>
      <c r="R517" s="32" t="n">
        <f aca="false">P517*(1+Q517)</f>
        <v>9246.804493</v>
      </c>
      <c r="S517" s="32" t="n">
        <f aca="false">R517*(1-TradeDiscount)</f>
        <v>8137.18795384</v>
      </c>
      <c r="T517" s="32" t="n">
        <f aca="false">R517*(1-VolumeDiscount)</f>
        <v>7397.4435944</v>
      </c>
    </row>
    <row r="518" customFormat="false" ht="15" hidden="false" customHeight="false" outlineLevel="0" collapsed="false">
      <c r="A518" s="25" t="s">
        <v>1246</v>
      </c>
      <c r="B518" s="25" t="s">
        <v>96</v>
      </c>
      <c r="C518" s="25" t="s">
        <v>43</v>
      </c>
      <c r="D518" s="25" t="s">
        <v>1247</v>
      </c>
      <c r="E518" s="25" t="s">
        <v>1173</v>
      </c>
      <c r="F518" s="25" t="s">
        <v>297</v>
      </c>
      <c r="G518" s="25" t="s">
        <v>36</v>
      </c>
      <c r="H518" s="25" t="s">
        <v>67</v>
      </c>
      <c r="I518" s="25" t="s">
        <v>190</v>
      </c>
      <c r="J518" s="25" t="s">
        <v>191</v>
      </c>
      <c r="K518" s="25" t="s">
        <v>192</v>
      </c>
      <c r="L518" s="25" t="s">
        <v>29</v>
      </c>
      <c r="M518" s="25" t="n">
        <v>2409</v>
      </c>
      <c r="N518" s="25" t="n">
        <v>1209</v>
      </c>
      <c r="O518" s="25"/>
      <c r="P518" s="26" t="n">
        <f aca="false">(M518*N518/1000000)*(INDEX(AreaRate_Vals,MATCH(C518,AreaRate_Keys,0))+IFERROR(INDEX(GlazingUpg_Vals,MATCH(H518,GlazingUpg_Keys,0)),0))+INDEX(Hardware_Vals,MATCH("Windows",Hardware_Keys,0))</f>
        <v>6511.83415</v>
      </c>
      <c r="Q518" s="27" t="n">
        <f aca="false">INDEX(Markup_Vals,MATCH("Windows",MarkupCat_Keys,0))</f>
        <v>0.42</v>
      </c>
      <c r="R518" s="28" t="n">
        <f aca="false">P518*(1+Q518)</f>
        <v>9246.804493</v>
      </c>
      <c r="S518" s="28" t="n">
        <f aca="false">R518*(1-TradeDiscount)</f>
        <v>8137.18795384</v>
      </c>
      <c r="T518" s="28" t="n">
        <f aca="false">R518*(1-VolumeDiscount)</f>
        <v>7397.4435944</v>
      </c>
    </row>
    <row r="519" customFormat="false" ht="15" hidden="false" customHeight="false" outlineLevel="0" collapsed="false">
      <c r="A519" s="29" t="s">
        <v>1248</v>
      </c>
      <c r="B519" s="29" t="s">
        <v>96</v>
      </c>
      <c r="C519" s="29" t="s">
        <v>43</v>
      </c>
      <c r="D519" s="29" t="s">
        <v>1249</v>
      </c>
      <c r="E519" s="29" t="s">
        <v>1173</v>
      </c>
      <c r="F519" s="29" t="s">
        <v>297</v>
      </c>
      <c r="G519" s="29" t="s">
        <v>37</v>
      </c>
      <c r="H519" s="29" t="s">
        <v>67</v>
      </c>
      <c r="I519" s="29" t="s">
        <v>190</v>
      </c>
      <c r="J519" s="29" t="s">
        <v>191</v>
      </c>
      <c r="K519" s="29" t="s">
        <v>192</v>
      </c>
      <c r="L519" s="29" t="s">
        <v>29</v>
      </c>
      <c r="M519" s="29" t="n">
        <v>2409</v>
      </c>
      <c r="N519" s="29" t="n">
        <v>1209</v>
      </c>
      <c r="O519" s="29"/>
      <c r="P519" s="30" t="n">
        <f aca="false">(M519*N519/1000000)*(INDEX(AreaRate_Vals,MATCH(C519,AreaRate_Keys,0))+IFERROR(INDEX(GlazingUpg_Vals,MATCH(H519,GlazingUpg_Keys,0)),0))+INDEX(Hardware_Vals,MATCH("Windows",Hardware_Keys,0))</f>
        <v>6511.83415</v>
      </c>
      <c r="Q519" s="31" t="n">
        <f aca="false">INDEX(Markup_Vals,MATCH("Windows",MarkupCat_Keys,0))</f>
        <v>0.42</v>
      </c>
      <c r="R519" s="32" t="n">
        <f aca="false">P519*(1+Q519)</f>
        <v>9246.804493</v>
      </c>
      <c r="S519" s="32" t="n">
        <f aca="false">R519*(1-TradeDiscount)</f>
        <v>8137.18795384</v>
      </c>
      <c r="T519" s="32" t="n">
        <f aca="false">R519*(1-VolumeDiscount)</f>
        <v>7397.4435944</v>
      </c>
    </row>
    <row r="520" customFormat="false" ht="15" hidden="false" customHeight="false" outlineLevel="0" collapsed="false">
      <c r="A520" s="25" t="s">
        <v>1250</v>
      </c>
      <c r="B520" s="25" t="s">
        <v>96</v>
      </c>
      <c r="C520" s="25" t="s">
        <v>43</v>
      </c>
      <c r="D520" s="25" t="s">
        <v>1251</v>
      </c>
      <c r="E520" s="25" t="s">
        <v>1173</v>
      </c>
      <c r="F520" s="25" t="s">
        <v>297</v>
      </c>
      <c r="G520" s="25" t="s">
        <v>39</v>
      </c>
      <c r="H520" s="25" t="s">
        <v>67</v>
      </c>
      <c r="I520" s="25" t="s">
        <v>190</v>
      </c>
      <c r="J520" s="25" t="s">
        <v>191</v>
      </c>
      <c r="K520" s="25" t="s">
        <v>192</v>
      </c>
      <c r="L520" s="25" t="s">
        <v>29</v>
      </c>
      <c r="M520" s="25" t="n">
        <v>2409</v>
      </c>
      <c r="N520" s="25" t="n">
        <v>1209</v>
      </c>
      <c r="O520" s="25"/>
      <c r="P520" s="26" t="n">
        <f aca="false">(M520*N520/1000000)*(INDEX(AreaRate_Vals,MATCH(C520,AreaRate_Keys,0))+IFERROR(INDEX(GlazingUpg_Vals,MATCH(H520,GlazingUpg_Keys,0)),0))+INDEX(Hardware_Vals,MATCH("Windows",Hardware_Keys,0))</f>
        <v>6511.83415</v>
      </c>
      <c r="Q520" s="27" t="n">
        <f aca="false">INDEX(Markup_Vals,MATCH("Windows",MarkupCat_Keys,0))</f>
        <v>0.42</v>
      </c>
      <c r="R520" s="28" t="n">
        <f aca="false">P520*(1+Q520)</f>
        <v>9246.804493</v>
      </c>
      <c r="S520" s="28" t="n">
        <f aca="false">R520*(1-TradeDiscount)</f>
        <v>8137.18795384</v>
      </c>
      <c r="T520" s="28" t="n">
        <f aca="false">R520*(1-VolumeDiscount)</f>
        <v>7397.4435944</v>
      </c>
    </row>
    <row r="521" customFormat="false" ht="15" hidden="false" customHeight="false" outlineLevel="0" collapsed="false">
      <c r="A521" s="29" t="s">
        <v>1252</v>
      </c>
      <c r="B521" s="29" t="s">
        <v>96</v>
      </c>
      <c r="C521" s="29" t="s">
        <v>43</v>
      </c>
      <c r="D521" s="29" t="s">
        <v>1253</v>
      </c>
      <c r="E521" s="29" t="s">
        <v>1173</v>
      </c>
      <c r="F521" s="29" t="s">
        <v>297</v>
      </c>
      <c r="G521" s="29" t="s">
        <v>38</v>
      </c>
      <c r="H521" s="29" t="s">
        <v>67</v>
      </c>
      <c r="I521" s="29" t="s">
        <v>190</v>
      </c>
      <c r="J521" s="29" t="s">
        <v>191</v>
      </c>
      <c r="K521" s="29" t="s">
        <v>192</v>
      </c>
      <c r="L521" s="29" t="s">
        <v>29</v>
      </c>
      <c r="M521" s="29" t="n">
        <v>2409</v>
      </c>
      <c r="N521" s="29" t="n">
        <v>1209</v>
      </c>
      <c r="O521" s="29"/>
      <c r="P521" s="30" t="n">
        <f aca="false">(M521*N521/1000000)*(INDEX(AreaRate_Vals,MATCH(C521,AreaRate_Keys,0))+IFERROR(INDEX(GlazingUpg_Vals,MATCH(H521,GlazingUpg_Keys,0)),0))+INDEX(Hardware_Vals,MATCH("Windows",Hardware_Keys,0))</f>
        <v>6511.83415</v>
      </c>
      <c r="Q521" s="31" t="n">
        <f aca="false">INDEX(Markup_Vals,MATCH("Windows",MarkupCat_Keys,0))</f>
        <v>0.42</v>
      </c>
      <c r="R521" s="32" t="n">
        <f aca="false">P521*(1+Q521)</f>
        <v>9246.804493</v>
      </c>
      <c r="S521" s="32" t="n">
        <f aca="false">R521*(1-TradeDiscount)</f>
        <v>8137.18795384</v>
      </c>
      <c r="T521" s="32" t="n">
        <f aca="false">R521*(1-VolumeDiscount)</f>
        <v>7397.4435944</v>
      </c>
    </row>
    <row r="522" customFormat="false" ht="15" hidden="false" customHeight="false" outlineLevel="0" collapsed="false">
      <c r="A522" s="25" t="s">
        <v>1254</v>
      </c>
      <c r="B522" s="25" t="s">
        <v>96</v>
      </c>
      <c r="C522" s="25" t="s">
        <v>44</v>
      </c>
      <c r="D522" s="25" t="s">
        <v>1255</v>
      </c>
      <c r="E522" s="25" t="s">
        <v>1256</v>
      </c>
      <c r="F522" s="25" t="s">
        <v>189</v>
      </c>
      <c r="G522" s="25" t="s">
        <v>35</v>
      </c>
      <c r="H522" s="25" t="s">
        <v>67</v>
      </c>
      <c r="I522" s="25" t="s">
        <v>190</v>
      </c>
      <c r="J522" s="25" t="s">
        <v>1257</v>
      </c>
      <c r="K522" s="25" t="s">
        <v>192</v>
      </c>
      <c r="L522" s="25" t="s">
        <v>29</v>
      </c>
      <c r="M522" s="25" t="n">
        <v>609</v>
      </c>
      <c r="N522" s="25" t="n">
        <v>609</v>
      </c>
      <c r="O522" s="25"/>
      <c r="P522" s="26" t="n">
        <f aca="false">(M522*N522/1000000)*(INDEX(AreaRate_Vals,MATCH(C522,AreaRate_Keys,0))+IFERROR(INDEX(GlazingUpg_Vals,MATCH(H522,GlazingUpg_Keys,0)),0))+INDEX(Hardware_Vals,MATCH("Windows",Hardware_Keys,0))</f>
        <v>991.762</v>
      </c>
      <c r="Q522" s="27" t="n">
        <f aca="false">INDEX(Markup_Vals,MATCH("Windows",MarkupCat_Keys,0))</f>
        <v>0.42</v>
      </c>
      <c r="R522" s="28" t="n">
        <f aca="false">P522*(1+Q522)</f>
        <v>1408.30204</v>
      </c>
      <c r="S522" s="28" t="n">
        <f aca="false">R522*(1-TradeDiscount)</f>
        <v>1239.3057952</v>
      </c>
      <c r="T522" s="28" t="n">
        <f aca="false">R522*(1-VolumeDiscount)</f>
        <v>1126.641632</v>
      </c>
    </row>
    <row r="523" customFormat="false" ht="15" hidden="false" customHeight="false" outlineLevel="0" collapsed="false">
      <c r="A523" s="29" t="s">
        <v>1258</v>
      </c>
      <c r="B523" s="29" t="s">
        <v>96</v>
      </c>
      <c r="C523" s="29" t="s">
        <v>44</v>
      </c>
      <c r="D523" s="29" t="s">
        <v>1259</v>
      </c>
      <c r="E523" s="29" t="s">
        <v>1256</v>
      </c>
      <c r="F523" s="29" t="s">
        <v>189</v>
      </c>
      <c r="G523" s="29" t="s">
        <v>36</v>
      </c>
      <c r="H523" s="29" t="s">
        <v>67</v>
      </c>
      <c r="I523" s="29" t="s">
        <v>190</v>
      </c>
      <c r="J523" s="29" t="s">
        <v>1257</v>
      </c>
      <c r="K523" s="29" t="s">
        <v>192</v>
      </c>
      <c r="L523" s="29" t="s">
        <v>29</v>
      </c>
      <c r="M523" s="29" t="n">
        <v>609</v>
      </c>
      <c r="N523" s="29" t="n">
        <v>609</v>
      </c>
      <c r="O523" s="29"/>
      <c r="P523" s="30" t="n">
        <f aca="false">(M523*N523/1000000)*(INDEX(AreaRate_Vals,MATCH(C523,AreaRate_Keys,0))+IFERROR(INDEX(GlazingUpg_Vals,MATCH(H523,GlazingUpg_Keys,0)),0))+INDEX(Hardware_Vals,MATCH("Windows",Hardware_Keys,0))</f>
        <v>991.762</v>
      </c>
      <c r="Q523" s="31" t="n">
        <f aca="false">INDEX(Markup_Vals,MATCH("Windows",MarkupCat_Keys,0))</f>
        <v>0.42</v>
      </c>
      <c r="R523" s="32" t="n">
        <f aca="false">P523*(1+Q523)</f>
        <v>1408.30204</v>
      </c>
      <c r="S523" s="32" t="n">
        <f aca="false">R523*(1-TradeDiscount)</f>
        <v>1239.3057952</v>
      </c>
      <c r="T523" s="32" t="n">
        <f aca="false">R523*(1-VolumeDiscount)</f>
        <v>1126.641632</v>
      </c>
    </row>
    <row r="524" customFormat="false" ht="15" hidden="false" customHeight="false" outlineLevel="0" collapsed="false">
      <c r="A524" s="25" t="s">
        <v>1260</v>
      </c>
      <c r="B524" s="25" t="s">
        <v>96</v>
      </c>
      <c r="C524" s="25" t="s">
        <v>44</v>
      </c>
      <c r="D524" s="25" t="s">
        <v>1261</v>
      </c>
      <c r="E524" s="25" t="s">
        <v>1256</v>
      </c>
      <c r="F524" s="25" t="s">
        <v>189</v>
      </c>
      <c r="G524" s="25" t="s">
        <v>37</v>
      </c>
      <c r="H524" s="25" t="s">
        <v>67</v>
      </c>
      <c r="I524" s="25" t="s">
        <v>190</v>
      </c>
      <c r="J524" s="25" t="s">
        <v>1257</v>
      </c>
      <c r="K524" s="25" t="s">
        <v>192</v>
      </c>
      <c r="L524" s="25" t="s">
        <v>29</v>
      </c>
      <c r="M524" s="25" t="n">
        <v>609</v>
      </c>
      <c r="N524" s="25" t="n">
        <v>609</v>
      </c>
      <c r="O524" s="25"/>
      <c r="P524" s="26" t="n">
        <f aca="false">(M524*N524/1000000)*(INDEX(AreaRate_Vals,MATCH(C524,AreaRate_Keys,0))+IFERROR(INDEX(GlazingUpg_Vals,MATCH(H524,GlazingUpg_Keys,0)),0))+INDEX(Hardware_Vals,MATCH("Windows",Hardware_Keys,0))</f>
        <v>991.762</v>
      </c>
      <c r="Q524" s="27" t="n">
        <f aca="false">INDEX(Markup_Vals,MATCH("Windows",MarkupCat_Keys,0))</f>
        <v>0.42</v>
      </c>
      <c r="R524" s="28" t="n">
        <f aca="false">P524*(1+Q524)</f>
        <v>1408.30204</v>
      </c>
      <c r="S524" s="28" t="n">
        <f aca="false">R524*(1-TradeDiscount)</f>
        <v>1239.3057952</v>
      </c>
      <c r="T524" s="28" t="n">
        <f aca="false">R524*(1-VolumeDiscount)</f>
        <v>1126.641632</v>
      </c>
    </row>
    <row r="525" customFormat="false" ht="15" hidden="false" customHeight="false" outlineLevel="0" collapsed="false">
      <c r="A525" s="29" t="s">
        <v>1262</v>
      </c>
      <c r="B525" s="29" t="s">
        <v>96</v>
      </c>
      <c r="C525" s="29" t="s">
        <v>44</v>
      </c>
      <c r="D525" s="29" t="s">
        <v>1263</v>
      </c>
      <c r="E525" s="29" t="s">
        <v>1256</v>
      </c>
      <c r="F525" s="29" t="s">
        <v>189</v>
      </c>
      <c r="G525" s="29" t="s">
        <v>39</v>
      </c>
      <c r="H525" s="29" t="s">
        <v>67</v>
      </c>
      <c r="I525" s="29" t="s">
        <v>190</v>
      </c>
      <c r="J525" s="29" t="s">
        <v>1257</v>
      </c>
      <c r="K525" s="29" t="s">
        <v>192</v>
      </c>
      <c r="L525" s="29" t="s">
        <v>29</v>
      </c>
      <c r="M525" s="29" t="n">
        <v>609</v>
      </c>
      <c r="N525" s="29" t="n">
        <v>609</v>
      </c>
      <c r="O525" s="29"/>
      <c r="P525" s="30" t="n">
        <f aca="false">(M525*N525/1000000)*(INDEX(AreaRate_Vals,MATCH(C525,AreaRate_Keys,0))+IFERROR(INDEX(GlazingUpg_Vals,MATCH(H525,GlazingUpg_Keys,0)),0))+INDEX(Hardware_Vals,MATCH("Windows",Hardware_Keys,0))</f>
        <v>991.762</v>
      </c>
      <c r="Q525" s="31" t="n">
        <f aca="false">INDEX(Markup_Vals,MATCH("Windows",MarkupCat_Keys,0))</f>
        <v>0.42</v>
      </c>
      <c r="R525" s="32" t="n">
        <f aca="false">P525*(1+Q525)</f>
        <v>1408.30204</v>
      </c>
      <c r="S525" s="32" t="n">
        <f aca="false">R525*(1-TradeDiscount)</f>
        <v>1239.3057952</v>
      </c>
      <c r="T525" s="32" t="n">
        <f aca="false">R525*(1-VolumeDiscount)</f>
        <v>1126.641632</v>
      </c>
    </row>
    <row r="526" customFormat="false" ht="15" hidden="false" customHeight="false" outlineLevel="0" collapsed="false">
      <c r="A526" s="25" t="s">
        <v>1264</v>
      </c>
      <c r="B526" s="25" t="s">
        <v>96</v>
      </c>
      <c r="C526" s="25" t="s">
        <v>44</v>
      </c>
      <c r="D526" s="25" t="s">
        <v>1265</v>
      </c>
      <c r="E526" s="25" t="s">
        <v>1256</v>
      </c>
      <c r="F526" s="25" t="s">
        <v>189</v>
      </c>
      <c r="G526" s="25" t="s">
        <v>38</v>
      </c>
      <c r="H526" s="25" t="s">
        <v>67</v>
      </c>
      <c r="I526" s="25" t="s">
        <v>190</v>
      </c>
      <c r="J526" s="25" t="s">
        <v>1257</v>
      </c>
      <c r="K526" s="25" t="s">
        <v>192</v>
      </c>
      <c r="L526" s="25" t="s">
        <v>29</v>
      </c>
      <c r="M526" s="25" t="n">
        <v>609</v>
      </c>
      <c r="N526" s="25" t="n">
        <v>609</v>
      </c>
      <c r="O526" s="25"/>
      <c r="P526" s="26" t="n">
        <f aca="false">(M526*N526/1000000)*(INDEX(AreaRate_Vals,MATCH(C526,AreaRate_Keys,0))+IFERROR(INDEX(GlazingUpg_Vals,MATCH(H526,GlazingUpg_Keys,0)),0))+INDEX(Hardware_Vals,MATCH("Windows",Hardware_Keys,0))</f>
        <v>991.762</v>
      </c>
      <c r="Q526" s="27" t="n">
        <f aca="false">INDEX(Markup_Vals,MATCH("Windows",MarkupCat_Keys,0))</f>
        <v>0.42</v>
      </c>
      <c r="R526" s="28" t="n">
        <f aca="false">P526*(1+Q526)</f>
        <v>1408.30204</v>
      </c>
      <c r="S526" s="28" t="n">
        <f aca="false">R526*(1-TradeDiscount)</f>
        <v>1239.3057952</v>
      </c>
      <c r="T526" s="28" t="n">
        <f aca="false">R526*(1-VolumeDiscount)</f>
        <v>1126.641632</v>
      </c>
    </row>
    <row r="527" customFormat="false" ht="15" hidden="false" customHeight="false" outlineLevel="0" collapsed="false">
      <c r="A527" s="29" t="s">
        <v>1266</v>
      </c>
      <c r="B527" s="29" t="s">
        <v>96</v>
      </c>
      <c r="C527" s="29" t="s">
        <v>44</v>
      </c>
      <c r="D527" s="29" t="s">
        <v>1267</v>
      </c>
      <c r="E527" s="29" t="s">
        <v>1256</v>
      </c>
      <c r="F527" s="29" t="s">
        <v>1184</v>
      </c>
      <c r="G527" s="29" t="s">
        <v>35</v>
      </c>
      <c r="H527" s="29" t="s">
        <v>67</v>
      </c>
      <c r="I527" s="29" t="s">
        <v>190</v>
      </c>
      <c r="J527" s="29" t="s">
        <v>1257</v>
      </c>
      <c r="K527" s="29" t="s">
        <v>192</v>
      </c>
      <c r="L527" s="29" t="s">
        <v>29</v>
      </c>
      <c r="M527" s="29" t="n">
        <v>909</v>
      </c>
      <c r="N527" s="29" t="n">
        <v>609</v>
      </c>
      <c r="O527" s="29"/>
      <c r="P527" s="30" t="n">
        <f aca="false">(M527*N527/1000000)*(INDEX(AreaRate_Vals,MATCH(C527,AreaRate_Keys,0))+IFERROR(INDEX(GlazingUpg_Vals,MATCH(H527,GlazingUpg_Keys,0)),0))+INDEX(Hardware_Vals,MATCH("Windows",Hardware_Keys,0))</f>
        <v>1357.162</v>
      </c>
      <c r="Q527" s="31" t="n">
        <f aca="false">INDEX(Markup_Vals,MATCH("Windows",MarkupCat_Keys,0))</f>
        <v>0.42</v>
      </c>
      <c r="R527" s="32" t="n">
        <f aca="false">P527*(1+Q527)</f>
        <v>1927.17004</v>
      </c>
      <c r="S527" s="32" t="n">
        <f aca="false">R527*(1-TradeDiscount)</f>
        <v>1695.9096352</v>
      </c>
      <c r="T527" s="32" t="n">
        <f aca="false">R527*(1-VolumeDiscount)</f>
        <v>1541.736032</v>
      </c>
    </row>
    <row r="528" customFormat="false" ht="15" hidden="false" customHeight="false" outlineLevel="0" collapsed="false">
      <c r="A528" s="25" t="s">
        <v>1268</v>
      </c>
      <c r="B528" s="25" t="s">
        <v>96</v>
      </c>
      <c r="C528" s="25" t="s">
        <v>44</v>
      </c>
      <c r="D528" s="25" t="s">
        <v>1269</v>
      </c>
      <c r="E528" s="25" t="s">
        <v>1256</v>
      </c>
      <c r="F528" s="25" t="s">
        <v>1184</v>
      </c>
      <c r="G528" s="25" t="s">
        <v>36</v>
      </c>
      <c r="H528" s="25" t="s">
        <v>67</v>
      </c>
      <c r="I528" s="25" t="s">
        <v>190</v>
      </c>
      <c r="J528" s="25" t="s">
        <v>1257</v>
      </c>
      <c r="K528" s="25" t="s">
        <v>192</v>
      </c>
      <c r="L528" s="25" t="s">
        <v>29</v>
      </c>
      <c r="M528" s="25" t="n">
        <v>909</v>
      </c>
      <c r="N528" s="25" t="n">
        <v>609</v>
      </c>
      <c r="O528" s="25"/>
      <c r="P528" s="26" t="n">
        <f aca="false">(M528*N528/1000000)*(INDEX(AreaRate_Vals,MATCH(C528,AreaRate_Keys,0))+IFERROR(INDEX(GlazingUpg_Vals,MATCH(H528,GlazingUpg_Keys,0)),0))+INDEX(Hardware_Vals,MATCH("Windows",Hardware_Keys,0))</f>
        <v>1357.162</v>
      </c>
      <c r="Q528" s="27" t="n">
        <f aca="false">INDEX(Markup_Vals,MATCH("Windows",MarkupCat_Keys,0))</f>
        <v>0.42</v>
      </c>
      <c r="R528" s="28" t="n">
        <f aca="false">P528*(1+Q528)</f>
        <v>1927.17004</v>
      </c>
      <c r="S528" s="28" t="n">
        <f aca="false">R528*(1-TradeDiscount)</f>
        <v>1695.9096352</v>
      </c>
      <c r="T528" s="28" t="n">
        <f aca="false">R528*(1-VolumeDiscount)</f>
        <v>1541.736032</v>
      </c>
    </row>
    <row r="529" customFormat="false" ht="15" hidden="false" customHeight="false" outlineLevel="0" collapsed="false">
      <c r="A529" s="29" t="s">
        <v>1270</v>
      </c>
      <c r="B529" s="29" t="s">
        <v>96</v>
      </c>
      <c r="C529" s="29" t="s">
        <v>44</v>
      </c>
      <c r="D529" s="29" t="s">
        <v>1271</v>
      </c>
      <c r="E529" s="29" t="s">
        <v>1256</v>
      </c>
      <c r="F529" s="29" t="s">
        <v>1184</v>
      </c>
      <c r="G529" s="29" t="s">
        <v>37</v>
      </c>
      <c r="H529" s="29" t="s">
        <v>67</v>
      </c>
      <c r="I529" s="29" t="s">
        <v>190</v>
      </c>
      <c r="J529" s="29" t="s">
        <v>1257</v>
      </c>
      <c r="K529" s="29" t="s">
        <v>192</v>
      </c>
      <c r="L529" s="29" t="s">
        <v>29</v>
      </c>
      <c r="M529" s="29" t="n">
        <v>909</v>
      </c>
      <c r="N529" s="29" t="n">
        <v>609</v>
      </c>
      <c r="O529" s="29"/>
      <c r="P529" s="30" t="n">
        <f aca="false">(M529*N529/1000000)*(INDEX(AreaRate_Vals,MATCH(C529,AreaRate_Keys,0))+IFERROR(INDEX(GlazingUpg_Vals,MATCH(H529,GlazingUpg_Keys,0)),0))+INDEX(Hardware_Vals,MATCH("Windows",Hardware_Keys,0))</f>
        <v>1357.162</v>
      </c>
      <c r="Q529" s="31" t="n">
        <f aca="false">INDEX(Markup_Vals,MATCH("Windows",MarkupCat_Keys,0))</f>
        <v>0.42</v>
      </c>
      <c r="R529" s="32" t="n">
        <f aca="false">P529*(1+Q529)</f>
        <v>1927.17004</v>
      </c>
      <c r="S529" s="32" t="n">
        <f aca="false">R529*(1-TradeDiscount)</f>
        <v>1695.9096352</v>
      </c>
      <c r="T529" s="32" t="n">
        <f aca="false">R529*(1-VolumeDiscount)</f>
        <v>1541.736032</v>
      </c>
    </row>
    <row r="530" customFormat="false" ht="15" hidden="false" customHeight="false" outlineLevel="0" collapsed="false">
      <c r="A530" s="25" t="s">
        <v>1272</v>
      </c>
      <c r="B530" s="25" t="s">
        <v>96</v>
      </c>
      <c r="C530" s="25" t="s">
        <v>44</v>
      </c>
      <c r="D530" s="25" t="s">
        <v>1273</v>
      </c>
      <c r="E530" s="25" t="s">
        <v>1256</v>
      </c>
      <c r="F530" s="25" t="s">
        <v>1184</v>
      </c>
      <c r="G530" s="25" t="s">
        <v>39</v>
      </c>
      <c r="H530" s="25" t="s">
        <v>67</v>
      </c>
      <c r="I530" s="25" t="s">
        <v>190</v>
      </c>
      <c r="J530" s="25" t="s">
        <v>1257</v>
      </c>
      <c r="K530" s="25" t="s">
        <v>192</v>
      </c>
      <c r="L530" s="25" t="s">
        <v>29</v>
      </c>
      <c r="M530" s="25" t="n">
        <v>909</v>
      </c>
      <c r="N530" s="25" t="n">
        <v>609</v>
      </c>
      <c r="O530" s="25"/>
      <c r="P530" s="26" t="n">
        <f aca="false">(M530*N530/1000000)*(INDEX(AreaRate_Vals,MATCH(C530,AreaRate_Keys,0))+IFERROR(INDEX(GlazingUpg_Vals,MATCH(H530,GlazingUpg_Keys,0)),0))+INDEX(Hardware_Vals,MATCH("Windows",Hardware_Keys,0))</f>
        <v>1357.162</v>
      </c>
      <c r="Q530" s="27" t="n">
        <f aca="false">INDEX(Markup_Vals,MATCH("Windows",MarkupCat_Keys,0))</f>
        <v>0.42</v>
      </c>
      <c r="R530" s="28" t="n">
        <f aca="false">P530*(1+Q530)</f>
        <v>1927.17004</v>
      </c>
      <c r="S530" s="28" t="n">
        <f aca="false">R530*(1-TradeDiscount)</f>
        <v>1695.9096352</v>
      </c>
      <c r="T530" s="28" t="n">
        <f aca="false">R530*(1-VolumeDiscount)</f>
        <v>1541.736032</v>
      </c>
    </row>
    <row r="531" customFormat="false" ht="15" hidden="false" customHeight="false" outlineLevel="0" collapsed="false">
      <c r="A531" s="29" t="s">
        <v>1274</v>
      </c>
      <c r="B531" s="29" t="s">
        <v>96</v>
      </c>
      <c r="C531" s="29" t="s">
        <v>44</v>
      </c>
      <c r="D531" s="29" t="s">
        <v>1275</v>
      </c>
      <c r="E531" s="29" t="s">
        <v>1256</v>
      </c>
      <c r="F531" s="29" t="s">
        <v>1184</v>
      </c>
      <c r="G531" s="29" t="s">
        <v>38</v>
      </c>
      <c r="H531" s="29" t="s">
        <v>67</v>
      </c>
      <c r="I531" s="29" t="s">
        <v>190</v>
      </c>
      <c r="J531" s="29" t="s">
        <v>1257</v>
      </c>
      <c r="K531" s="29" t="s">
        <v>192</v>
      </c>
      <c r="L531" s="29" t="s">
        <v>29</v>
      </c>
      <c r="M531" s="29" t="n">
        <v>909</v>
      </c>
      <c r="N531" s="29" t="n">
        <v>609</v>
      </c>
      <c r="O531" s="29"/>
      <c r="P531" s="30" t="n">
        <f aca="false">(M531*N531/1000000)*(INDEX(AreaRate_Vals,MATCH(C531,AreaRate_Keys,0))+IFERROR(INDEX(GlazingUpg_Vals,MATCH(H531,GlazingUpg_Keys,0)),0))+INDEX(Hardware_Vals,MATCH("Windows",Hardware_Keys,0))</f>
        <v>1357.162</v>
      </c>
      <c r="Q531" s="31" t="n">
        <f aca="false">INDEX(Markup_Vals,MATCH("Windows",MarkupCat_Keys,0))</f>
        <v>0.42</v>
      </c>
      <c r="R531" s="32" t="n">
        <f aca="false">P531*(1+Q531)</f>
        <v>1927.17004</v>
      </c>
      <c r="S531" s="32" t="n">
        <f aca="false">R531*(1-TradeDiscount)</f>
        <v>1695.9096352</v>
      </c>
      <c r="T531" s="32" t="n">
        <f aca="false">R531*(1-VolumeDiscount)</f>
        <v>1541.736032</v>
      </c>
    </row>
    <row r="532" customFormat="false" ht="15" hidden="false" customHeight="false" outlineLevel="0" collapsed="false">
      <c r="A532" s="25" t="s">
        <v>1276</v>
      </c>
      <c r="B532" s="25" t="s">
        <v>96</v>
      </c>
      <c r="C532" s="25" t="s">
        <v>44</v>
      </c>
      <c r="D532" s="25" t="s">
        <v>1277</v>
      </c>
      <c r="E532" s="25" t="s">
        <v>1256</v>
      </c>
      <c r="F532" s="25" t="s">
        <v>213</v>
      </c>
      <c r="G532" s="25" t="s">
        <v>35</v>
      </c>
      <c r="H532" s="25" t="s">
        <v>67</v>
      </c>
      <c r="I532" s="25" t="s">
        <v>190</v>
      </c>
      <c r="J532" s="25" t="s">
        <v>1257</v>
      </c>
      <c r="K532" s="25" t="s">
        <v>192</v>
      </c>
      <c r="L532" s="25" t="s">
        <v>29</v>
      </c>
      <c r="M532" s="25" t="n">
        <v>1209</v>
      </c>
      <c r="N532" s="25" t="n">
        <v>609</v>
      </c>
      <c r="O532" s="25"/>
      <c r="P532" s="26" t="n">
        <f aca="false">(M532*N532/1000000)*(INDEX(AreaRate_Vals,MATCH(C532,AreaRate_Keys,0))+IFERROR(INDEX(GlazingUpg_Vals,MATCH(H532,GlazingUpg_Keys,0)),0))+INDEX(Hardware_Vals,MATCH("Windows",Hardware_Keys,0))</f>
        <v>1722.562</v>
      </c>
      <c r="Q532" s="27" t="n">
        <f aca="false">INDEX(Markup_Vals,MATCH("Windows",MarkupCat_Keys,0))</f>
        <v>0.42</v>
      </c>
      <c r="R532" s="28" t="n">
        <f aca="false">P532*(1+Q532)</f>
        <v>2446.03804</v>
      </c>
      <c r="S532" s="28" t="n">
        <f aca="false">R532*(1-TradeDiscount)</f>
        <v>2152.5134752</v>
      </c>
      <c r="T532" s="28" t="n">
        <f aca="false">R532*(1-VolumeDiscount)</f>
        <v>1956.830432</v>
      </c>
    </row>
    <row r="533" customFormat="false" ht="15" hidden="false" customHeight="false" outlineLevel="0" collapsed="false">
      <c r="A533" s="29" t="s">
        <v>1278</v>
      </c>
      <c r="B533" s="29" t="s">
        <v>96</v>
      </c>
      <c r="C533" s="29" t="s">
        <v>44</v>
      </c>
      <c r="D533" s="29" t="s">
        <v>1279</v>
      </c>
      <c r="E533" s="29" t="s">
        <v>1256</v>
      </c>
      <c r="F533" s="29" t="s">
        <v>213</v>
      </c>
      <c r="G533" s="29" t="s">
        <v>36</v>
      </c>
      <c r="H533" s="29" t="s">
        <v>67</v>
      </c>
      <c r="I533" s="29" t="s">
        <v>190</v>
      </c>
      <c r="J533" s="29" t="s">
        <v>1257</v>
      </c>
      <c r="K533" s="29" t="s">
        <v>192</v>
      </c>
      <c r="L533" s="29" t="s">
        <v>29</v>
      </c>
      <c r="M533" s="29" t="n">
        <v>1209</v>
      </c>
      <c r="N533" s="29" t="n">
        <v>609</v>
      </c>
      <c r="O533" s="29"/>
      <c r="P533" s="30" t="n">
        <f aca="false">(M533*N533/1000000)*(INDEX(AreaRate_Vals,MATCH(C533,AreaRate_Keys,0))+IFERROR(INDEX(GlazingUpg_Vals,MATCH(H533,GlazingUpg_Keys,0)),0))+INDEX(Hardware_Vals,MATCH("Windows",Hardware_Keys,0))</f>
        <v>1722.562</v>
      </c>
      <c r="Q533" s="31" t="n">
        <f aca="false">INDEX(Markup_Vals,MATCH("Windows",MarkupCat_Keys,0))</f>
        <v>0.42</v>
      </c>
      <c r="R533" s="32" t="n">
        <f aca="false">P533*(1+Q533)</f>
        <v>2446.03804</v>
      </c>
      <c r="S533" s="32" t="n">
        <f aca="false">R533*(1-TradeDiscount)</f>
        <v>2152.5134752</v>
      </c>
      <c r="T533" s="32" t="n">
        <f aca="false">R533*(1-VolumeDiscount)</f>
        <v>1956.830432</v>
      </c>
    </row>
    <row r="534" customFormat="false" ht="15" hidden="false" customHeight="false" outlineLevel="0" collapsed="false">
      <c r="A534" s="25" t="s">
        <v>1280</v>
      </c>
      <c r="B534" s="25" t="s">
        <v>96</v>
      </c>
      <c r="C534" s="25" t="s">
        <v>44</v>
      </c>
      <c r="D534" s="25" t="s">
        <v>1281</v>
      </c>
      <c r="E534" s="25" t="s">
        <v>1256</v>
      </c>
      <c r="F534" s="25" t="s">
        <v>213</v>
      </c>
      <c r="G534" s="25" t="s">
        <v>37</v>
      </c>
      <c r="H534" s="25" t="s">
        <v>67</v>
      </c>
      <c r="I534" s="25" t="s">
        <v>190</v>
      </c>
      <c r="J534" s="25" t="s">
        <v>1257</v>
      </c>
      <c r="K534" s="25" t="s">
        <v>192</v>
      </c>
      <c r="L534" s="25" t="s">
        <v>29</v>
      </c>
      <c r="M534" s="25" t="n">
        <v>1209</v>
      </c>
      <c r="N534" s="25" t="n">
        <v>609</v>
      </c>
      <c r="O534" s="25"/>
      <c r="P534" s="26" t="n">
        <f aca="false">(M534*N534/1000000)*(INDEX(AreaRate_Vals,MATCH(C534,AreaRate_Keys,0))+IFERROR(INDEX(GlazingUpg_Vals,MATCH(H534,GlazingUpg_Keys,0)),0))+INDEX(Hardware_Vals,MATCH("Windows",Hardware_Keys,0))</f>
        <v>1722.562</v>
      </c>
      <c r="Q534" s="27" t="n">
        <f aca="false">INDEX(Markup_Vals,MATCH("Windows",MarkupCat_Keys,0))</f>
        <v>0.42</v>
      </c>
      <c r="R534" s="28" t="n">
        <f aca="false">P534*(1+Q534)</f>
        <v>2446.03804</v>
      </c>
      <c r="S534" s="28" t="n">
        <f aca="false">R534*(1-TradeDiscount)</f>
        <v>2152.5134752</v>
      </c>
      <c r="T534" s="28" t="n">
        <f aca="false">R534*(1-VolumeDiscount)</f>
        <v>1956.830432</v>
      </c>
    </row>
    <row r="535" customFormat="false" ht="15" hidden="false" customHeight="false" outlineLevel="0" collapsed="false">
      <c r="A535" s="29" t="s">
        <v>1282</v>
      </c>
      <c r="B535" s="29" t="s">
        <v>96</v>
      </c>
      <c r="C535" s="29" t="s">
        <v>44</v>
      </c>
      <c r="D535" s="29" t="s">
        <v>1283</v>
      </c>
      <c r="E535" s="29" t="s">
        <v>1256</v>
      </c>
      <c r="F535" s="29" t="s">
        <v>213</v>
      </c>
      <c r="G535" s="29" t="s">
        <v>39</v>
      </c>
      <c r="H535" s="29" t="s">
        <v>67</v>
      </c>
      <c r="I535" s="29" t="s">
        <v>190</v>
      </c>
      <c r="J535" s="29" t="s">
        <v>1257</v>
      </c>
      <c r="K535" s="29" t="s">
        <v>192</v>
      </c>
      <c r="L535" s="29" t="s">
        <v>29</v>
      </c>
      <c r="M535" s="29" t="n">
        <v>1209</v>
      </c>
      <c r="N535" s="29" t="n">
        <v>609</v>
      </c>
      <c r="O535" s="29"/>
      <c r="P535" s="30" t="n">
        <f aca="false">(M535*N535/1000000)*(INDEX(AreaRate_Vals,MATCH(C535,AreaRate_Keys,0))+IFERROR(INDEX(GlazingUpg_Vals,MATCH(H535,GlazingUpg_Keys,0)),0))+INDEX(Hardware_Vals,MATCH("Windows",Hardware_Keys,0))</f>
        <v>1722.562</v>
      </c>
      <c r="Q535" s="31" t="n">
        <f aca="false">INDEX(Markup_Vals,MATCH("Windows",MarkupCat_Keys,0))</f>
        <v>0.42</v>
      </c>
      <c r="R535" s="32" t="n">
        <f aca="false">P535*(1+Q535)</f>
        <v>2446.03804</v>
      </c>
      <c r="S535" s="32" t="n">
        <f aca="false">R535*(1-TradeDiscount)</f>
        <v>2152.5134752</v>
      </c>
      <c r="T535" s="32" t="n">
        <f aca="false">R535*(1-VolumeDiscount)</f>
        <v>1956.830432</v>
      </c>
    </row>
    <row r="536" customFormat="false" ht="15" hidden="false" customHeight="false" outlineLevel="0" collapsed="false">
      <c r="A536" s="25" t="s">
        <v>1284</v>
      </c>
      <c r="B536" s="25" t="s">
        <v>96</v>
      </c>
      <c r="C536" s="25" t="s">
        <v>44</v>
      </c>
      <c r="D536" s="25" t="s">
        <v>1285</v>
      </c>
      <c r="E536" s="25" t="s">
        <v>1256</v>
      </c>
      <c r="F536" s="25" t="s">
        <v>213</v>
      </c>
      <c r="G536" s="25" t="s">
        <v>38</v>
      </c>
      <c r="H536" s="25" t="s">
        <v>67</v>
      </c>
      <c r="I536" s="25" t="s">
        <v>190</v>
      </c>
      <c r="J536" s="25" t="s">
        <v>1257</v>
      </c>
      <c r="K536" s="25" t="s">
        <v>192</v>
      </c>
      <c r="L536" s="25" t="s">
        <v>29</v>
      </c>
      <c r="M536" s="25" t="n">
        <v>1209</v>
      </c>
      <c r="N536" s="25" t="n">
        <v>609</v>
      </c>
      <c r="O536" s="25"/>
      <c r="P536" s="26" t="n">
        <f aca="false">(M536*N536/1000000)*(INDEX(AreaRate_Vals,MATCH(C536,AreaRate_Keys,0))+IFERROR(INDEX(GlazingUpg_Vals,MATCH(H536,GlazingUpg_Keys,0)),0))+INDEX(Hardware_Vals,MATCH("Windows",Hardware_Keys,0))</f>
        <v>1722.562</v>
      </c>
      <c r="Q536" s="27" t="n">
        <f aca="false">INDEX(Markup_Vals,MATCH("Windows",MarkupCat_Keys,0))</f>
        <v>0.42</v>
      </c>
      <c r="R536" s="28" t="n">
        <f aca="false">P536*(1+Q536)</f>
        <v>2446.03804</v>
      </c>
      <c r="S536" s="28" t="n">
        <f aca="false">R536*(1-TradeDiscount)</f>
        <v>2152.5134752</v>
      </c>
      <c r="T536" s="28" t="n">
        <f aca="false">R536*(1-VolumeDiscount)</f>
        <v>1956.830432</v>
      </c>
    </row>
    <row r="537" customFormat="false" ht="15" hidden="false" customHeight="false" outlineLevel="0" collapsed="false">
      <c r="A537" s="29" t="s">
        <v>1286</v>
      </c>
      <c r="B537" s="29" t="s">
        <v>96</v>
      </c>
      <c r="C537" s="29" t="s">
        <v>44</v>
      </c>
      <c r="D537" s="29" t="s">
        <v>1287</v>
      </c>
      <c r="E537" s="29" t="s">
        <v>1256</v>
      </c>
      <c r="F537" s="29" t="s">
        <v>234</v>
      </c>
      <c r="G537" s="29" t="s">
        <v>35</v>
      </c>
      <c r="H537" s="29" t="s">
        <v>67</v>
      </c>
      <c r="I537" s="29" t="s">
        <v>190</v>
      </c>
      <c r="J537" s="29" t="s">
        <v>1257</v>
      </c>
      <c r="K537" s="29" t="s">
        <v>192</v>
      </c>
      <c r="L537" s="29" t="s">
        <v>29</v>
      </c>
      <c r="M537" s="29" t="n">
        <v>1209</v>
      </c>
      <c r="N537" s="29" t="n">
        <v>909</v>
      </c>
      <c r="O537" s="29"/>
      <c r="P537" s="30" t="n">
        <f aca="false">(M537*N537/1000000)*(INDEX(AreaRate_Vals,MATCH(C537,AreaRate_Keys,0))+IFERROR(INDEX(GlazingUpg_Vals,MATCH(H537,GlazingUpg_Keys,0)),0))+INDEX(Hardware_Vals,MATCH("Windows",Hardware_Keys,0))</f>
        <v>2447.962</v>
      </c>
      <c r="Q537" s="31" t="n">
        <f aca="false">INDEX(Markup_Vals,MATCH("Windows",MarkupCat_Keys,0))</f>
        <v>0.42</v>
      </c>
      <c r="R537" s="32" t="n">
        <f aca="false">P537*(1+Q537)</f>
        <v>3476.10604</v>
      </c>
      <c r="S537" s="32" t="n">
        <f aca="false">R537*(1-TradeDiscount)</f>
        <v>3058.9733152</v>
      </c>
      <c r="T537" s="32" t="n">
        <f aca="false">R537*(1-VolumeDiscount)</f>
        <v>2780.884832</v>
      </c>
    </row>
    <row r="538" customFormat="false" ht="15" hidden="false" customHeight="false" outlineLevel="0" collapsed="false">
      <c r="A538" s="25" t="s">
        <v>1288</v>
      </c>
      <c r="B538" s="25" t="s">
        <v>96</v>
      </c>
      <c r="C538" s="25" t="s">
        <v>44</v>
      </c>
      <c r="D538" s="25" t="s">
        <v>1289</v>
      </c>
      <c r="E538" s="25" t="s">
        <v>1256</v>
      </c>
      <c r="F538" s="25" t="s">
        <v>234</v>
      </c>
      <c r="G538" s="25" t="s">
        <v>36</v>
      </c>
      <c r="H538" s="25" t="s">
        <v>67</v>
      </c>
      <c r="I538" s="25" t="s">
        <v>190</v>
      </c>
      <c r="J538" s="25" t="s">
        <v>1257</v>
      </c>
      <c r="K538" s="25" t="s">
        <v>192</v>
      </c>
      <c r="L538" s="25" t="s">
        <v>29</v>
      </c>
      <c r="M538" s="25" t="n">
        <v>1209</v>
      </c>
      <c r="N538" s="25" t="n">
        <v>909</v>
      </c>
      <c r="O538" s="25"/>
      <c r="P538" s="26" t="n">
        <f aca="false">(M538*N538/1000000)*(INDEX(AreaRate_Vals,MATCH(C538,AreaRate_Keys,0))+IFERROR(INDEX(GlazingUpg_Vals,MATCH(H538,GlazingUpg_Keys,0)),0))+INDEX(Hardware_Vals,MATCH("Windows",Hardware_Keys,0))</f>
        <v>2447.962</v>
      </c>
      <c r="Q538" s="27" t="n">
        <f aca="false">INDEX(Markup_Vals,MATCH("Windows",MarkupCat_Keys,0))</f>
        <v>0.42</v>
      </c>
      <c r="R538" s="28" t="n">
        <f aca="false">P538*(1+Q538)</f>
        <v>3476.10604</v>
      </c>
      <c r="S538" s="28" t="n">
        <f aca="false">R538*(1-TradeDiscount)</f>
        <v>3058.9733152</v>
      </c>
      <c r="T538" s="28" t="n">
        <f aca="false">R538*(1-VolumeDiscount)</f>
        <v>2780.884832</v>
      </c>
    </row>
    <row r="539" customFormat="false" ht="15" hidden="false" customHeight="false" outlineLevel="0" collapsed="false">
      <c r="A539" s="29" t="s">
        <v>1290</v>
      </c>
      <c r="B539" s="29" t="s">
        <v>96</v>
      </c>
      <c r="C539" s="29" t="s">
        <v>44</v>
      </c>
      <c r="D539" s="29" t="s">
        <v>1291</v>
      </c>
      <c r="E539" s="29" t="s">
        <v>1256</v>
      </c>
      <c r="F539" s="29" t="s">
        <v>234</v>
      </c>
      <c r="G539" s="29" t="s">
        <v>37</v>
      </c>
      <c r="H539" s="29" t="s">
        <v>67</v>
      </c>
      <c r="I539" s="29" t="s">
        <v>190</v>
      </c>
      <c r="J539" s="29" t="s">
        <v>1257</v>
      </c>
      <c r="K539" s="29" t="s">
        <v>192</v>
      </c>
      <c r="L539" s="29" t="s">
        <v>29</v>
      </c>
      <c r="M539" s="29" t="n">
        <v>1209</v>
      </c>
      <c r="N539" s="29" t="n">
        <v>909</v>
      </c>
      <c r="O539" s="29"/>
      <c r="P539" s="30" t="n">
        <f aca="false">(M539*N539/1000000)*(INDEX(AreaRate_Vals,MATCH(C539,AreaRate_Keys,0))+IFERROR(INDEX(GlazingUpg_Vals,MATCH(H539,GlazingUpg_Keys,0)),0))+INDEX(Hardware_Vals,MATCH("Windows",Hardware_Keys,0))</f>
        <v>2447.962</v>
      </c>
      <c r="Q539" s="31" t="n">
        <f aca="false">INDEX(Markup_Vals,MATCH("Windows",MarkupCat_Keys,0))</f>
        <v>0.42</v>
      </c>
      <c r="R539" s="32" t="n">
        <f aca="false">P539*(1+Q539)</f>
        <v>3476.10604</v>
      </c>
      <c r="S539" s="32" t="n">
        <f aca="false">R539*(1-TradeDiscount)</f>
        <v>3058.9733152</v>
      </c>
      <c r="T539" s="32" t="n">
        <f aca="false">R539*(1-VolumeDiscount)</f>
        <v>2780.884832</v>
      </c>
    </row>
    <row r="540" customFormat="false" ht="15" hidden="false" customHeight="false" outlineLevel="0" collapsed="false">
      <c r="A540" s="25" t="s">
        <v>1292</v>
      </c>
      <c r="B540" s="25" t="s">
        <v>96</v>
      </c>
      <c r="C540" s="25" t="s">
        <v>44</v>
      </c>
      <c r="D540" s="25" t="s">
        <v>1293</v>
      </c>
      <c r="E540" s="25" t="s">
        <v>1256</v>
      </c>
      <c r="F540" s="25" t="s">
        <v>234</v>
      </c>
      <c r="G540" s="25" t="s">
        <v>39</v>
      </c>
      <c r="H540" s="25" t="s">
        <v>67</v>
      </c>
      <c r="I540" s="25" t="s">
        <v>190</v>
      </c>
      <c r="J540" s="25" t="s">
        <v>1257</v>
      </c>
      <c r="K540" s="25" t="s">
        <v>192</v>
      </c>
      <c r="L540" s="25" t="s">
        <v>29</v>
      </c>
      <c r="M540" s="25" t="n">
        <v>1209</v>
      </c>
      <c r="N540" s="25" t="n">
        <v>909</v>
      </c>
      <c r="O540" s="25"/>
      <c r="P540" s="26" t="n">
        <f aca="false">(M540*N540/1000000)*(INDEX(AreaRate_Vals,MATCH(C540,AreaRate_Keys,0))+IFERROR(INDEX(GlazingUpg_Vals,MATCH(H540,GlazingUpg_Keys,0)),0))+INDEX(Hardware_Vals,MATCH("Windows",Hardware_Keys,0))</f>
        <v>2447.962</v>
      </c>
      <c r="Q540" s="27" t="n">
        <f aca="false">INDEX(Markup_Vals,MATCH("Windows",MarkupCat_Keys,0))</f>
        <v>0.42</v>
      </c>
      <c r="R540" s="28" t="n">
        <f aca="false">P540*(1+Q540)</f>
        <v>3476.10604</v>
      </c>
      <c r="S540" s="28" t="n">
        <f aca="false">R540*(1-TradeDiscount)</f>
        <v>3058.9733152</v>
      </c>
      <c r="T540" s="28" t="n">
        <f aca="false">R540*(1-VolumeDiscount)</f>
        <v>2780.884832</v>
      </c>
    </row>
    <row r="541" customFormat="false" ht="15" hidden="false" customHeight="false" outlineLevel="0" collapsed="false">
      <c r="A541" s="29" t="s">
        <v>1294</v>
      </c>
      <c r="B541" s="29" t="s">
        <v>96</v>
      </c>
      <c r="C541" s="29" t="s">
        <v>44</v>
      </c>
      <c r="D541" s="29" t="s">
        <v>1295</v>
      </c>
      <c r="E541" s="29" t="s">
        <v>1256</v>
      </c>
      <c r="F541" s="29" t="s">
        <v>234</v>
      </c>
      <c r="G541" s="29" t="s">
        <v>38</v>
      </c>
      <c r="H541" s="29" t="s">
        <v>67</v>
      </c>
      <c r="I541" s="29" t="s">
        <v>190</v>
      </c>
      <c r="J541" s="29" t="s">
        <v>1257</v>
      </c>
      <c r="K541" s="29" t="s">
        <v>192</v>
      </c>
      <c r="L541" s="29" t="s">
        <v>29</v>
      </c>
      <c r="M541" s="29" t="n">
        <v>1209</v>
      </c>
      <c r="N541" s="29" t="n">
        <v>909</v>
      </c>
      <c r="O541" s="29"/>
      <c r="P541" s="30" t="n">
        <f aca="false">(M541*N541/1000000)*(INDEX(AreaRate_Vals,MATCH(C541,AreaRate_Keys,0))+IFERROR(INDEX(GlazingUpg_Vals,MATCH(H541,GlazingUpg_Keys,0)),0))+INDEX(Hardware_Vals,MATCH("Windows",Hardware_Keys,0))</f>
        <v>2447.962</v>
      </c>
      <c r="Q541" s="31" t="n">
        <f aca="false">INDEX(Markup_Vals,MATCH("Windows",MarkupCat_Keys,0))</f>
        <v>0.42</v>
      </c>
      <c r="R541" s="32" t="n">
        <f aca="false">P541*(1+Q541)</f>
        <v>3476.10604</v>
      </c>
      <c r="S541" s="32" t="n">
        <f aca="false">R541*(1-TradeDiscount)</f>
        <v>3058.9733152</v>
      </c>
      <c r="T541" s="32" t="n">
        <f aca="false">R541*(1-VolumeDiscount)</f>
        <v>2780.884832</v>
      </c>
    </row>
    <row r="542" customFormat="false" ht="15" hidden="false" customHeight="false" outlineLevel="0" collapsed="false">
      <c r="A542" s="25" t="s">
        <v>1296</v>
      </c>
      <c r="B542" s="25" t="s">
        <v>96</v>
      </c>
      <c r="C542" s="25" t="s">
        <v>44</v>
      </c>
      <c r="D542" s="25" t="s">
        <v>1297</v>
      </c>
      <c r="E542" s="25" t="s">
        <v>1256</v>
      </c>
      <c r="F542" s="25" t="s">
        <v>1215</v>
      </c>
      <c r="G542" s="25" t="s">
        <v>35</v>
      </c>
      <c r="H542" s="25" t="s">
        <v>67</v>
      </c>
      <c r="I542" s="25" t="s">
        <v>190</v>
      </c>
      <c r="J542" s="25" t="s">
        <v>1257</v>
      </c>
      <c r="K542" s="25" t="s">
        <v>192</v>
      </c>
      <c r="L542" s="25" t="s">
        <v>29</v>
      </c>
      <c r="M542" s="25" t="n">
        <v>1509</v>
      </c>
      <c r="N542" s="25" t="n">
        <v>909</v>
      </c>
      <c r="O542" s="25"/>
      <c r="P542" s="26" t="n">
        <f aca="false">(M542*N542/1000000)*(INDEX(AreaRate_Vals,MATCH(C542,AreaRate_Keys,0))+IFERROR(INDEX(GlazingUpg_Vals,MATCH(H542,GlazingUpg_Keys,0)),0))+INDEX(Hardware_Vals,MATCH("Windows",Hardware_Keys,0))</f>
        <v>2993.362</v>
      </c>
      <c r="Q542" s="27" t="n">
        <f aca="false">INDEX(Markup_Vals,MATCH("Windows",MarkupCat_Keys,0))</f>
        <v>0.42</v>
      </c>
      <c r="R542" s="28" t="n">
        <f aca="false">P542*(1+Q542)</f>
        <v>4250.57404</v>
      </c>
      <c r="S542" s="28" t="n">
        <f aca="false">R542*(1-TradeDiscount)</f>
        <v>3740.5051552</v>
      </c>
      <c r="T542" s="28" t="n">
        <f aca="false">R542*(1-VolumeDiscount)</f>
        <v>3400.459232</v>
      </c>
    </row>
    <row r="543" customFormat="false" ht="15" hidden="false" customHeight="false" outlineLevel="0" collapsed="false">
      <c r="A543" s="29" t="s">
        <v>1298</v>
      </c>
      <c r="B543" s="29" t="s">
        <v>96</v>
      </c>
      <c r="C543" s="29" t="s">
        <v>44</v>
      </c>
      <c r="D543" s="29" t="s">
        <v>1299</v>
      </c>
      <c r="E543" s="29" t="s">
        <v>1256</v>
      </c>
      <c r="F543" s="29" t="s">
        <v>1215</v>
      </c>
      <c r="G543" s="29" t="s">
        <v>36</v>
      </c>
      <c r="H543" s="29" t="s">
        <v>67</v>
      </c>
      <c r="I543" s="29" t="s">
        <v>190</v>
      </c>
      <c r="J543" s="29" t="s">
        <v>1257</v>
      </c>
      <c r="K543" s="29" t="s">
        <v>192</v>
      </c>
      <c r="L543" s="29" t="s">
        <v>29</v>
      </c>
      <c r="M543" s="29" t="n">
        <v>1509</v>
      </c>
      <c r="N543" s="29" t="n">
        <v>909</v>
      </c>
      <c r="O543" s="29"/>
      <c r="P543" s="30" t="n">
        <f aca="false">(M543*N543/1000000)*(INDEX(AreaRate_Vals,MATCH(C543,AreaRate_Keys,0))+IFERROR(INDEX(GlazingUpg_Vals,MATCH(H543,GlazingUpg_Keys,0)),0))+INDEX(Hardware_Vals,MATCH("Windows",Hardware_Keys,0))</f>
        <v>2993.362</v>
      </c>
      <c r="Q543" s="31" t="n">
        <f aca="false">INDEX(Markup_Vals,MATCH("Windows",MarkupCat_Keys,0))</f>
        <v>0.42</v>
      </c>
      <c r="R543" s="32" t="n">
        <f aca="false">P543*(1+Q543)</f>
        <v>4250.57404</v>
      </c>
      <c r="S543" s="32" t="n">
        <f aca="false">R543*(1-TradeDiscount)</f>
        <v>3740.5051552</v>
      </c>
      <c r="T543" s="32" t="n">
        <f aca="false">R543*(1-VolumeDiscount)</f>
        <v>3400.459232</v>
      </c>
    </row>
    <row r="544" customFormat="false" ht="15" hidden="false" customHeight="false" outlineLevel="0" collapsed="false">
      <c r="A544" s="25" t="s">
        <v>1300</v>
      </c>
      <c r="B544" s="25" t="s">
        <v>96</v>
      </c>
      <c r="C544" s="25" t="s">
        <v>44</v>
      </c>
      <c r="D544" s="25" t="s">
        <v>1301</v>
      </c>
      <c r="E544" s="25" t="s">
        <v>1256</v>
      </c>
      <c r="F544" s="25" t="s">
        <v>1215</v>
      </c>
      <c r="G544" s="25" t="s">
        <v>37</v>
      </c>
      <c r="H544" s="25" t="s">
        <v>67</v>
      </c>
      <c r="I544" s="25" t="s">
        <v>190</v>
      </c>
      <c r="J544" s="25" t="s">
        <v>1257</v>
      </c>
      <c r="K544" s="25" t="s">
        <v>192</v>
      </c>
      <c r="L544" s="25" t="s">
        <v>29</v>
      </c>
      <c r="M544" s="25" t="n">
        <v>1509</v>
      </c>
      <c r="N544" s="25" t="n">
        <v>909</v>
      </c>
      <c r="O544" s="25"/>
      <c r="P544" s="26" t="n">
        <f aca="false">(M544*N544/1000000)*(INDEX(AreaRate_Vals,MATCH(C544,AreaRate_Keys,0))+IFERROR(INDEX(GlazingUpg_Vals,MATCH(H544,GlazingUpg_Keys,0)),0))+INDEX(Hardware_Vals,MATCH("Windows",Hardware_Keys,0))</f>
        <v>2993.362</v>
      </c>
      <c r="Q544" s="27" t="n">
        <f aca="false">INDEX(Markup_Vals,MATCH("Windows",MarkupCat_Keys,0))</f>
        <v>0.42</v>
      </c>
      <c r="R544" s="28" t="n">
        <f aca="false">P544*(1+Q544)</f>
        <v>4250.57404</v>
      </c>
      <c r="S544" s="28" t="n">
        <f aca="false">R544*(1-TradeDiscount)</f>
        <v>3740.5051552</v>
      </c>
      <c r="T544" s="28" t="n">
        <f aca="false">R544*(1-VolumeDiscount)</f>
        <v>3400.459232</v>
      </c>
    </row>
    <row r="545" customFormat="false" ht="15" hidden="false" customHeight="false" outlineLevel="0" collapsed="false">
      <c r="A545" s="29" t="s">
        <v>1302</v>
      </c>
      <c r="B545" s="29" t="s">
        <v>96</v>
      </c>
      <c r="C545" s="29" t="s">
        <v>44</v>
      </c>
      <c r="D545" s="29" t="s">
        <v>1303</v>
      </c>
      <c r="E545" s="29" t="s">
        <v>1256</v>
      </c>
      <c r="F545" s="29" t="s">
        <v>1215</v>
      </c>
      <c r="G545" s="29" t="s">
        <v>39</v>
      </c>
      <c r="H545" s="29" t="s">
        <v>67</v>
      </c>
      <c r="I545" s="29" t="s">
        <v>190</v>
      </c>
      <c r="J545" s="29" t="s">
        <v>1257</v>
      </c>
      <c r="K545" s="29" t="s">
        <v>192</v>
      </c>
      <c r="L545" s="29" t="s">
        <v>29</v>
      </c>
      <c r="M545" s="29" t="n">
        <v>1509</v>
      </c>
      <c r="N545" s="29" t="n">
        <v>909</v>
      </c>
      <c r="O545" s="29"/>
      <c r="P545" s="30" t="n">
        <f aca="false">(M545*N545/1000000)*(INDEX(AreaRate_Vals,MATCH(C545,AreaRate_Keys,0))+IFERROR(INDEX(GlazingUpg_Vals,MATCH(H545,GlazingUpg_Keys,0)),0))+INDEX(Hardware_Vals,MATCH("Windows",Hardware_Keys,0))</f>
        <v>2993.362</v>
      </c>
      <c r="Q545" s="31" t="n">
        <f aca="false">INDEX(Markup_Vals,MATCH("Windows",MarkupCat_Keys,0))</f>
        <v>0.42</v>
      </c>
      <c r="R545" s="32" t="n">
        <f aca="false">P545*(1+Q545)</f>
        <v>4250.57404</v>
      </c>
      <c r="S545" s="32" t="n">
        <f aca="false">R545*(1-TradeDiscount)</f>
        <v>3740.5051552</v>
      </c>
      <c r="T545" s="32" t="n">
        <f aca="false">R545*(1-VolumeDiscount)</f>
        <v>3400.459232</v>
      </c>
    </row>
    <row r="546" customFormat="false" ht="15" hidden="false" customHeight="false" outlineLevel="0" collapsed="false">
      <c r="A546" s="25" t="s">
        <v>1304</v>
      </c>
      <c r="B546" s="25" t="s">
        <v>96</v>
      </c>
      <c r="C546" s="25" t="s">
        <v>44</v>
      </c>
      <c r="D546" s="25" t="s">
        <v>1305</v>
      </c>
      <c r="E546" s="25" t="s">
        <v>1256</v>
      </c>
      <c r="F546" s="25" t="s">
        <v>1215</v>
      </c>
      <c r="G546" s="25" t="s">
        <v>38</v>
      </c>
      <c r="H546" s="25" t="s">
        <v>67</v>
      </c>
      <c r="I546" s="25" t="s">
        <v>190</v>
      </c>
      <c r="J546" s="25" t="s">
        <v>1257</v>
      </c>
      <c r="K546" s="25" t="s">
        <v>192</v>
      </c>
      <c r="L546" s="25" t="s">
        <v>29</v>
      </c>
      <c r="M546" s="25" t="n">
        <v>1509</v>
      </c>
      <c r="N546" s="25" t="n">
        <v>909</v>
      </c>
      <c r="O546" s="25"/>
      <c r="P546" s="26" t="n">
        <f aca="false">(M546*N546/1000000)*(INDEX(AreaRate_Vals,MATCH(C546,AreaRate_Keys,0))+IFERROR(INDEX(GlazingUpg_Vals,MATCH(H546,GlazingUpg_Keys,0)),0))+INDEX(Hardware_Vals,MATCH("Windows",Hardware_Keys,0))</f>
        <v>2993.362</v>
      </c>
      <c r="Q546" s="27" t="n">
        <f aca="false">INDEX(Markup_Vals,MATCH("Windows",MarkupCat_Keys,0))</f>
        <v>0.42</v>
      </c>
      <c r="R546" s="28" t="n">
        <f aca="false">P546*(1+Q546)</f>
        <v>4250.57404</v>
      </c>
      <c r="S546" s="28" t="n">
        <f aca="false">R546*(1-TradeDiscount)</f>
        <v>3740.5051552</v>
      </c>
      <c r="T546" s="28" t="n">
        <f aca="false">R546*(1-VolumeDiscount)</f>
        <v>3400.459232</v>
      </c>
    </row>
    <row r="547" customFormat="false" ht="15" hidden="false" customHeight="false" outlineLevel="0" collapsed="false">
      <c r="A547" s="29" t="s">
        <v>1306</v>
      </c>
      <c r="B547" s="29" t="s">
        <v>96</v>
      </c>
      <c r="C547" s="29" t="s">
        <v>44</v>
      </c>
      <c r="D547" s="29" t="s">
        <v>1307</v>
      </c>
      <c r="E547" s="29" t="s">
        <v>1256</v>
      </c>
      <c r="F547" s="29" t="s">
        <v>255</v>
      </c>
      <c r="G547" s="29" t="s">
        <v>35</v>
      </c>
      <c r="H547" s="29" t="s">
        <v>67</v>
      </c>
      <c r="I547" s="29" t="s">
        <v>190</v>
      </c>
      <c r="J547" s="29" t="s">
        <v>1257</v>
      </c>
      <c r="K547" s="29" t="s">
        <v>192</v>
      </c>
      <c r="L547" s="29" t="s">
        <v>29</v>
      </c>
      <c r="M547" s="29" t="n">
        <v>1809</v>
      </c>
      <c r="N547" s="29" t="n">
        <v>909</v>
      </c>
      <c r="O547" s="29"/>
      <c r="P547" s="30" t="n">
        <f aca="false">(M547*N547/1000000)*(INDEX(AreaRate_Vals,MATCH(C547,AreaRate_Keys,0))+IFERROR(INDEX(GlazingUpg_Vals,MATCH(H547,GlazingUpg_Keys,0)),0))+INDEX(Hardware_Vals,MATCH("Windows",Hardware_Keys,0))</f>
        <v>3538.762</v>
      </c>
      <c r="Q547" s="31" t="n">
        <f aca="false">INDEX(Markup_Vals,MATCH("Windows",MarkupCat_Keys,0))</f>
        <v>0.42</v>
      </c>
      <c r="R547" s="32" t="n">
        <f aca="false">P547*(1+Q547)</f>
        <v>5025.04204</v>
      </c>
      <c r="S547" s="32" t="n">
        <f aca="false">R547*(1-TradeDiscount)</f>
        <v>4422.0369952</v>
      </c>
      <c r="T547" s="32" t="n">
        <f aca="false">R547*(1-VolumeDiscount)</f>
        <v>4020.033632</v>
      </c>
    </row>
    <row r="548" customFormat="false" ht="15" hidden="false" customHeight="false" outlineLevel="0" collapsed="false">
      <c r="A548" s="25" t="s">
        <v>1308</v>
      </c>
      <c r="B548" s="25" t="s">
        <v>96</v>
      </c>
      <c r="C548" s="25" t="s">
        <v>44</v>
      </c>
      <c r="D548" s="25" t="s">
        <v>1309</v>
      </c>
      <c r="E548" s="25" t="s">
        <v>1256</v>
      </c>
      <c r="F548" s="25" t="s">
        <v>255</v>
      </c>
      <c r="G548" s="25" t="s">
        <v>36</v>
      </c>
      <c r="H548" s="25" t="s">
        <v>67</v>
      </c>
      <c r="I548" s="25" t="s">
        <v>190</v>
      </c>
      <c r="J548" s="25" t="s">
        <v>1257</v>
      </c>
      <c r="K548" s="25" t="s">
        <v>192</v>
      </c>
      <c r="L548" s="25" t="s">
        <v>29</v>
      </c>
      <c r="M548" s="25" t="n">
        <v>1809</v>
      </c>
      <c r="N548" s="25" t="n">
        <v>909</v>
      </c>
      <c r="O548" s="25"/>
      <c r="P548" s="26" t="n">
        <f aca="false">(M548*N548/1000000)*(INDEX(AreaRate_Vals,MATCH(C548,AreaRate_Keys,0))+IFERROR(INDEX(GlazingUpg_Vals,MATCH(H548,GlazingUpg_Keys,0)),0))+INDEX(Hardware_Vals,MATCH("Windows",Hardware_Keys,0))</f>
        <v>3538.762</v>
      </c>
      <c r="Q548" s="27" t="n">
        <f aca="false">INDEX(Markup_Vals,MATCH("Windows",MarkupCat_Keys,0))</f>
        <v>0.42</v>
      </c>
      <c r="R548" s="28" t="n">
        <f aca="false">P548*(1+Q548)</f>
        <v>5025.04204</v>
      </c>
      <c r="S548" s="28" t="n">
        <f aca="false">R548*(1-TradeDiscount)</f>
        <v>4422.0369952</v>
      </c>
      <c r="T548" s="28" t="n">
        <f aca="false">R548*(1-VolumeDiscount)</f>
        <v>4020.033632</v>
      </c>
    </row>
    <row r="549" customFormat="false" ht="15" hidden="false" customHeight="false" outlineLevel="0" collapsed="false">
      <c r="A549" s="29" t="s">
        <v>1310</v>
      </c>
      <c r="B549" s="29" t="s">
        <v>96</v>
      </c>
      <c r="C549" s="29" t="s">
        <v>44</v>
      </c>
      <c r="D549" s="29" t="s">
        <v>1311</v>
      </c>
      <c r="E549" s="29" t="s">
        <v>1256</v>
      </c>
      <c r="F549" s="29" t="s">
        <v>255</v>
      </c>
      <c r="G549" s="29" t="s">
        <v>37</v>
      </c>
      <c r="H549" s="29" t="s">
        <v>67</v>
      </c>
      <c r="I549" s="29" t="s">
        <v>190</v>
      </c>
      <c r="J549" s="29" t="s">
        <v>1257</v>
      </c>
      <c r="K549" s="29" t="s">
        <v>192</v>
      </c>
      <c r="L549" s="29" t="s">
        <v>29</v>
      </c>
      <c r="M549" s="29" t="n">
        <v>1809</v>
      </c>
      <c r="N549" s="29" t="n">
        <v>909</v>
      </c>
      <c r="O549" s="29"/>
      <c r="P549" s="30" t="n">
        <f aca="false">(M549*N549/1000000)*(INDEX(AreaRate_Vals,MATCH(C549,AreaRate_Keys,0))+IFERROR(INDEX(GlazingUpg_Vals,MATCH(H549,GlazingUpg_Keys,0)),0))+INDEX(Hardware_Vals,MATCH("Windows",Hardware_Keys,0))</f>
        <v>3538.762</v>
      </c>
      <c r="Q549" s="31" t="n">
        <f aca="false">INDEX(Markup_Vals,MATCH("Windows",MarkupCat_Keys,0))</f>
        <v>0.42</v>
      </c>
      <c r="R549" s="32" t="n">
        <f aca="false">P549*(1+Q549)</f>
        <v>5025.04204</v>
      </c>
      <c r="S549" s="32" t="n">
        <f aca="false">R549*(1-TradeDiscount)</f>
        <v>4422.0369952</v>
      </c>
      <c r="T549" s="32" t="n">
        <f aca="false">R549*(1-VolumeDiscount)</f>
        <v>4020.033632</v>
      </c>
    </row>
    <row r="550" customFormat="false" ht="15" hidden="false" customHeight="false" outlineLevel="0" collapsed="false">
      <c r="A550" s="25" t="s">
        <v>1312</v>
      </c>
      <c r="B550" s="25" t="s">
        <v>96</v>
      </c>
      <c r="C550" s="25" t="s">
        <v>44</v>
      </c>
      <c r="D550" s="25" t="s">
        <v>1313</v>
      </c>
      <c r="E550" s="25" t="s">
        <v>1256</v>
      </c>
      <c r="F550" s="25" t="s">
        <v>255</v>
      </c>
      <c r="G550" s="25" t="s">
        <v>39</v>
      </c>
      <c r="H550" s="25" t="s">
        <v>67</v>
      </c>
      <c r="I550" s="25" t="s">
        <v>190</v>
      </c>
      <c r="J550" s="25" t="s">
        <v>1257</v>
      </c>
      <c r="K550" s="25" t="s">
        <v>192</v>
      </c>
      <c r="L550" s="25" t="s">
        <v>29</v>
      </c>
      <c r="M550" s="25" t="n">
        <v>1809</v>
      </c>
      <c r="N550" s="25" t="n">
        <v>909</v>
      </c>
      <c r="O550" s="25"/>
      <c r="P550" s="26" t="n">
        <f aca="false">(M550*N550/1000000)*(INDEX(AreaRate_Vals,MATCH(C550,AreaRate_Keys,0))+IFERROR(INDEX(GlazingUpg_Vals,MATCH(H550,GlazingUpg_Keys,0)),0))+INDEX(Hardware_Vals,MATCH("Windows",Hardware_Keys,0))</f>
        <v>3538.762</v>
      </c>
      <c r="Q550" s="27" t="n">
        <f aca="false">INDEX(Markup_Vals,MATCH("Windows",MarkupCat_Keys,0))</f>
        <v>0.42</v>
      </c>
      <c r="R550" s="28" t="n">
        <f aca="false">P550*(1+Q550)</f>
        <v>5025.04204</v>
      </c>
      <c r="S550" s="28" t="n">
        <f aca="false">R550*(1-TradeDiscount)</f>
        <v>4422.0369952</v>
      </c>
      <c r="T550" s="28" t="n">
        <f aca="false">R550*(1-VolumeDiscount)</f>
        <v>4020.033632</v>
      </c>
    </row>
    <row r="551" customFormat="false" ht="15" hidden="false" customHeight="false" outlineLevel="0" collapsed="false">
      <c r="A551" s="29" t="s">
        <v>1314</v>
      </c>
      <c r="B551" s="29" t="s">
        <v>96</v>
      </c>
      <c r="C551" s="29" t="s">
        <v>44</v>
      </c>
      <c r="D551" s="29" t="s">
        <v>1315</v>
      </c>
      <c r="E551" s="29" t="s">
        <v>1256</v>
      </c>
      <c r="F551" s="29" t="s">
        <v>255</v>
      </c>
      <c r="G551" s="29" t="s">
        <v>38</v>
      </c>
      <c r="H551" s="29" t="s">
        <v>67</v>
      </c>
      <c r="I551" s="29" t="s">
        <v>190</v>
      </c>
      <c r="J551" s="29" t="s">
        <v>1257</v>
      </c>
      <c r="K551" s="29" t="s">
        <v>192</v>
      </c>
      <c r="L551" s="29" t="s">
        <v>29</v>
      </c>
      <c r="M551" s="29" t="n">
        <v>1809</v>
      </c>
      <c r="N551" s="29" t="n">
        <v>909</v>
      </c>
      <c r="O551" s="29"/>
      <c r="P551" s="30" t="n">
        <f aca="false">(M551*N551/1000000)*(INDEX(AreaRate_Vals,MATCH(C551,AreaRate_Keys,0))+IFERROR(INDEX(GlazingUpg_Vals,MATCH(H551,GlazingUpg_Keys,0)),0))+INDEX(Hardware_Vals,MATCH("Windows",Hardware_Keys,0))</f>
        <v>3538.762</v>
      </c>
      <c r="Q551" s="31" t="n">
        <f aca="false">INDEX(Markup_Vals,MATCH("Windows",MarkupCat_Keys,0))</f>
        <v>0.42</v>
      </c>
      <c r="R551" s="32" t="n">
        <f aca="false">P551*(1+Q551)</f>
        <v>5025.04204</v>
      </c>
      <c r="S551" s="32" t="n">
        <f aca="false">R551*(1-TradeDiscount)</f>
        <v>4422.0369952</v>
      </c>
      <c r="T551" s="32" t="n">
        <f aca="false">R551*(1-VolumeDiscount)</f>
        <v>4020.033632</v>
      </c>
    </row>
    <row r="552" customFormat="false" ht="15" hidden="false" customHeight="false" outlineLevel="0" collapsed="false">
      <c r="A552" s="25" t="s">
        <v>1316</v>
      </c>
      <c r="B552" s="25" t="s">
        <v>96</v>
      </c>
      <c r="C552" s="25" t="s">
        <v>45</v>
      </c>
      <c r="D552" s="25" t="s">
        <v>1317</v>
      </c>
      <c r="E552" s="25" t="s">
        <v>1318</v>
      </c>
      <c r="F552" s="25" t="s">
        <v>189</v>
      </c>
      <c r="G552" s="25" t="s">
        <v>35</v>
      </c>
      <c r="H552" s="25" t="s">
        <v>68</v>
      </c>
      <c r="I552" s="25" t="s">
        <v>190</v>
      </c>
      <c r="J552" s="25" t="s">
        <v>1257</v>
      </c>
      <c r="K552" s="25" t="s">
        <v>192</v>
      </c>
      <c r="L552" s="25" t="s">
        <v>29</v>
      </c>
      <c r="M552" s="25" t="n">
        <v>609</v>
      </c>
      <c r="N552" s="25" t="n">
        <v>609</v>
      </c>
      <c r="O552" s="25"/>
      <c r="P552" s="26" t="n">
        <f aca="false">(M552*N552/1000000)*(INDEX(AreaRate_Vals,MATCH(C552,AreaRate_Keys,0))+IFERROR(INDEX(GlazingUpg_Vals,MATCH(H552,GlazingUpg_Keys,0)),0))+INDEX(Hardware_Vals,MATCH("Windows",Hardware_Keys,0))</f>
        <v>1140.1144</v>
      </c>
      <c r="Q552" s="27" t="n">
        <f aca="false">INDEX(Markup_Vals,MATCH("Windows",MarkupCat_Keys,0))</f>
        <v>0.42</v>
      </c>
      <c r="R552" s="28" t="n">
        <f aca="false">P552*(1+Q552)</f>
        <v>1618.962448</v>
      </c>
      <c r="S552" s="28" t="n">
        <f aca="false">R552*(1-TradeDiscount)</f>
        <v>1424.68695424</v>
      </c>
      <c r="T552" s="28" t="n">
        <f aca="false">R552*(1-VolumeDiscount)</f>
        <v>1295.1699584</v>
      </c>
    </row>
    <row r="553" customFormat="false" ht="15" hidden="false" customHeight="false" outlineLevel="0" collapsed="false">
      <c r="A553" s="29" t="s">
        <v>1319</v>
      </c>
      <c r="B553" s="29" t="s">
        <v>96</v>
      </c>
      <c r="C553" s="29" t="s">
        <v>45</v>
      </c>
      <c r="D553" s="29" t="s">
        <v>1320</v>
      </c>
      <c r="E553" s="29" t="s">
        <v>1318</v>
      </c>
      <c r="F553" s="29" t="s">
        <v>189</v>
      </c>
      <c r="G553" s="29" t="s">
        <v>36</v>
      </c>
      <c r="H553" s="29" t="s">
        <v>68</v>
      </c>
      <c r="I553" s="29" t="s">
        <v>190</v>
      </c>
      <c r="J553" s="29" t="s">
        <v>1257</v>
      </c>
      <c r="K553" s="29" t="s">
        <v>192</v>
      </c>
      <c r="L553" s="29" t="s">
        <v>29</v>
      </c>
      <c r="M553" s="29" t="n">
        <v>609</v>
      </c>
      <c r="N553" s="29" t="n">
        <v>609</v>
      </c>
      <c r="O553" s="29"/>
      <c r="P553" s="30" t="n">
        <f aca="false">(M553*N553/1000000)*(INDEX(AreaRate_Vals,MATCH(C553,AreaRate_Keys,0))+IFERROR(INDEX(GlazingUpg_Vals,MATCH(H553,GlazingUpg_Keys,0)),0))+INDEX(Hardware_Vals,MATCH("Windows",Hardware_Keys,0))</f>
        <v>1140.1144</v>
      </c>
      <c r="Q553" s="31" t="n">
        <f aca="false">INDEX(Markup_Vals,MATCH("Windows",MarkupCat_Keys,0))</f>
        <v>0.42</v>
      </c>
      <c r="R553" s="32" t="n">
        <f aca="false">P553*(1+Q553)</f>
        <v>1618.962448</v>
      </c>
      <c r="S553" s="32" t="n">
        <f aca="false">R553*(1-TradeDiscount)</f>
        <v>1424.68695424</v>
      </c>
      <c r="T553" s="32" t="n">
        <f aca="false">R553*(1-VolumeDiscount)</f>
        <v>1295.1699584</v>
      </c>
    </row>
    <row r="554" customFormat="false" ht="15" hidden="false" customHeight="false" outlineLevel="0" collapsed="false">
      <c r="A554" s="25" t="s">
        <v>1321</v>
      </c>
      <c r="B554" s="25" t="s">
        <v>96</v>
      </c>
      <c r="C554" s="25" t="s">
        <v>45</v>
      </c>
      <c r="D554" s="25" t="s">
        <v>1322</v>
      </c>
      <c r="E554" s="25" t="s">
        <v>1318</v>
      </c>
      <c r="F554" s="25" t="s">
        <v>189</v>
      </c>
      <c r="G554" s="25" t="s">
        <v>37</v>
      </c>
      <c r="H554" s="25" t="s">
        <v>68</v>
      </c>
      <c r="I554" s="25" t="s">
        <v>190</v>
      </c>
      <c r="J554" s="25" t="s">
        <v>1257</v>
      </c>
      <c r="K554" s="25" t="s">
        <v>192</v>
      </c>
      <c r="L554" s="25" t="s">
        <v>29</v>
      </c>
      <c r="M554" s="25" t="n">
        <v>609</v>
      </c>
      <c r="N554" s="25" t="n">
        <v>609</v>
      </c>
      <c r="O554" s="25"/>
      <c r="P554" s="26" t="n">
        <f aca="false">(M554*N554/1000000)*(INDEX(AreaRate_Vals,MATCH(C554,AreaRate_Keys,0))+IFERROR(INDEX(GlazingUpg_Vals,MATCH(H554,GlazingUpg_Keys,0)),0))+INDEX(Hardware_Vals,MATCH("Windows",Hardware_Keys,0))</f>
        <v>1140.1144</v>
      </c>
      <c r="Q554" s="27" t="n">
        <f aca="false">INDEX(Markup_Vals,MATCH("Windows",MarkupCat_Keys,0))</f>
        <v>0.42</v>
      </c>
      <c r="R554" s="28" t="n">
        <f aca="false">P554*(1+Q554)</f>
        <v>1618.962448</v>
      </c>
      <c r="S554" s="28" t="n">
        <f aca="false">R554*(1-TradeDiscount)</f>
        <v>1424.68695424</v>
      </c>
      <c r="T554" s="28" t="n">
        <f aca="false">R554*(1-VolumeDiscount)</f>
        <v>1295.1699584</v>
      </c>
    </row>
    <row r="555" customFormat="false" ht="15" hidden="false" customHeight="false" outlineLevel="0" collapsed="false">
      <c r="A555" s="29" t="s">
        <v>1323</v>
      </c>
      <c r="B555" s="29" t="s">
        <v>96</v>
      </c>
      <c r="C555" s="29" t="s">
        <v>45</v>
      </c>
      <c r="D555" s="29" t="s">
        <v>1324</v>
      </c>
      <c r="E555" s="29" t="s">
        <v>1318</v>
      </c>
      <c r="F555" s="29" t="s">
        <v>189</v>
      </c>
      <c r="G555" s="29" t="s">
        <v>39</v>
      </c>
      <c r="H555" s="29" t="s">
        <v>68</v>
      </c>
      <c r="I555" s="29" t="s">
        <v>190</v>
      </c>
      <c r="J555" s="29" t="s">
        <v>1257</v>
      </c>
      <c r="K555" s="29" t="s">
        <v>192</v>
      </c>
      <c r="L555" s="29" t="s">
        <v>29</v>
      </c>
      <c r="M555" s="29" t="n">
        <v>609</v>
      </c>
      <c r="N555" s="29" t="n">
        <v>609</v>
      </c>
      <c r="O555" s="29"/>
      <c r="P555" s="30" t="n">
        <f aca="false">(M555*N555/1000000)*(INDEX(AreaRate_Vals,MATCH(C555,AreaRate_Keys,0))+IFERROR(INDEX(GlazingUpg_Vals,MATCH(H555,GlazingUpg_Keys,0)),0))+INDEX(Hardware_Vals,MATCH("Windows",Hardware_Keys,0))</f>
        <v>1140.1144</v>
      </c>
      <c r="Q555" s="31" t="n">
        <f aca="false">INDEX(Markup_Vals,MATCH("Windows",MarkupCat_Keys,0))</f>
        <v>0.42</v>
      </c>
      <c r="R555" s="32" t="n">
        <f aca="false">P555*(1+Q555)</f>
        <v>1618.962448</v>
      </c>
      <c r="S555" s="32" t="n">
        <f aca="false">R555*(1-TradeDiscount)</f>
        <v>1424.68695424</v>
      </c>
      <c r="T555" s="32" t="n">
        <f aca="false">R555*(1-VolumeDiscount)</f>
        <v>1295.1699584</v>
      </c>
    </row>
    <row r="556" customFormat="false" ht="15" hidden="false" customHeight="false" outlineLevel="0" collapsed="false">
      <c r="A556" s="25" t="s">
        <v>1325</v>
      </c>
      <c r="B556" s="25" t="s">
        <v>96</v>
      </c>
      <c r="C556" s="25" t="s">
        <v>45</v>
      </c>
      <c r="D556" s="25" t="s">
        <v>1326</v>
      </c>
      <c r="E556" s="25" t="s">
        <v>1318</v>
      </c>
      <c r="F556" s="25" t="s">
        <v>1184</v>
      </c>
      <c r="G556" s="25" t="s">
        <v>35</v>
      </c>
      <c r="H556" s="25" t="s">
        <v>68</v>
      </c>
      <c r="I556" s="25" t="s">
        <v>190</v>
      </c>
      <c r="J556" s="25" t="s">
        <v>1257</v>
      </c>
      <c r="K556" s="25" t="s">
        <v>192</v>
      </c>
      <c r="L556" s="25" t="s">
        <v>29</v>
      </c>
      <c r="M556" s="25" t="n">
        <v>909</v>
      </c>
      <c r="N556" s="25" t="n">
        <v>609</v>
      </c>
      <c r="O556" s="25"/>
      <c r="P556" s="26" t="n">
        <f aca="false">(M556*N556/1000000)*(INDEX(AreaRate_Vals,MATCH(C556,AreaRate_Keys,0))+IFERROR(INDEX(GlazingUpg_Vals,MATCH(H556,GlazingUpg_Keys,0)),0))+INDEX(Hardware_Vals,MATCH("Windows",Hardware_Keys,0))</f>
        <v>1578.5944</v>
      </c>
      <c r="Q556" s="27" t="n">
        <f aca="false">INDEX(Markup_Vals,MATCH("Windows",MarkupCat_Keys,0))</f>
        <v>0.42</v>
      </c>
      <c r="R556" s="28" t="n">
        <f aca="false">P556*(1+Q556)</f>
        <v>2241.604048</v>
      </c>
      <c r="S556" s="28" t="n">
        <f aca="false">R556*(1-TradeDiscount)</f>
        <v>1972.61156224</v>
      </c>
      <c r="T556" s="28" t="n">
        <f aca="false">R556*(1-VolumeDiscount)</f>
        <v>1793.2832384</v>
      </c>
    </row>
    <row r="557" customFormat="false" ht="15" hidden="false" customHeight="false" outlineLevel="0" collapsed="false">
      <c r="A557" s="29" t="s">
        <v>1327</v>
      </c>
      <c r="B557" s="29" t="s">
        <v>96</v>
      </c>
      <c r="C557" s="29" t="s">
        <v>45</v>
      </c>
      <c r="D557" s="29" t="s">
        <v>1328</v>
      </c>
      <c r="E557" s="29" t="s">
        <v>1318</v>
      </c>
      <c r="F557" s="29" t="s">
        <v>1184</v>
      </c>
      <c r="G557" s="29" t="s">
        <v>36</v>
      </c>
      <c r="H557" s="29" t="s">
        <v>68</v>
      </c>
      <c r="I557" s="29" t="s">
        <v>190</v>
      </c>
      <c r="J557" s="29" t="s">
        <v>1257</v>
      </c>
      <c r="K557" s="29" t="s">
        <v>192</v>
      </c>
      <c r="L557" s="29" t="s">
        <v>29</v>
      </c>
      <c r="M557" s="29" t="n">
        <v>909</v>
      </c>
      <c r="N557" s="29" t="n">
        <v>609</v>
      </c>
      <c r="O557" s="29"/>
      <c r="P557" s="30" t="n">
        <f aca="false">(M557*N557/1000000)*(INDEX(AreaRate_Vals,MATCH(C557,AreaRate_Keys,0))+IFERROR(INDEX(GlazingUpg_Vals,MATCH(H557,GlazingUpg_Keys,0)),0))+INDEX(Hardware_Vals,MATCH("Windows",Hardware_Keys,0))</f>
        <v>1578.5944</v>
      </c>
      <c r="Q557" s="31" t="n">
        <f aca="false">INDEX(Markup_Vals,MATCH("Windows",MarkupCat_Keys,0))</f>
        <v>0.42</v>
      </c>
      <c r="R557" s="32" t="n">
        <f aca="false">P557*(1+Q557)</f>
        <v>2241.604048</v>
      </c>
      <c r="S557" s="32" t="n">
        <f aca="false">R557*(1-TradeDiscount)</f>
        <v>1972.61156224</v>
      </c>
      <c r="T557" s="32" t="n">
        <f aca="false">R557*(1-VolumeDiscount)</f>
        <v>1793.2832384</v>
      </c>
    </row>
    <row r="558" customFormat="false" ht="15" hidden="false" customHeight="false" outlineLevel="0" collapsed="false">
      <c r="A558" s="25" t="s">
        <v>1329</v>
      </c>
      <c r="B558" s="25" t="s">
        <v>96</v>
      </c>
      <c r="C558" s="25" t="s">
        <v>45</v>
      </c>
      <c r="D558" s="25" t="s">
        <v>1330</v>
      </c>
      <c r="E558" s="25" t="s">
        <v>1318</v>
      </c>
      <c r="F558" s="25" t="s">
        <v>1184</v>
      </c>
      <c r="G558" s="25" t="s">
        <v>37</v>
      </c>
      <c r="H558" s="25" t="s">
        <v>68</v>
      </c>
      <c r="I558" s="25" t="s">
        <v>190</v>
      </c>
      <c r="J558" s="25" t="s">
        <v>1257</v>
      </c>
      <c r="K558" s="25" t="s">
        <v>192</v>
      </c>
      <c r="L558" s="25" t="s">
        <v>29</v>
      </c>
      <c r="M558" s="25" t="n">
        <v>909</v>
      </c>
      <c r="N558" s="25" t="n">
        <v>609</v>
      </c>
      <c r="O558" s="25"/>
      <c r="P558" s="26" t="n">
        <f aca="false">(M558*N558/1000000)*(INDEX(AreaRate_Vals,MATCH(C558,AreaRate_Keys,0))+IFERROR(INDEX(GlazingUpg_Vals,MATCH(H558,GlazingUpg_Keys,0)),0))+INDEX(Hardware_Vals,MATCH("Windows",Hardware_Keys,0))</f>
        <v>1578.5944</v>
      </c>
      <c r="Q558" s="27" t="n">
        <f aca="false">INDEX(Markup_Vals,MATCH("Windows",MarkupCat_Keys,0))</f>
        <v>0.42</v>
      </c>
      <c r="R558" s="28" t="n">
        <f aca="false">P558*(1+Q558)</f>
        <v>2241.604048</v>
      </c>
      <c r="S558" s="28" t="n">
        <f aca="false">R558*(1-TradeDiscount)</f>
        <v>1972.61156224</v>
      </c>
      <c r="T558" s="28" t="n">
        <f aca="false">R558*(1-VolumeDiscount)</f>
        <v>1793.2832384</v>
      </c>
    </row>
    <row r="559" customFormat="false" ht="15" hidden="false" customHeight="false" outlineLevel="0" collapsed="false">
      <c r="A559" s="29" t="s">
        <v>1331</v>
      </c>
      <c r="B559" s="29" t="s">
        <v>96</v>
      </c>
      <c r="C559" s="29" t="s">
        <v>45</v>
      </c>
      <c r="D559" s="29" t="s">
        <v>1332</v>
      </c>
      <c r="E559" s="29" t="s">
        <v>1318</v>
      </c>
      <c r="F559" s="29" t="s">
        <v>1184</v>
      </c>
      <c r="G559" s="29" t="s">
        <v>39</v>
      </c>
      <c r="H559" s="29" t="s">
        <v>68</v>
      </c>
      <c r="I559" s="29" t="s">
        <v>190</v>
      </c>
      <c r="J559" s="29" t="s">
        <v>1257</v>
      </c>
      <c r="K559" s="29" t="s">
        <v>192</v>
      </c>
      <c r="L559" s="29" t="s">
        <v>29</v>
      </c>
      <c r="M559" s="29" t="n">
        <v>909</v>
      </c>
      <c r="N559" s="29" t="n">
        <v>609</v>
      </c>
      <c r="O559" s="29"/>
      <c r="P559" s="30" t="n">
        <f aca="false">(M559*N559/1000000)*(INDEX(AreaRate_Vals,MATCH(C559,AreaRate_Keys,0))+IFERROR(INDEX(GlazingUpg_Vals,MATCH(H559,GlazingUpg_Keys,0)),0))+INDEX(Hardware_Vals,MATCH("Windows",Hardware_Keys,0))</f>
        <v>1578.5944</v>
      </c>
      <c r="Q559" s="31" t="n">
        <f aca="false">INDEX(Markup_Vals,MATCH("Windows",MarkupCat_Keys,0))</f>
        <v>0.42</v>
      </c>
      <c r="R559" s="32" t="n">
        <f aca="false">P559*(1+Q559)</f>
        <v>2241.604048</v>
      </c>
      <c r="S559" s="32" t="n">
        <f aca="false">R559*(1-TradeDiscount)</f>
        <v>1972.61156224</v>
      </c>
      <c r="T559" s="32" t="n">
        <f aca="false">R559*(1-VolumeDiscount)</f>
        <v>1793.2832384</v>
      </c>
    </row>
    <row r="560" customFormat="false" ht="15" hidden="false" customHeight="false" outlineLevel="0" collapsed="false">
      <c r="A560" s="25" t="s">
        <v>1333</v>
      </c>
      <c r="B560" s="25" t="s">
        <v>96</v>
      </c>
      <c r="C560" s="25" t="s">
        <v>45</v>
      </c>
      <c r="D560" s="25" t="s">
        <v>1334</v>
      </c>
      <c r="E560" s="25" t="s">
        <v>1318</v>
      </c>
      <c r="F560" s="25" t="s">
        <v>213</v>
      </c>
      <c r="G560" s="25" t="s">
        <v>35</v>
      </c>
      <c r="H560" s="25" t="s">
        <v>68</v>
      </c>
      <c r="I560" s="25" t="s">
        <v>190</v>
      </c>
      <c r="J560" s="25" t="s">
        <v>1257</v>
      </c>
      <c r="K560" s="25" t="s">
        <v>192</v>
      </c>
      <c r="L560" s="25" t="s">
        <v>29</v>
      </c>
      <c r="M560" s="25" t="n">
        <v>1209</v>
      </c>
      <c r="N560" s="25" t="n">
        <v>609</v>
      </c>
      <c r="O560" s="25"/>
      <c r="P560" s="26" t="n">
        <f aca="false">(M560*N560/1000000)*(INDEX(AreaRate_Vals,MATCH(C560,AreaRate_Keys,0))+IFERROR(INDEX(GlazingUpg_Vals,MATCH(H560,GlazingUpg_Keys,0)),0))+INDEX(Hardware_Vals,MATCH("Windows",Hardware_Keys,0))</f>
        <v>2017.0744</v>
      </c>
      <c r="Q560" s="27" t="n">
        <f aca="false">INDEX(Markup_Vals,MATCH("Windows",MarkupCat_Keys,0))</f>
        <v>0.42</v>
      </c>
      <c r="R560" s="28" t="n">
        <f aca="false">P560*(1+Q560)</f>
        <v>2864.245648</v>
      </c>
      <c r="S560" s="28" t="n">
        <f aca="false">R560*(1-TradeDiscount)</f>
        <v>2520.53617024</v>
      </c>
      <c r="T560" s="28" t="n">
        <f aca="false">R560*(1-VolumeDiscount)</f>
        <v>2291.3965184</v>
      </c>
    </row>
    <row r="561" customFormat="false" ht="15" hidden="false" customHeight="false" outlineLevel="0" collapsed="false">
      <c r="A561" s="29" t="s">
        <v>1335</v>
      </c>
      <c r="B561" s="29" t="s">
        <v>96</v>
      </c>
      <c r="C561" s="29" t="s">
        <v>45</v>
      </c>
      <c r="D561" s="29" t="s">
        <v>1336</v>
      </c>
      <c r="E561" s="29" t="s">
        <v>1318</v>
      </c>
      <c r="F561" s="29" t="s">
        <v>213</v>
      </c>
      <c r="G561" s="29" t="s">
        <v>36</v>
      </c>
      <c r="H561" s="29" t="s">
        <v>68</v>
      </c>
      <c r="I561" s="29" t="s">
        <v>190</v>
      </c>
      <c r="J561" s="29" t="s">
        <v>1257</v>
      </c>
      <c r="K561" s="29" t="s">
        <v>192</v>
      </c>
      <c r="L561" s="29" t="s">
        <v>29</v>
      </c>
      <c r="M561" s="29" t="n">
        <v>1209</v>
      </c>
      <c r="N561" s="29" t="n">
        <v>609</v>
      </c>
      <c r="O561" s="29"/>
      <c r="P561" s="30" t="n">
        <f aca="false">(M561*N561/1000000)*(INDEX(AreaRate_Vals,MATCH(C561,AreaRate_Keys,0))+IFERROR(INDEX(GlazingUpg_Vals,MATCH(H561,GlazingUpg_Keys,0)),0))+INDEX(Hardware_Vals,MATCH("Windows",Hardware_Keys,0))</f>
        <v>2017.0744</v>
      </c>
      <c r="Q561" s="31" t="n">
        <f aca="false">INDEX(Markup_Vals,MATCH("Windows",MarkupCat_Keys,0))</f>
        <v>0.42</v>
      </c>
      <c r="R561" s="32" t="n">
        <f aca="false">P561*(1+Q561)</f>
        <v>2864.245648</v>
      </c>
      <c r="S561" s="32" t="n">
        <f aca="false">R561*(1-TradeDiscount)</f>
        <v>2520.53617024</v>
      </c>
      <c r="T561" s="32" t="n">
        <f aca="false">R561*(1-VolumeDiscount)</f>
        <v>2291.3965184</v>
      </c>
    </row>
    <row r="562" customFormat="false" ht="15" hidden="false" customHeight="false" outlineLevel="0" collapsed="false">
      <c r="A562" s="25" t="s">
        <v>1337</v>
      </c>
      <c r="B562" s="25" t="s">
        <v>96</v>
      </c>
      <c r="C562" s="25" t="s">
        <v>45</v>
      </c>
      <c r="D562" s="25" t="s">
        <v>1338</v>
      </c>
      <c r="E562" s="25" t="s">
        <v>1318</v>
      </c>
      <c r="F562" s="25" t="s">
        <v>213</v>
      </c>
      <c r="G562" s="25" t="s">
        <v>37</v>
      </c>
      <c r="H562" s="25" t="s">
        <v>68</v>
      </c>
      <c r="I562" s="25" t="s">
        <v>190</v>
      </c>
      <c r="J562" s="25" t="s">
        <v>1257</v>
      </c>
      <c r="K562" s="25" t="s">
        <v>192</v>
      </c>
      <c r="L562" s="25" t="s">
        <v>29</v>
      </c>
      <c r="M562" s="25" t="n">
        <v>1209</v>
      </c>
      <c r="N562" s="25" t="n">
        <v>609</v>
      </c>
      <c r="O562" s="25"/>
      <c r="P562" s="26" t="n">
        <f aca="false">(M562*N562/1000000)*(INDEX(AreaRate_Vals,MATCH(C562,AreaRate_Keys,0))+IFERROR(INDEX(GlazingUpg_Vals,MATCH(H562,GlazingUpg_Keys,0)),0))+INDEX(Hardware_Vals,MATCH("Windows",Hardware_Keys,0))</f>
        <v>2017.0744</v>
      </c>
      <c r="Q562" s="27" t="n">
        <f aca="false">INDEX(Markup_Vals,MATCH("Windows",MarkupCat_Keys,0))</f>
        <v>0.42</v>
      </c>
      <c r="R562" s="28" t="n">
        <f aca="false">P562*(1+Q562)</f>
        <v>2864.245648</v>
      </c>
      <c r="S562" s="28" t="n">
        <f aca="false">R562*(1-TradeDiscount)</f>
        <v>2520.53617024</v>
      </c>
      <c r="T562" s="28" t="n">
        <f aca="false">R562*(1-VolumeDiscount)</f>
        <v>2291.3965184</v>
      </c>
    </row>
    <row r="563" customFormat="false" ht="15" hidden="false" customHeight="false" outlineLevel="0" collapsed="false">
      <c r="A563" s="29" t="s">
        <v>1339</v>
      </c>
      <c r="B563" s="29" t="s">
        <v>96</v>
      </c>
      <c r="C563" s="29" t="s">
        <v>45</v>
      </c>
      <c r="D563" s="29" t="s">
        <v>1340</v>
      </c>
      <c r="E563" s="29" t="s">
        <v>1318</v>
      </c>
      <c r="F563" s="29" t="s">
        <v>213</v>
      </c>
      <c r="G563" s="29" t="s">
        <v>39</v>
      </c>
      <c r="H563" s="29" t="s">
        <v>68</v>
      </c>
      <c r="I563" s="29" t="s">
        <v>190</v>
      </c>
      <c r="J563" s="29" t="s">
        <v>1257</v>
      </c>
      <c r="K563" s="29" t="s">
        <v>192</v>
      </c>
      <c r="L563" s="29" t="s">
        <v>29</v>
      </c>
      <c r="M563" s="29" t="n">
        <v>1209</v>
      </c>
      <c r="N563" s="29" t="n">
        <v>609</v>
      </c>
      <c r="O563" s="29"/>
      <c r="P563" s="30" t="n">
        <f aca="false">(M563*N563/1000000)*(INDEX(AreaRate_Vals,MATCH(C563,AreaRate_Keys,0))+IFERROR(INDEX(GlazingUpg_Vals,MATCH(H563,GlazingUpg_Keys,0)),0))+INDEX(Hardware_Vals,MATCH("Windows",Hardware_Keys,0))</f>
        <v>2017.0744</v>
      </c>
      <c r="Q563" s="31" t="n">
        <f aca="false">INDEX(Markup_Vals,MATCH("Windows",MarkupCat_Keys,0))</f>
        <v>0.42</v>
      </c>
      <c r="R563" s="32" t="n">
        <f aca="false">P563*(1+Q563)</f>
        <v>2864.245648</v>
      </c>
      <c r="S563" s="32" t="n">
        <f aca="false">R563*(1-TradeDiscount)</f>
        <v>2520.53617024</v>
      </c>
      <c r="T563" s="32" t="n">
        <f aca="false">R563*(1-VolumeDiscount)</f>
        <v>2291.3965184</v>
      </c>
    </row>
    <row r="564" customFormat="false" ht="15" hidden="false" customHeight="false" outlineLevel="0" collapsed="false">
      <c r="A564" s="25" t="s">
        <v>1341</v>
      </c>
      <c r="B564" s="25" t="s">
        <v>96</v>
      </c>
      <c r="C564" s="25" t="s">
        <v>45</v>
      </c>
      <c r="D564" s="25" t="s">
        <v>1342</v>
      </c>
      <c r="E564" s="25" t="s">
        <v>1318</v>
      </c>
      <c r="F564" s="25" t="s">
        <v>234</v>
      </c>
      <c r="G564" s="25" t="s">
        <v>35</v>
      </c>
      <c r="H564" s="25" t="s">
        <v>68</v>
      </c>
      <c r="I564" s="25" t="s">
        <v>190</v>
      </c>
      <c r="J564" s="25" t="s">
        <v>1257</v>
      </c>
      <c r="K564" s="25" t="s">
        <v>192</v>
      </c>
      <c r="L564" s="25" t="s">
        <v>29</v>
      </c>
      <c r="M564" s="25" t="n">
        <v>1209</v>
      </c>
      <c r="N564" s="25" t="n">
        <v>909</v>
      </c>
      <c r="O564" s="25"/>
      <c r="P564" s="26" t="n">
        <f aca="false">(M564*N564/1000000)*(INDEX(AreaRate_Vals,MATCH(C564,AreaRate_Keys,0))+IFERROR(INDEX(GlazingUpg_Vals,MATCH(H564,GlazingUpg_Keys,0)),0))+INDEX(Hardware_Vals,MATCH("Windows",Hardware_Keys,0))</f>
        <v>2887.5544</v>
      </c>
      <c r="Q564" s="27" t="n">
        <f aca="false">INDEX(Markup_Vals,MATCH("Windows",MarkupCat_Keys,0))</f>
        <v>0.42</v>
      </c>
      <c r="R564" s="28" t="n">
        <f aca="false">P564*(1+Q564)</f>
        <v>4100.327248</v>
      </c>
      <c r="S564" s="28" t="n">
        <f aca="false">R564*(1-TradeDiscount)</f>
        <v>3608.28797824</v>
      </c>
      <c r="T564" s="28" t="n">
        <f aca="false">R564*(1-VolumeDiscount)</f>
        <v>3280.2617984</v>
      </c>
    </row>
    <row r="565" customFormat="false" ht="15" hidden="false" customHeight="false" outlineLevel="0" collapsed="false">
      <c r="A565" s="29" t="s">
        <v>1343</v>
      </c>
      <c r="B565" s="29" t="s">
        <v>96</v>
      </c>
      <c r="C565" s="29" t="s">
        <v>45</v>
      </c>
      <c r="D565" s="29" t="s">
        <v>1344</v>
      </c>
      <c r="E565" s="29" t="s">
        <v>1318</v>
      </c>
      <c r="F565" s="29" t="s">
        <v>234</v>
      </c>
      <c r="G565" s="29" t="s">
        <v>36</v>
      </c>
      <c r="H565" s="29" t="s">
        <v>68</v>
      </c>
      <c r="I565" s="29" t="s">
        <v>190</v>
      </c>
      <c r="J565" s="29" t="s">
        <v>1257</v>
      </c>
      <c r="K565" s="29" t="s">
        <v>192</v>
      </c>
      <c r="L565" s="29" t="s">
        <v>29</v>
      </c>
      <c r="M565" s="29" t="n">
        <v>1209</v>
      </c>
      <c r="N565" s="29" t="n">
        <v>909</v>
      </c>
      <c r="O565" s="29"/>
      <c r="P565" s="30" t="n">
        <f aca="false">(M565*N565/1000000)*(INDEX(AreaRate_Vals,MATCH(C565,AreaRate_Keys,0))+IFERROR(INDEX(GlazingUpg_Vals,MATCH(H565,GlazingUpg_Keys,0)),0))+INDEX(Hardware_Vals,MATCH("Windows",Hardware_Keys,0))</f>
        <v>2887.5544</v>
      </c>
      <c r="Q565" s="31" t="n">
        <f aca="false">INDEX(Markup_Vals,MATCH("Windows",MarkupCat_Keys,0))</f>
        <v>0.42</v>
      </c>
      <c r="R565" s="32" t="n">
        <f aca="false">P565*(1+Q565)</f>
        <v>4100.327248</v>
      </c>
      <c r="S565" s="32" t="n">
        <f aca="false">R565*(1-TradeDiscount)</f>
        <v>3608.28797824</v>
      </c>
      <c r="T565" s="32" t="n">
        <f aca="false">R565*(1-VolumeDiscount)</f>
        <v>3280.2617984</v>
      </c>
    </row>
    <row r="566" customFormat="false" ht="15" hidden="false" customHeight="false" outlineLevel="0" collapsed="false">
      <c r="A566" s="25" t="s">
        <v>1345</v>
      </c>
      <c r="B566" s="25" t="s">
        <v>96</v>
      </c>
      <c r="C566" s="25" t="s">
        <v>45</v>
      </c>
      <c r="D566" s="25" t="s">
        <v>1346</v>
      </c>
      <c r="E566" s="25" t="s">
        <v>1318</v>
      </c>
      <c r="F566" s="25" t="s">
        <v>234</v>
      </c>
      <c r="G566" s="25" t="s">
        <v>37</v>
      </c>
      <c r="H566" s="25" t="s">
        <v>68</v>
      </c>
      <c r="I566" s="25" t="s">
        <v>190</v>
      </c>
      <c r="J566" s="25" t="s">
        <v>1257</v>
      </c>
      <c r="K566" s="25" t="s">
        <v>192</v>
      </c>
      <c r="L566" s="25" t="s">
        <v>29</v>
      </c>
      <c r="M566" s="25" t="n">
        <v>1209</v>
      </c>
      <c r="N566" s="25" t="n">
        <v>909</v>
      </c>
      <c r="O566" s="25"/>
      <c r="P566" s="26" t="n">
        <f aca="false">(M566*N566/1000000)*(INDEX(AreaRate_Vals,MATCH(C566,AreaRate_Keys,0))+IFERROR(INDEX(GlazingUpg_Vals,MATCH(H566,GlazingUpg_Keys,0)),0))+INDEX(Hardware_Vals,MATCH("Windows",Hardware_Keys,0))</f>
        <v>2887.5544</v>
      </c>
      <c r="Q566" s="27" t="n">
        <f aca="false">INDEX(Markup_Vals,MATCH("Windows",MarkupCat_Keys,0))</f>
        <v>0.42</v>
      </c>
      <c r="R566" s="28" t="n">
        <f aca="false">P566*(1+Q566)</f>
        <v>4100.327248</v>
      </c>
      <c r="S566" s="28" t="n">
        <f aca="false">R566*(1-TradeDiscount)</f>
        <v>3608.28797824</v>
      </c>
      <c r="T566" s="28" t="n">
        <f aca="false">R566*(1-VolumeDiscount)</f>
        <v>3280.2617984</v>
      </c>
    </row>
    <row r="567" customFormat="false" ht="15" hidden="false" customHeight="false" outlineLevel="0" collapsed="false">
      <c r="A567" s="29" t="s">
        <v>1347</v>
      </c>
      <c r="B567" s="29" t="s">
        <v>96</v>
      </c>
      <c r="C567" s="29" t="s">
        <v>45</v>
      </c>
      <c r="D567" s="29" t="s">
        <v>1348</v>
      </c>
      <c r="E567" s="29" t="s">
        <v>1318</v>
      </c>
      <c r="F567" s="29" t="s">
        <v>234</v>
      </c>
      <c r="G567" s="29" t="s">
        <v>39</v>
      </c>
      <c r="H567" s="29" t="s">
        <v>68</v>
      </c>
      <c r="I567" s="29" t="s">
        <v>190</v>
      </c>
      <c r="J567" s="29" t="s">
        <v>1257</v>
      </c>
      <c r="K567" s="29" t="s">
        <v>192</v>
      </c>
      <c r="L567" s="29" t="s">
        <v>29</v>
      </c>
      <c r="M567" s="29" t="n">
        <v>1209</v>
      </c>
      <c r="N567" s="29" t="n">
        <v>909</v>
      </c>
      <c r="O567" s="29"/>
      <c r="P567" s="30" t="n">
        <f aca="false">(M567*N567/1000000)*(INDEX(AreaRate_Vals,MATCH(C567,AreaRate_Keys,0))+IFERROR(INDEX(GlazingUpg_Vals,MATCH(H567,GlazingUpg_Keys,0)),0))+INDEX(Hardware_Vals,MATCH("Windows",Hardware_Keys,0))</f>
        <v>2887.5544</v>
      </c>
      <c r="Q567" s="31" t="n">
        <f aca="false">INDEX(Markup_Vals,MATCH("Windows",MarkupCat_Keys,0))</f>
        <v>0.42</v>
      </c>
      <c r="R567" s="32" t="n">
        <f aca="false">P567*(1+Q567)</f>
        <v>4100.327248</v>
      </c>
      <c r="S567" s="32" t="n">
        <f aca="false">R567*(1-TradeDiscount)</f>
        <v>3608.28797824</v>
      </c>
      <c r="T567" s="32" t="n">
        <f aca="false">R567*(1-VolumeDiscount)</f>
        <v>3280.2617984</v>
      </c>
    </row>
    <row r="568" customFormat="false" ht="15" hidden="false" customHeight="false" outlineLevel="0" collapsed="false">
      <c r="A568" s="25" t="s">
        <v>1349</v>
      </c>
      <c r="B568" s="25" t="s">
        <v>96</v>
      </c>
      <c r="C568" s="25" t="s">
        <v>45</v>
      </c>
      <c r="D568" s="25" t="s">
        <v>1350</v>
      </c>
      <c r="E568" s="25" t="s">
        <v>1318</v>
      </c>
      <c r="F568" s="25" t="s">
        <v>1215</v>
      </c>
      <c r="G568" s="25" t="s">
        <v>35</v>
      </c>
      <c r="H568" s="25" t="s">
        <v>68</v>
      </c>
      <c r="I568" s="25" t="s">
        <v>190</v>
      </c>
      <c r="J568" s="25" t="s">
        <v>1257</v>
      </c>
      <c r="K568" s="25" t="s">
        <v>192</v>
      </c>
      <c r="L568" s="25" t="s">
        <v>29</v>
      </c>
      <c r="M568" s="25" t="n">
        <v>1509</v>
      </c>
      <c r="N568" s="25" t="n">
        <v>909</v>
      </c>
      <c r="O568" s="25"/>
      <c r="P568" s="26" t="n">
        <f aca="false">(M568*N568/1000000)*(INDEX(AreaRate_Vals,MATCH(C568,AreaRate_Keys,0))+IFERROR(INDEX(GlazingUpg_Vals,MATCH(H568,GlazingUpg_Keys,0)),0))+INDEX(Hardware_Vals,MATCH("Windows",Hardware_Keys,0))</f>
        <v>3542.0344</v>
      </c>
      <c r="Q568" s="27" t="n">
        <f aca="false">INDEX(Markup_Vals,MATCH("Windows",MarkupCat_Keys,0))</f>
        <v>0.42</v>
      </c>
      <c r="R568" s="28" t="n">
        <f aca="false">P568*(1+Q568)</f>
        <v>5029.688848</v>
      </c>
      <c r="S568" s="28" t="n">
        <f aca="false">R568*(1-TradeDiscount)</f>
        <v>4426.12618624</v>
      </c>
      <c r="T568" s="28" t="n">
        <f aca="false">R568*(1-VolumeDiscount)</f>
        <v>4023.7510784</v>
      </c>
    </row>
    <row r="569" customFormat="false" ht="15" hidden="false" customHeight="false" outlineLevel="0" collapsed="false">
      <c r="A569" s="29" t="s">
        <v>1351</v>
      </c>
      <c r="B569" s="29" t="s">
        <v>96</v>
      </c>
      <c r="C569" s="29" t="s">
        <v>45</v>
      </c>
      <c r="D569" s="29" t="s">
        <v>1352</v>
      </c>
      <c r="E569" s="29" t="s">
        <v>1318</v>
      </c>
      <c r="F569" s="29" t="s">
        <v>1215</v>
      </c>
      <c r="G569" s="29" t="s">
        <v>36</v>
      </c>
      <c r="H569" s="29" t="s">
        <v>68</v>
      </c>
      <c r="I569" s="29" t="s">
        <v>190</v>
      </c>
      <c r="J569" s="29" t="s">
        <v>1257</v>
      </c>
      <c r="K569" s="29" t="s">
        <v>192</v>
      </c>
      <c r="L569" s="29" t="s">
        <v>29</v>
      </c>
      <c r="M569" s="29" t="n">
        <v>1509</v>
      </c>
      <c r="N569" s="29" t="n">
        <v>909</v>
      </c>
      <c r="O569" s="29"/>
      <c r="P569" s="30" t="n">
        <f aca="false">(M569*N569/1000000)*(INDEX(AreaRate_Vals,MATCH(C569,AreaRate_Keys,0))+IFERROR(INDEX(GlazingUpg_Vals,MATCH(H569,GlazingUpg_Keys,0)),0))+INDEX(Hardware_Vals,MATCH("Windows",Hardware_Keys,0))</f>
        <v>3542.0344</v>
      </c>
      <c r="Q569" s="31" t="n">
        <f aca="false">INDEX(Markup_Vals,MATCH("Windows",MarkupCat_Keys,0))</f>
        <v>0.42</v>
      </c>
      <c r="R569" s="32" t="n">
        <f aca="false">P569*(1+Q569)</f>
        <v>5029.688848</v>
      </c>
      <c r="S569" s="32" t="n">
        <f aca="false">R569*(1-TradeDiscount)</f>
        <v>4426.12618624</v>
      </c>
      <c r="T569" s="32" t="n">
        <f aca="false">R569*(1-VolumeDiscount)</f>
        <v>4023.7510784</v>
      </c>
    </row>
    <row r="570" customFormat="false" ht="15" hidden="false" customHeight="false" outlineLevel="0" collapsed="false">
      <c r="A570" s="25" t="s">
        <v>1353</v>
      </c>
      <c r="B570" s="25" t="s">
        <v>96</v>
      </c>
      <c r="C570" s="25" t="s">
        <v>45</v>
      </c>
      <c r="D570" s="25" t="s">
        <v>1354</v>
      </c>
      <c r="E570" s="25" t="s">
        <v>1318</v>
      </c>
      <c r="F570" s="25" t="s">
        <v>1215</v>
      </c>
      <c r="G570" s="25" t="s">
        <v>37</v>
      </c>
      <c r="H570" s="25" t="s">
        <v>68</v>
      </c>
      <c r="I570" s="25" t="s">
        <v>190</v>
      </c>
      <c r="J570" s="25" t="s">
        <v>1257</v>
      </c>
      <c r="K570" s="25" t="s">
        <v>192</v>
      </c>
      <c r="L570" s="25" t="s">
        <v>29</v>
      </c>
      <c r="M570" s="25" t="n">
        <v>1509</v>
      </c>
      <c r="N570" s="25" t="n">
        <v>909</v>
      </c>
      <c r="O570" s="25"/>
      <c r="P570" s="26" t="n">
        <f aca="false">(M570*N570/1000000)*(INDEX(AreaRate_Vals,MATCH(C570,AreaRate_Keys,0))+IFERROR(INDEX(GlazingUpg_Vals,MATCH(H570,GlazingUpg_Keys,0)),0))+INDEX(Hardware_Vals,MATCH("Windows",Hardware_Keys,0))</f>
        <v>3542.0344</v>
      </c>
      <c r="Q570" s="27" t="n">
        <f aca="false">INDEX(Markup_Vals,MATCH("Windows",MarkupCat_Keys,0))</f>
        <v>0.42</v>
      </c>
      <c r="R570" s="28" t="n">
        <f aca="false">P570*(1+Q570)</f>
        <v>5029.688848</v>
      </c>
      <c r="S570" s="28" t="n">
        <f aca="false">R570*(1-TradeDiscount)</f>
        <v>4426.12618624</v>
      </c>
      <c r="T570" s="28" t="n">
        <f aca="false">R570*(1-VolumeDiscount)</f>
        <v>4023.7510784</v>
      </c>
    </row>
    <row r="571" customFormat="false" ht="15" hidden="false" customHeight="false" outlineLevel="0" collapsed="false">
      <c r="A571" s="29" t="s">
        <v>1355</v>
      </c>
      <c r="B571" s="29" t="s">
        <v>96</v>
      </c>
      <c r="C571" s="29" t="s">
        <v>45</v>
      </c>
      <c r="D571" s="29" t="s">
        <v>1356</v>
      </c>
      <c r="E571" s="29" t="s">
        <v>1318</v>
      </c>
      <c r="F571" s="29" t="s">
        <v>1215</v>
      </c>
      <c r="G571" s="29" t="s">
        <v>39</v>
      </c>
      <c r="H571" s="29" t="s">
        <v>68</v>
      </c>
      <c r="I571" s="29" t="s">
        <v>190</v>
      </c>
      <c r="J571" s="29" t="s">
        <v>1257</v>
      </c>
      <c r="K571" s="29" t="s">
        <v>192</v>
      </c>
      <c r="L571" s="29" t="s">
        <v>29</v>
      </c>
      <c r="M571" s="29" t="n">
        <v>1509</v>
      </c>
      <c r="N571" s="29" t="n">
        <v>909</v>
      </c>
      <c r="O571" s="29"/>
      <c r="P571" s="30" t="n">
        <f aca="false">(M571*N571/1000000)*(INDEX(AreaRate_Vals,MATCH(C571,AreaRate_Keys,0))+IFERROR(INDEX(GlazingUpg_Vals,MATCH(H571,GlazingUpg_Keys,0)),0))+INDEX(Hardware_Vals,MATCH("Windows",Hardware_Keys,0))</f>
        <v>3542.0344</v>
      </c>
      <c r="Q571" s="31" t="n">
        <f aca="false">INDEX(Markup_Vals,MATCH("Windows",MarkupCat_Keys,0))</f>
        <v>0.42</v>
      </c>
      <c r="R571" s="32" t="n">
        <f aca="false">P571*(1+Q571)</f>
        <v>5029.688848</v>
      </c>
      <c r="S571" s="32" t="n">
        <f aca="false">R571*(1-TradeDiscount)</f>
        <v>4426.12618624</v>
      </c>
      <c r="T571" s="32" t="n">
        <f aca="false">R571*(1-VolumeDiscount)</f>
        <v>4023.7510784</v>
      </c>
    </row>
    <row r="572" customFormat="false" ht="15" hidden="false" customHeight="false" outlineLevel="0" collapsed="false">
      <c r="A572" s="25" t="s">
        <v>1357</v>
      </c>
      <c r="B572" s="25" t="s">
        <v>96</v>
      </c>
      <c r="C572" s="25" t="s">
        <v>45</v>
      </c>
      <c r="D572" s="25" t="s">
        <v>1358</v>
      </c>
      <c r="E572" s="25" t="s">
        <v>1318</v>
      </c>
      <c r="F572" s="25" t="s">
        <v>255</v>
      </c>
      <c r="G572" s="25" t="s">
        <v>35</v>
      </c>
      <c r="H572" s="25" t="s">
        <v>68</v>
      </c>
      <c r="I572" s="25" t="s">
        <v>190</v>
      </c>
      <c r="J572" s="25" t="s">
        <v>1257</v>
      </c>
      <c r="K572" s="25" t="s">
        <v>192</v>
      </c>
      <c r="L572" s="25" t="s">
        <v>29</v>
      </c>
      <c r="M572" s="25" t="n">
        <v>1809</v>
      </c>
      <c r="N572" s="25" t="n">
        <v>909</v>
      </c>
      <c r="O572" s="25"/>
      <c r="P572" s="26" t="n">
        <f aca="false">(M572*N572/1000000)*(INDEX(AreaRate_Vals,MATCH(C572,AreaRate_Keys,0))+IFERROR(INDEX(GlazingUpg_Vals,MATCH(H572,GlazingUpg_Keys,0)),0))+INDEX(Hardware_Vals,MATCH("Windows",Hardware_Keys,0))</f>
        <v>4196.5144</v>
      </c>
      <c r="Q572" s="27" t="n">
        <f aca="false">INDEX(Markup_Vals,MATCH("Windows",MarkupCat_Keys,0))</f>
        <v>0.42</v>
      </c>
      <c r="R572" s="28" t="n">
        <f aca="false">P572*(1+Q572)</f>
        <v>5959.050448</v>
      </c>
      <c r="S572" s="28" t="n">
        <f aca="false">R572*(1-TradeDiscount)</f>
        <v>5243.96439424</v>
      </c>
      <c r="T572" s="28" t="n">
        <f aca="false">R572*(1-VolumeDiscount)</f>
        <v>4767.2403584</v>
      </c>
    </row>
    <row r="573" customFormat="false" ht="15" hidden="false" customHeight="false" outlineLevel="0" collapsed="false">
      <c r="A573" s="29" t="s">
        <v>1359</v>
      </c>
      <c r="B573" s="29" t="s">
        <v>96</v>
      </c>
      <c r="C573" s="29" t="s">
        <v>45</v>
      </c>
      <c r="D573" s="29" t="s">
        <v>1360</v>
      </c>
      <c r="E573" s="29" t="s">
        <v>1318</v>
      </c>
      <c r="F573" s="29" t="s">
        <v>255</v>
      </c>
      <c r="G573" s="29" t="s">
        <v>36</v>
      </c>
      <c r="H573" s="29" t="s">
        <v>68</v>
      </c>
      <c r="I573" s="29" t="s">
        <v>190</v>
      </c>
      <c r="J573" s="29" t="s">
        <v>1257</v>
      </c>
      <c r="K573" s="29" t="s">
        <v>192</v>
      </c>
      <c r="L573" s="29" t="s">
        <v>29</v>
      </c>
      <c r="M573" s="29" t="n">
        <v>1809</v>
      </c>
      <c r="N573" s="29" t="n">
        <v>909</v>
      </c>
      <c r="O573" s="29"/>
      <c r="P573" s="30" t="n">
        <f aca="false">(M573*N573/1000000)*(INDEX(AreaRate_Vals,MATCH(C573,AreaRate_Keys,0))+IFERROR(INDEX(GlazingUpg_Vals,MATCH(H573,GlazingUpg_Keys,0)),0))+INDEX(Hardware_Vals,MATCH("Windows",Hardware_Keys,0))</f>
        <v>4196.5144</v>
      </c>
      <c r="Q573" s="31" t="n">
        <f aca="false">INDEX(Markup_Vals,MATCH("Windows",MarkupCat_Keys,0))</f>
        <v>0.42</v>
      </c>
      <c r="R573" s="32" t="n">
        <f aca="false">P573*(1+Q573)</f>
        <v>5959.050448</v>
      </c>
      <c r="S573" s="32" t="n">
        <f aca="false">R573*(1-TradeDiscount)</f>
        <v>5243.96439424</v>
      </c>
      <c r="T573" s="32" t="n">
        <f aca="false">R573*(1-VolumeDiscount)</f>
        <v>4767.2403584</v>
      </c>
    </row>
    <row r="574" customFormat="false" ht="15" hidden="false" customHeight="false" outlineLevel="0" collapsed="false">
      <c r="A574" s="25" t="s">
        <v>1361</v>
      </c>
      <c r="B574" s="25" t="s">
        <v>96</v>
      </c>
      <c r="C574" s="25" t="s">
        <v>45</v>
      </c>
      <c r="D574" s="25" t="s">
        <v>1362</v>
      </c>
      <c r="E574" s="25" t="s">
        <v>1318</v>
      </c>
      <c r="F574" s="25" t="s">
        <v>255</v>
      </c>
      <c r="G574" s="25" t="s">
        <v>37</v>
      </c>
      <c r="H574" s="25" t="s">
        <v>68</v>
      </c>
      <c r="I574" s="25" t="s">
        <v>190</v>
      </c>
      <c r="J574" s="25" t="s">
        <v>1257</v>
      </c>
      <c r="K574" s="25" t="s">
        <v>192</v>
      </c>
      <c r="L574" s="25" t="s">
        <v>29</v>
      </c>
      <c r="M574" s="25" t="n">
        <v>1809</v>
      </c>
      <c r="N574" s="25" t="n">
        <v>909</v>
      </c>
      <c r="O574" s="25"/>
      <c r="P574" s="26" t="n">
        <f aca="false">(M574*N574/1000000)*(INDEX(AreaRate_Vals,MATCH(C574,AreaRate_Keys,0))+IFERROR(INDEX(GlazingUpg_Vals,MATCH(H574,GlazingUpg_Keys,0)),0))+INDEX(Hardware_Vals,MATCH("Windows",Hardware_Keys,0))</f>
        <v>4196.5144</v>
      </c>
      <c r="Q574" s="27" t="n">
        <f aca="false">INDEX(Markup_Vals,MATCH("Windows",MarkupCat_Keys,0))</f>
        <v>0.42</v>
      </c>
      <c r="R574" s="28" t="n">
        <f aca="false">P574*(1+Q574)</f>
        <v>5959.050448</v>
      </c>
      <c r="S574" s="28" t="n">
        <f aca="false">R574*(1-TradeDiscount)</f>
        <v>5243.96439424</v>
      </c>
      <c r="T574" s="28" t="n">
        <f aca="false">R574*(1-VolumeDiscount)</f>
        <v>4767.2403584</v>
      </c>
    </row>
    <row r="575" customFormat="false" ht="15" hidden="false" customHeight="false" outlineLevel="0" collapsed="false">
      <c r="A575" s="29" t="s">
        <v>1363</v>
      </c>
      <c r="B575" s="29" t="s">
        <v>96</v>
      </c>
      <c r="C575" s="29" t="s">
        <v>45</v>
      </c>
      <c r="D575" s="29" t="s">
        <v>1364</v>
      </c>
      <c r="E575" s="29" t="s">
        <v>1318</v>
      </c>
      <c r="F575" s="29" t="s">
        <v>255</v>
      </c>
      <c r="G575" s="29" t="s">
        <v>39</v>
      </c>
      <c r="H575" s="29" t="s">
        <v>68</v>
      </c>
      <c r="I575" s="29" t="s">
        <v>190</v>
      </c>
      <c r="J575" s="29" t="s">
        <v>1257</v>
      </c>
      <c r="K575" s="29" t="s">
        <v>192</v>
      </c>
      <c r="L575" s="29" t="s">
        <v>29</v>
      </c>
      <c r="M575" s="29" t="n">
        <v>1809</v>
      </c>
      <c r="N575" s="29" t="n">
        <v>909</v>
      </c>
      <c r="O575" s="29"/>
      <c r="P575" s="30" t="n">
        <f aca="false">(M575*N575/1000000)*(INDEX(AreaRate_Vals,MATCH(C575,AreaRate_Keys,0))+IFERROR(INDEX(GlazingUpg_Vals,MATCH(H575,GlazingUpg_Keys,0)),0))+INDEX(Hardware_Vals,MATCH("Windows",Hardware_Keys,0))</f>
        <v>4196.5144</v>
      </c>
      <c r="Q575" s="31" t="n">
        <f aca="false">INDEX(Markup_Vals,MATCH("Windows",MarkupCat_Keys,0))</f>
        <v>0.42</v>
      </c>
      <c r="R575" s="32" t="n">
        <f aca="false">P575*(1+Q575)</f>
        <v>5959.050448</v>
      </c>
      <c r="S575" s="32" t="n">
        <f aca="false">R575*(1-TradeDiscount)</f>
        <v>5243.96439424</v>
      </c>
      <c r="T575" s="32" t="n">
        <f aca="false">R575*(1-VolumeDiscount)</f>
        <v>4767.2403584</v>
      </c>
    </row>
    <row r="576" customFormat="false" ht="15" hidden="false" customHeight="false" outlineLevel="0" collapsed="false">
      <c r="A576" s="25" t="s">
        <v>1365</v>
      </c>
      <c r="B576" s="25" t="s">
        <v>96</v>
      </c>
      <c r="C576" s="25" t="s">
        <v>46</v>
      </c>
      <c r="D576" s="25" t="s">
        <v>1366</v>
      </c>
      <c r="E576" s="25" t="s">
        <v>1367</v>
      </c>
      <c r="F576" s="25" t="s">
        <v>189</v>
      </c>
      <c r="G576" s="25" t="s">
        <v>35</v>
      </c>
      <c r="H576" s="25" t="s">
        <v>63</v>
      </c>
      <c r="I576" s="25" t="s">
        <v>190</v>
      </c>
      <c r="J576" s="25" t="s">
        <v>191</v>
      </c>
      <c r="K576" s="25" t="s">
        <v>192</v>
      </c>
      <c r="L576" s="25" t="s">
        <v>29</v>
      </c>
      <c r="M576" s="25" t="n">
        <v>609</v>
      </c>
      <c r="N576" s="25" t="n">
        <v>609</v>
      </c>
      <c r="O576" s="25"/>
      <c r="P576" s="26" t="n">
        <f aca="false">(M576*N576/1000000)*(INDEX(AreaRate_Vals,MATCH(C576,AreaRate_Keys,0))+IFERROR(INDEX(GlazingUpg_Vals,MATCH(H576,GlazingUpg_Keys,0)),0))+INDEX(Hardware_Vals,MATCH("Windows",Hardware_Keys,0))</f>
        <v>899.04175</v>
      </c>
      <c r="Q576" s="27" t="n">
        <f aca="false">INDEX(Markup_Vals,MATCH("Windows",MarkupCat_Keys,0))</f>
        <v>0.42</v>
      </c>
      <c r="R576" s="28" t="n">
        <f aca="false">P576*(1+Q576)</f>
        <v>1276.639285</v>
      </c>
      <c r="S576" s="28" t="n">
        <f aca="false">R576*(1-TradeDiscount)</f>
        <v>1123.4425708</v>
      </c>
      <c r="T576" s="28" t="n">
        <f aca="false">R576*(1-VolumeDiscount)</f>
        <v>1021.311428</v>
      </c>
    </row>
    <row r="577" customFormat="false" ht="15" hidden="false" customHeight="false" outlineLevel="0" collapsed="false">
      <c r="A577" s="29" t="s">
        <v>1368</v>
      </c>
      <c r="B577" s="29" t="s">
        <v>96</v>
      </c>
      <c r="C577" s="29" t="s">
        <v>46</v>
      </c>
      <c r="D577" s="29" t="s">
        <v>1369</v>
      </c>
      <c r="E577" s="29" t="s">
        <v>1367</v>
      </c>
      <c r="F577" s="29" t="s">
        <v>189</v>
      </c>
      <c r="G577" s="29" t="s">
        <v>36</v>
      </c>
      <c r="H577" s="29" t="s">
        <v>63</v>
      </c>
      <c r="I577" s="29" t="s">
        <v>190</v>
      </c>
      <c r="J577" s="29" t="s">
        <v>191</v>
      </c>
      <c r="K577" s="29" t="s">
        <v>192</v>
      </c>
      <c r="L577" s="29" t="s">
        <v>29</v>
      </c>
      <c r="M577" s="29" t="n">
        <v>609</v>
      </c>
      <c r="N577" s="29" t="n">
        <v>609</v>
      </c>
      <c r="O577" s="29"/>
      <c r="P577" s="30" t="n">
        <f aca="false">(M577*N577/1000000)*(INDEX(AreaRate_Vals,MATCH(C577,AreaRate_Keys,0))+IFERROR(INDEX(GlazingUpg_Vals,MATCH(H577,GlazingUpg_Keys,0)),0))+INDEX(Hardware_Vals,MATCH("Windows",Hardware_Keys,0))</f>
        <v>899.04175</v>
      </c>
      <c r="Q577" s="31" t="n">
        <f aca="false">INDEX(Markup_Vals,MATCH("Windows",MarkupCat_Keys,0))</f>
        <v>0.42</v>
      </c>
      <c r="R577" s="32" t="n">
        <f aca="false">P577*(1+Q577)</f>
        <v>1276.639285</v>
      </c>
      <c r="S577" s="32" t="n">
        <f aca="false">R577*(1-TradeDiscount)</f>
        <v>1123.4425708</v>
      </c>
      <c r="T577" s="32" t="n">
        <f aca="false">R577*(1-VolumeDiscount)</f>
        <v>1021.311428</v>
      </c>
    </row>
    <row r="578" customFormat="false" ht="15" hidden="false" customHeight="false" outlineLevel="0" collapsed="false">
      <c r="A578" s="25" t="s">
        <v>1370</v>
      </c>
      <c r="B578" s="25" t="s">
        <v>96</v>
      </c>
      <c r="C578" s="25" t="s">
        <v>46</v>
      </c>
      <c r="D578" s="25" t="s">
        <v>1371</v>
      </c>
      <c r="E578" s="25" t="s">
        <v>1367</v>
      </c>
      <c r="F578" s="25" t="s">
        <v>189</v>
      </c>
      <c r="G578" s="25" t="s">
        <v>37</v>
      </c>
      <c r="H578" s="25" t="s">
        <v>63</v>
      </c>
      <c r="I578" s="25" t="s">
        <v>190</v>
      </c>
      <c r="J578" s="25" t="s">
        <v>191</v>
      </c>
      <c r="K578" s="25" t="s">
        <v>192</v>
      </c>
      <c r="L578" s="25" t="s">
        <v>29</v>
      </c>
      <c r="M578" s="25" t="n">
        <v>609</v>
      </c>
      <c r="N578" s="25" t="n">
        <v>609</v>
      </c>
      <c r="O578" s="25"/>
      <c r="P578" s="26" t="n">
        <f aca="false">(M578*N578/1000000)*(INDEX(AreaRate_Vals,MATCH(C578,AreaRate_Keys,0))+IFERROR(INDEX(GlazingUpg_Vals,MATCH(H578,GlazingUpg_Keys,0)),0))+INDEX(Hardware_Vals,MATCH("Windows",Hardware_Keys,0))</f>
        <v>899.04175</v>
      </c>
      <c r="Q578" s="27" t="n">
        <f aca="false">INDEX(Markup_Vals,MATCH("Windows",MarkupCat_Keys,0))</f>
        <v>0.42</v>
      </c>
      <c r="R578" s="28" t="n">
        <f aca="false">P578*(1+Q578)</f>
        <v>1276.639285</v>
      </c>
      <c r="S578" s="28" t="n">
        <f aca="false">R578*(1-TradeDiscount)</f>
        <v>1123.4425708</v>
      </c>
      <c r="T578" s="28" t="n">
        <f aca="false">R578*(1-VolumeDiscount)</f>
        <v>1021.311428</v>
      </c>
    </row>
    <row r="579" customFormat="false" ht="15" hidden="false" customHeight="false" outlineLevel="0" collapsed="false">
      <c r="A579" s="29" t="s">
        <v>1372</v>
      </c>
      <c r="B579" s="29" t="s">
        <v>96</v>
      </c>
      <c r="C579" s="29" t="s">
        <v>46</v>
      </c>
      <c r="D579" s="29" t="s">
        <v>1373</v>
      </c>
      <c r="E579" s="29" t="s">
        <v>1367</v>
      </c>
      <c r="F579" s="29" t="s">
        <v>189</v>
      </c>
      <c r="G579" s="29" t="s">
        <v>39</v>
      </c>
      <c r="H579" s="29" t="s">
        <v>63</v>
      </c>
      <c r="I579" s="29" t="s">
        <v>190</v>
      </c>
      <c r="J579" s="29" t="s">
        <v>191</v>
      </c>
      <c r="K579" s="29" t="s">
        <v>192</v>
      </c>
      <c r="L579" s="29" t="s">
        <v>29</v>
      </c>
      <c r="M579" s="29" t="n">
        <v>609</v>
      </c>
      <c r="N579" s="29" t="n">
        <v>609</v>
      </c>
      <c r="O579" s="29"/>
      <c r="P579" s="30" t="n">
        <f aca="false">(M579*N579/1000000)*(INDEX(AreaRate_Vals,MATCH(C579,AreaRate_Keys,0))+IFERROR(INDEX(GlazingUpg_Vals,MATCH(H579,GlazingUpg_Keys,0)),0))+INDEX(Hardware_Vals,MATCH("Windows",Hardware_Keys,0))</f>
        <v>899.04175</v>
      </c>
      <c r="Q579" s="31" t="n">
        <f aca="false">INDEX(Markup_Vals,MATCH("Windows",MarkupCat_Keys,0))</f>
        <v>0.42</v>
      </c>
      <c r="R579" s="32" t="n">
        <f aca="false">P579*(1+Q579)</f>
        <v>1276.639285</v>
      </c>
      <c r="S579" s="32" t="n">
        <f aca="false">R579*(1-TradeDiscount)</f>
        <v>1123.4425708</v>
      </c>
      <c r="T579" s="32" t="n">
        <f aca="false">R579*(1-VolumeDiscount)</f>
        <v>1021.311428</v>
      </c>
    </row>
    <row r="580" customFormat="false" ht="15" hidden="false" customHeight="false" outlineLevel="0" collapsed="false">
      <c r="A580" s="25" t="s">
        <v>1374</v>
      </c>
      <c r="B580" s="25" t="s">
        <v>96</v>
      </c>
      <c r="C580" s="25" t="s">
        <v>46</v>
      </c>
      <c r="D580" s="25" t="s">
        <v>1375</v>
      </c>
      <c r="E580" s="25" t="s">
        <v>1367</v>
      </c>
      <c r="F580" s="25" t="s">
        <v>189</v>
      </c>
      <c r="G580" s="25" t="s">
        <v>38</v>
      </c>
      <c r="H580" s="25" t="s">
        <v>63</v>
      </c>
      <c r="I580" s="25" t="s">
        <v>190</v>
      </c>
      <c r="J580" s="25" t="s">
        <v>191</v>
      </c>
      <c r="K580" s="25" t="s">
        <v>192</v>
      </c>
      <c r="L580" s="25" t="s">
        <v>29</v>
      </c>
      <c r="M580" s="25" t="n">
        <v>609</v>
      </c>
      <c r="N580" s="25" t="n">
        <v>609</v>
      </c>
      <c r="O580" s="25"/>
      <c r="P580" s="26" t="n">
        <f aca="false">(M580*N580/1000000)*(INDEX(AreaRate_Vals,MATCH(C580,AreaRate_Keys,0))+IFERROR(INDEX(GlazingUpg_Vals,MATCH(H580,GlazingUpg_Keys,0)),0))+INDEX(Hardware_Vals,MATCH("Windows",Hardware_Keys,0))</f>
        <v>899.04175</v>
      </c>
      <c r="Q580" s="27" t="n">
        <f aca="false">INDEX(Markup_Vals,MATCH("Windows",MarkupCat_Keys,0))</f>
        <v>0.42</v>
      </c>
      <c r="R580" s="28" t="n">
        <f aca="false">P580*(1+Q580)</f>
        <v>1276.639285</v>
      </c>
      <c r="S580" s="28" t="n">
        <f aca="false">R580*(1-TradeDiscount)</f>
        <v>1123.4425708</v>
      </c>
      <c r="T580" s="28" t="n">
        <f aca="false">R580*(1-VolumeDiscount)</f>
        <v>1021.311428</v>
      </c>
    </row>
    <row r="581" customFormat="false" ht="15" hidden="false" customHeight="false" outlineLevel="0" collapsed="false">
      <c r="A581" s="29" t="s">
        <v>1376</v>
      </c>
      <c r="B581" s="29" t="s">
        <v>96</v>
      </c>
      <c r="C581" s="29" t="s">
        <v>46</v>
      </c>
      <c r="D581" s="29" t="s">
        <v>1377</v>
      </c>
      <c r="E581" s="29" t="s">
        <v>1367</v>
      </c>
      <c r="F581" s="29" t="s">
        <v>189</v>
      </c>
      <c r="G581" s="29" t="s">
        <v>35</v>
      </c>
      <c r="H581" s="29" t="s">
        <v>64</v>
      </c>
      <c r="I581" s="29" t="s">
        <v>190</v>
      </c>
      <c r="J581" s="29" t="s">
        <v>191</v>
      </c>
      <c r="K581" s="29" t="s">
        <v>192</v>
      </c>
      <c r="L581" s="29" t="s">
        <v>29</v>
      </c>
      <c r="M581" s="29" t="n">
        <v>609</v>
      </c>
      <c r="N581" s="29" t="n">
        <v>609</v>
      </c>
      <c r="O581" s="29"/>
      <c r="P581" s="30" t="n">
        <f aca="false">(M581*N581/1000000)*(INDEX(AreaRate_Vals,MATCH(C581,AreaRate_Keys,0))+IFERROR(INDEX(GlazingUpg_Vals,MATCH(H581,GlazingUpg_Keys,0)),0))+INDEX(Hardware_Vals,MATCH("Windows",Hardware_Keys,0))</f>
        <v>1103.0263</v>
      </c>
      <c r="Q581" s="31" t="n">
        <f aca="false">INDEX(Markup_Vals,MATCH("Windows",MarkupCat_Keys,0))</f>
        <v>0.42</v>
      </c>
      <c r="R581" s="32" t="n">
        <f aca="false">P581*(1+Q581)</f>
        <v>1566.297346</v>
      </c>
      <c r="S581" s="32" t="n">
        <f aca="false">R581*(1-TradeDiscount)</f>
        <v>1378.34166448</v>
      </c>
      <c r="T581" s="32" t="n">
        <f aca="false">R581*(1-VolumeDiscount)</f>
        <v>1253.0378768</v>
      </c>
    </row>
    <row r="582" customFormat="false" ht="15" hidden="false" customHeight="false" outlineLevel="0" collapsed="false">
      <c r="A582" s="25" t="s">
        <v>1378</v>
      </c>
      <c r="B582" s="25" t="s">
        <v>96</v>
      </c>
      <c r="C582" s="25" t="s">
        <v>46</v>
      </c>
      <c r="D582" s="25" t="s">
        <v>1379</v>
      </c>
      <c r="E582" s="25" t="s">
        <v>1367</v>
      </c>
      <c r="F582" s="25" t="s">
        <v>189</v>
      </c>
      <c r="G582" s="25" t="s">
        <v>36</v>
      </c>
      <c r="H582" s="25" t="s">
        <v>64</v>
      </c>
      <c r="I582" s="25" t="s">
        <v>190</v>
      </c>
      <c r="J582" s="25" t="s">
        <v>191</v>
      </c>
      <c r="K582" s="25" t="s">
        <v>192</v>
      </c>
      <c r="L582" s="25" t="s">
        <v>29</v>
      </c>
      <c r="M582" s="25" t="n">
        <v>609</v>
      </c>
      <c r="N582" s="25" t="n">
        <v>609</v>
      </c>
      <c r="O582" s="25"/>
      <c r="P582" s="26" t="n">
        <f aca="false">(M582*N582/1000000)*(INDEX(AreaRate_Vals,MATCH(C582,AreaRate_Keys,0))+IFERROR(INDEX(GlazingUpg_Vals,MATCH(H582,GlazingUpg_Keys,0)),0))+INDEX(Hardware_Vals,MATCH("Windows",Hardware_Keys,0))</f>
        <v>1103.0263</v>
      </c>
      <c r="Q582" s="27" t="n">
        <f aca="false">INDEX(Markup_Vals,MATCH("Windows",MarkupCat_Keys,0))</f>
        <v>0.42</v>
      </c>
      <c r="R582" s="28" t="n">
        <f aca="false">P582*(1+Q582)</f>
        <v>1566.297346</v>
      </c>
      <c r="S582" s="28" t="n">
        <f aca="false">R582*(1-TradeDiscount)</f>
        <v>1378.34166448</v>
      </c>
      <c r="T582" s="28" t="n">
        <f aca="false">R582*(1-VolumeDiscount)</f>
        <v>1253.0378768</v>
      </c>
    </row>
    <row r="583" customFormat="false" ht="15" hidden="false" customHeight="false" outlineLevel="0" collapsed="false">
      <c r="A583" s="29" t="s">
        <v>1380</v>
      </c>
      <c r="B583" s="29" t="s">
        <v>96</v>
      </c>
      <c r="C583" s="29" t="s">
        <v>46</v>
      </c>
      <c r="D583" s="29" t="s">
        <v>1381</v>
      </c>
      <c r="E583" s="29" t="s">
        <v>1367</v>
      </c>
      <c r="F583" s="29" t="s">
        <v>189</v>
      </c>
      <c r="G583" s="29" t="s">
        <v>37</v>
      </c>
      <c r="H583" s="29" t="s">
        <v>64</v>
      </c>
      <c r="I583" s="29" t="s">
        <v>190</v>
      </c>
      <c r="J583" s="29" t="s">
        <v>191</v>
      </c>
      <c r="K583" s="29" t="s">
        <v>192</v>
      </c>
      <c r="L583" s="29" t="s">
        <v>29</v>
      </c>
      <c r="M583" s="29" t="n">
        <v>609</v>
      </c>
      <c r="N583" s="29" t="n">
        <v>609</v>
      </c>
      <c r="O583" s="29"/>
      <c r="P583" s="30" t="n">
        <f aca="false">(M583*N583/1000000)*(INDEX(AreaRate_Vals,MATCH(C583,AreaRate_Keys,0))+IFERROR(INDEX(GlazingUpg_Vals,MATCH(H583,GlazingUpg_Keys,0)),0))+INDEX(Hardware_Vals,MATCH("Windows",Hardware_Keys,0))</f>
        <v>1103.0263</v>
      </c>
      <c r="Q583" s="31" t="n">
        <f aca="false">INDEX(Markup_Vals,MATCH("Windows",MarkupCat_Keys,0))</f>
        <v>0.42</v>
      </c>
      <c r="R583" s="32" t="n">
        <f aca="false">P583*(1+Q583)</f>
        <v>1566.297346</v>
      </c>
      <c r="S583" s="32" t="n">
        <f aca="false">R583*(1-TradeDiscount)</f>
        <v>1378.34166448</v>
      </c>
      <c r="T583" s="32" t="n">
        <f aca="false">R583*(1-VolumeDiscount)</f>
        <v>1253.0378768</v>
      </c>
    </row>
    <row r="584" customFormat="false" ht="15" hidden="false" customHeight="false" outlineLevel="0" collapsed="false">
      <c r="A584" s="25" t="s">
        <v>1382</v>
      </c>
      <c r="B584" s="25" t="s">
        <v>96</v>
      </c>
      <c r="C584" s="25" t="s">
        <v>46</v>
      </c>
      <c r="D584" s="25" t="s">
        <v>1383</v>
      </c>
      <c r="E584" s="25" t="s">
        <v>1367</v>
      </c>
      <c r="F584" s="25" t="s">
        <v>189</v>
      </c>
      <c r="G584" s="25" t="s">
        <v>39</v>
      </c>
      <c r="H584" s="25" t="s">
        <v>64</v>
      </c>
      <c r="I584" s="25" t="s">
        <v>190</v>
      </c>
      <c r="J584" s="25" t="s">
        <v>191</v>
      </c>
      <c r="K584" s="25" t="s">
        <v>192</v>
      </c>
      <c r="L584" s="25" t="s">
        <v>29</v>
      </c>
      <c r="M584" s="25" t="n">
        <v>609</v>
      </c>
      <c r="N584" s="25" t="n">
        <v>609</v>
      </c>
      <c r="O584" s="25"/>
      <c r="P584" s="26" t="n">
        <f aca="false">(M584*N584/1000000)*(INDEX(AreaRate_Vals,MATCH(C584,AreaRate_Keys,0))+IFERROR(INDEX(GlazingUpg_Vals,MATCH(H584,GlazingUpg_Keys,0)),0))+INDEX(Hardware_Vals,MATCH("Windows",Hardware_Keys,0))</f>
        <v>1103.0263</v>
      </c>
      <c r="Q584" s="27" t="n">
        <f aca="false">INDEX(Markup_Vals,MATCH("Windows",MarkupCat_Keys,0))</f>
        <v>0.42</v>
      </c>
      <c r="R584" s="28" t="n">
        <f aca="false">P584*(1+Q584)</f>
        <v>1566.297346</v>
      </c>
      <c r="S584" s="28" t="n">
        <f aca="false">R584*(1-TradeDiscount)</f>
        <v>1378.34166448</v>
      </c>
      <c r="T584" s="28" t="n">
        <f aca="false">R584*(1-VolumeDiscount)</f>
        <v>1253.0378768</v>
      </c>
    </row>
    <row r="585" customFormat="false" ht="15" hidden="false" customHeight="false" outlineLevel="0" collapsed="false">
      <c r="A585" s="29" t="s">
        <v>1384</v>
      </c>
      <c r="B585" s="29" t="s">
        <v>96</v>
      </c>
      <c r="C585" s="29" t="s">
        <v>46</v>
      </c>
      <c r="D585" s="29" t="s">
        <v>1385</v>
      </c>
      <c r="E585" s="29" t="s">
        <v>1367</v>
      </c>
      <c r="F585" s="29" t="s">
        <v>189</v>
      </c>
      <c r="G585" s="29" t="s">
        <v>38</v>
      </c>
      <c r="H585" s="29" t="s">
        <v>64</v>
      </c>
      <c r="I585" s="29" t="s">
        <v>190</v>
      </c>
      <c r="J585" s="29" t="s">
        <v>191</v>
      </c>
      <c r="K585" s="29" t="s">
        <v>192</v>
      </c>
      <c r="L585" s="29" t="s">
        <v>29</v>
      </c>
      <c r="M585" s="29" t="n">
        <v>609</v>
      </c>
      <c r="N585" s="29" t="n">
        <v>609</v>
      </c>
      <c r="O585" s="29"/>
      <c r="P585" s="30" t="n">
        <f aca="false">(M585*N585/1000000)*(INDEX(AreaRate_Vals,MATCH(C585,AreaRate_Keys,0))+IFERROR(INDEX(GlazingUpg_Vals,MATCH(H585,GlazingUpg_Keys,0)),0))+INDEX(Hardware_Vals,MATCH("Windows",Hardware_Keys,0))</f>
        <v>1103.0263</v>
      </c>
      <c r="Q585" s="31" t="n">
        <f aca="false">INDEX(Markup_Vals,MATCH("Windows",MarkupCat_Keys,0))</f>
        <v>0.42</v>
      </c>
      <c r="R585" s="32" t="n">
        <f aca="false">P585*(1+Q585)</f>
        <v>1566.297346</v>
      </c>
      <c r="S585" s="32" t="n">
        <f aca="false">R585*(1-TradeDiscount)</f>
        <v>1378.34166448</v>
      </c>
      <c r="T585" s="32" t="n">
        <f aca="false">R585*(1-VolumeDiscount)</f>
        <v>1253.0378768</v>
      </c>
    </row>
    <row r="586" customFormat="false" ht="15" hidden="false" customHeight="false" outlineLevel="0" collapsed="false">
      <c r="A586" s="25" t="s">
        <v>1386</v>
      </c>
      <c r="B586" s="25" t="s">
        <v>96</v>
      </c>
      <c r="C586" s="25" t="s">
        <v>46</v>
      </c>
      <c r="D586" s="25" t="s">
        <v>1387</v>
      </c>
      <c r="E586" s="25" t="s">
        <v>1367</v>
      </c>
      <c r="F586" s="25" t="s">
        <v>1388</v>
      </c>
      <c r="G586" s="25" t="s">
        <v>35</v>
      </c>
      <c r="H586" s="25" t="s">
        <v>63</v>
      </c>
      <c r="I586" s="25" t="s">
        <v>190</v>
      </c>
      <c r="J586" s="25" t="s">
        <v>191</v>
      </c>
      <c r="K586" s="25" t="s">
        <v>192</v>
      </c>
      <c r="L586" s="25" t="s">
        <v>29</v>
      </c>
      <c r="M586" s="25" t="n">
        <v>909</v>
      </c>
      <c r="N586" s="25" t="n">
        <v>909</v>
      </c>
      <c r="O586" s="25"/>
      <c r="P586" s="26" t="n">
        <f aca="false">(M586*N586/1000000)*(INDEX(AreaRate_Vals,MATCH(C586,AreaRate_Keys,0))+IFERROR(INDEX(GlazingUpg_Vals,MATCH(H586,GlazingUpg_Keys,0)),0))+INDEX(Hardware_Vals,MATCH("Windows",Hardware_Keys,0))</f>
        <v>1695.99175</v>
      </c>
      <c r="Q586" s="27" t="n">
        <f aca="false">INDEX(Markup_Vals,MATCH("Windows",MarkupCat_Keys,0))</f>
        <v>0.42</v>
      </c>
      <c r="R586" s="28" t="n">
        <f aca="false">P586*(1+Q586)</f>
        <v>2408.308285</v>
      </c>
      <c r="S586" s="28" t="n">
        <f aca="false">R586*(1-TradeDiscount)</f>
        <v>2119.3112908</v>
      </c>
      <c r="T586" s="28" t="n">
        <f aca="false">R586*(1-VolumeDiscount)</f>
        <v>1926.646628</v>
      </c>
    </row>
    <row r="587" customFormat="false" ht="15" hidden="false" customHeight="false" outlineLevel="0" collapsed="false">
      <c r="A587" s="29" t="s">
        <v>1389</v>
      </c>
      <c r="B587" s="29" t="s">
        <v>96</v>
      </c>
      <c r="C587" s="29" t="s">
        <v>46</v>
      </c>
      <c r="D587" s="29" t="s">
        <v>1390</v>
      </c>
      <c r="E587" s="29" t="s">
        <v>1367</v>
      </c>
      <c r="F587" s="29" t="s">
        <v>1388</v>
      </c>
      <c r="G587" s="29" t="s">
        <v>36</v>
      </c>
      <c r="H587" s="29" t="s">
        <v>63</v>
      </c>
      <c r="I587" s="29" t="s">
        <v>190</v>
      </c>
      <c r="J587" s="29" t="s">
        <v>191</v>
      </c>
      <c r="K587" s="29" t="s">
        <v>192</v>
      </c>
      <c r="L587" s="29" t="s">
        <v>29</v>
      </c>
      <c r="M587" s="29" t="n">
        <v>909</v>
      </c>
      <c r="N587" s="29" t="n">
        <v>909</v>
      </c>
      <c r="O587" s="29"/>
      <c r="P587" s="30" t="n">
        <f aca="false">(M587*N587/1000000)*(INDEX(AreaRate_Vals,MATCH(C587,AreaRate_Keys,0))+IFERROR(INDEX(GlazingUpg_Vals,MATCH(H587,GlazingUpg_Keys,0)),0))+INDEX(Hardware_Vals,MATCH("Windows",Hardware_Keys,0))</f>
        <v>1695.99175</v>
      </c>
      <c r="Q587" s="31" t="n">
        <f aca="false">INDEX(Markup_Vals,MATCH("Windows",MarkupCat_Keys,0))</f>
        <v>0.42</v>
      </c>
      <c r="R587" s="32" t="n">
        <f aca="false">P587*(1+Q587)</f>
        <v>2408.308285</v>
      </c>
      <c r="S587" s="32" t="n">
        <f aca="false">R587*(1-TradeDiscount)</f>
        <v>2119.3112908</v>
      </c>
      <c r="T587" s="32" t="n">
        <f aca="false">R587*(1-VolumeDiscount)</f>
        <v>1926.646628</v>
      </c>
    </row>
    <row r="588" customFormat="false" ht="15" hidden="false" customHeight="false" outlineLevel="0" collapsed="false">
      <c r="A588" s="25" t="s">
        <v>1391</v>
      </c>
      <c r="B588" s="25" t="s">
        <v>96</v>
      </c>
      <c r="C588" s="25" t="s">
        <v>46</v>
      </c>
      <c r="D588" s="25" t="s">
        <v>1392</v>
      </c>
      <c r="E588" s="25" t="s">
        <v>1367</v>
      </c>
      <c r="F588" s="25" t="s">
        <v>1388</v>
      </c>
      <c r="G588" s="25" t="s">
        <v>37</v>
      </c>
      <c r="H588" s="25" t="s">
        <v>63</v>
      </c>
      <c r="I588" s="25" t="s">
        <v>190</v>
      </c>
      <c r="J588" s="25" t="s">
        <v>191</v>
      </c>
      <c r="K588" s="25" t="s">
        <v>192</v>
      </c>
      <c r="L588" s="25" t="s">
        <v>29</v>
      </c>
      <c r="M588" s="25" t="n">
        <v>909</v>
      </c>
      <c r="N588" s="25" t="n">
        <v>909</v>
      </c>
      <c r="O588" s="25"/>
      <c r="P588" s="26" t="n">
        <f aca="false">(M588*N588/1000000)*(INDEX(AreaRate_Vals,MATCH(C588,AreaRate_Keys,0))+IFERROR(INDEX(GlazingUpg_Vals,MATCH(H588,GlazingUpg_Keys,0)),0))+INDEX(Hardware_Vals,MATCH("Windows",Hardware_Keys,0))</f>
        <v>1695.99175</v>
      </c>
      <c r="Q588" s="27" t="n">
        <f aca="false">INDEX(Markup_Vals,MATCH("Windows",MarkupCat_Keys,0))</f>
        <v>0.42</v>
      </c>
      <c r="R588" s="28" t="n">
        <f aca="false">P588*(1+Q588)</f>
        <v>2408.308285</v>
      </c>
      <c r="S588" s="28" t="n">
        <f aca="false">R588*(1-TradeDiscount)</f>
        <v>2119.3112908</v>
      </c>
      <c r="T588" s="28" t="n">
        <f aca="false">R588*(1-VolumeDiscount)</f>
        <v>1926.646628</v>
      </c>
    </row>
    <row r="589" customFormat="false" ht="15" hidden="false" customHeight="false" outlineLevel="0" collapsed="false">
      <c r="A589" s="29" t="s">
        <v>1393</v>
      </c>
      <c r="B589" s="29" t="s">
        <v>96</v>
      </c>
      <c r="C589" s="29" t="s">
        <v>46</v>
      </c>
      <c r="D589" s="29" t="s">
        <v>1394</v>
      </c>
      <c r="E589" s="29" t="s">
        <v>1367</v>
      </c>
      <c r="F589" s="29" t="s">
        <v>1388</v>
      </c>
      <c r="G589" s="29" t="s">
        <v>39</v>
      </c>
      <c r="H589" s="29" t="s">
        <v>63</v>
      </c>
      <c r="I589" s="29" t="s">
        <v>190</v>
      </c>
      <c r="J589" s="29" t="s">
        <v>191</v>
      </c>
      <c r="K589" s="29" t="s">
        <v>192</v>
      </c>
      <c r="L589" s="29" t="s">
        <v>29</v>
      </c>
      <c r="M589" s="29" t="n">
        <v>909</v>
      </c>
      <c r="N589" s="29" t="n">
        <v>909</v>
      </c>
      <c r="O589" s="29"/>
      <c r="P589" s="30" t="n">
        <f aca="false">(M589*N589/1000000)*(INDEX(AreaRate_Vals,MATCH(C589,AreaRate_Keys,0))+IFERROR(INDEX(GlazingUpg_Vals,MATCH(H589,GlazingUpg_Keys,0)),0))+INDEX(Hardware_Vals,MATCH("Windows",Hardware_Keys,0))</f>
        <v>1695.99175</v>
      </c>
      <c r="Q589" s="31" t="n">
        <f aca="false">INDEX(Markup_Vals,MATCH("Windows",MarkupCat_Keys,0))</f>
        <v>0.42</v>
      </c>
      <c r="R589" s="32" t="n">
        <f aca="false">P589*(1+Q589)</f>
        <v>2408.308285</v>
      </c>
      <c r="S589" s="32" t="n">
        <f aca="false">R589*(1-TradeDiscount)</f>
        <v>2119.3112908</v>
      </c>
      <c r="T589" s="32" t="n">
        <f aca="false">R589*(1-VolumeDiscount)</f>
        <v>1926.646628</v>
      </c>
    </row>
    <row r="590" customFormat="false" ht="15" hidden="false" customHeight="false" outlineLevel="0" collapsed="false">
      <c r="A590" s="25" t="s">
        <v>1395</v>
      </c>
      <c r="B590" s="25" t="s">
        <v>96</v>
      </c>
      <c r="C590" s="25" t="s">
        <v>46</v>
      </c>
      <c r="D590" s="25" t="s">
        <v>1396</v>
      </c>
      <c r="E590" s="25" t="s">
        <v>1367</v>
      </c>
      <c r="F590" s="25" t="s">
        <v>1388</v>
      </c>
      <c r="G590" s="25" t="s">
        <v>38</v>
      </c>
      <c r="H590" s="25" t="s">
        <v>63</v>
      </c>
      <c r="I590" s="25" t="s">
        <v>190</v>
      </c>
      <c r="J590" s="25" t="s">
        <v>191</v>
      </c>
      <c r="K590" s="25" t="s">
        <v>192</v>
      </c>
      <c r="L590" s="25" t="s">
        <v>29</v>
      </c>
      <c r="M590" s="25" t="n">
        <v>909</v>
      </c>
      <c r="N590" s="25" t="n">
        <v>909</v>
      </c>
      <c r="O590" s="25"/>
      <c r="P590" s="26" t="n">
        <f aca="false">(M590*N590/1000000)*(INDEX(AreaRate_Vals,MATCH(C590,AreaRate_Keys,0))+IFERROR(INDEX(GlazingUpg_Vals,MATCH(H590,GlazingUpg_Keys,0)),0))+INDEX(Hardware_Vals,MATCH("Windows",Hardware_Keys,0))</f>
        <v>1695.99175</v>
      </c>
      <c r="Q590" s="27" t="n">
        <f aca="false">INDEX(Markup_Vals,MATCH("Windows",MarkupCat_Keys,0))</f>
        <v>0.42</v>
      </c>
      <c r="R590" s="28" t="n">
        <f aca="false">P590*(1+Q590)</f>
        <v>2408.308285</v>
      </c>
      <c r="S590" s="28" t="n">
        <f aca="false">R590*(1-TradeDiscount)</f>
        <v>2119.3112908</v>
      </c>
      <c r="T590" s="28" t="n">
        <f aca="false">R590*(1-VolumeDiscount)</f>
        <v>1926.646628</v>
      </c>
    </row>
    <row r="591" customFormat="false" ht="15" hidden="false" customHeight="false" outlineLevel="0" collapsed="false">
      <c r="A591" s="29" t="s">
        <v>1397</v>
      </c>
      <c r="B591" s="29" t="s">
        <v>96</v>
      </c>
      <c r="C591" s="29" t="s">
        <v>46</v>
      </c>
      <c r="D591" s="29" t="s">
        <v>1398</v>
      </c>
      <c r="E591" s="29" t="s">
        <v>1367</v>
      </c>
      <c r="F591" s="29" t="s">
        <v>1388</v>
      </c>
      <c r="G591" s="29" t="s">
        <v>35</v>
      </c>
      <c r="H591" s="29" t="s">
        <v>64</v>
      </c>
      <c r="I591" s="29" t="s">
        <v>190</v>
      </c>
      <c r="J591" s="29" t="s">
        <v>191</v>
      </c>
      <c r="K591" s="29" t="s">
        <v>192</v>
      </c>
      <c r="L591" s="29" t="s">
        <v>29</v>
      </c>
      <c r="M591" s="29" t="n">
        <v>909</v>
      </c>
      <c r="N591" s="29" t="n">
        <v>909</v>
      </c>
      <c r="O591" s="29"/>
      <c r="P591" s="30" t="n">
        <f aca="false">(M591*N591/1000000)*(INDEX(AreaRate_Vals,MATCH(C591,AreaRate_Keys,0))+IFERROR(INDEX(GlazingUpg_Vals,MATCH(H591,GlazingUpg_Keys,0)),0))+INDEX(Hardware_Vals,MATCH("Windows",Hardware_Keys,0))</f>
        <v>2150.4463</v>
      </c>
      <c r="Q591" s="31" t="n">
        <f aca="false">INDEX(Markup_Vals,MATCH("Windows",MarkupCat_Keys,0))</f>
        <v>0.42</v>
      </c>
      <c r="R591" s="32" t="n">
        <f aca="false">P591*(1+Q591)</f>
        <v>3053.633746</v>
      </c>
      <c r="S591" s="32" t="n">
        <f aca="false">R591*(1-TradeDiscount)</f>
        <v>2687.19769648</v>
      </c>
      <c r="T591" s="32" t="n">
        <f aca="false">R591*(1-VolumeDiscount)</f>
        <v>2442.9069968</v>
      </c>
    </row>
    <row r="592" customFormat="false" ht="15" hidden="false" customHeight="false" outlineLevel="0" collapsed="false">
      <c r="A592" s="25" t="s">
        <v>1399</v>
      </c>
      <c r="B592" s="25" t="s">
        <v>96</v>
      </c>
      <c r="C592" s="25" t="s">
        <v>46</v>
      </c>
      <c r="D592" s="25" t="s">
        <v>1400</v>
      </c>
      <c r="E592" s="25" t="s">
        <v>1367</v>
      </c>
      <c r="F592" s="25" t="s">
        <v>1388</v>
      </c>
      <c r="G592" s="25" t="s">
        <v>36</v>
      </c>
      <c r="H592" s="25" t="s">
        <v>64</v>
      </c>
      <c r="I592" s="25" t="s">
        <v>190</v>
      </c>
      <c r="J592" s="25" t="s">
        <v>191</v>
      </c>
      <c r="K592" s="25" t="s">
        <v>192</v>
      </c>
      <c r="L592" s="25" t="s">
        <v>29</v>
      </c>
      <c r="M592" s="25" t="n">
        <v>909</v>
      </c>
      <c r="N592" s="25" t="n">
        <v>909</v>
      </c>
      <c r="O592" s="25"/>
      <c r="P592" s="26" t="n">
        <f aca="false">(M592*N592/1000000)*(INDEX(AreaRate_Vals,MATCH(C592,AreaRate_Keys,0))+IFERROR(INDEX(GlazingUpg_Vals,MATCH(H592,GlazingUpg_Keys,0)),0))+INDEX(Hardware_Vals,MATCH("Windows",Hardware_Keys,0))</f>
        <v>2150.4463</v>
      </c>
      <c r="Q592" s="27" t="n">
        <f aca="false">INDEX(Markup_Vals,MATCH("Windows",MarkupCat_Keys,0))</f>
        <v>0.42</v>
      </c>
      <c r="R592" s="28" t="n">
        <f aca="false">P592*(1+Q592)</f>
        <v>3053.633746</v>
      </c>
      <c r="S592" s="28" t="n">
        <f aca="false">R592*(1-TradeDiscount)</f>
        <v>2687.19769648</v>
      </c>
      <c r="T592" s="28" t="n">
        <f aca="false">R592*(1-VolumeDiscount)</f>
        <v>2442.9069968</v>
      </c>
    </row>
    <row r="593" customFormat="false" ht="15" hidden="false" customHeight="false" outlineLevel="0" collapsed="false">
      <c r="A593" s="29" t="s">
        <v>1401</v>
      </c>
      <c r="B593" s="29" t="s">
        <v>96</v>
      </c>
      <c r="C593" s="29" t="s">
        <v>46</v>
      </c>
      <c r="D593" s="29" t="s">
        <v>1402</v>
      </c>
      <c r="E593" s="29" t="s">
        <v>1367</v>
      </c>
      <c r="F593" s="29" t="s">
        <v>1388</v>
      </c>
      <c r="G593" s="29" t="s">
        <v>37</v>
      </c>
      <c r="H593" s="29" t="s">
        <v>64</v>
      </c>
      <c r="I593" s="29" t="s">
        <v>190</v>
      </c>
      <c r="J593" s="29" t="s">
        <v>191</v>
      </c>
      <c r="K593" s="29" t="s">
        <v>192</v>
      </c>
      <c r="L593" s="29" t="s">
        <v>29</v>
      </c>
      <c r="M593" s="29" t="n">
        <v>909</v>
      </c>
      <c r="N593" s="29" t="n">
        <v>909</v>
      </c>
      <c r="O593" s="29"/>
      <c r="P593" s="30" t="n">
        <f aca="false">(M593*N593/1000000)*(INDEX(AreaRate_Vals,MATCH(C593,AreaRate_Keys,0))+IFERROR(INDEX(GlazingUpg_Vals,MATCH(H593,GlazingUpg_Keys,0)),0))+INDEX(Hardware_Vals,MATCH("Windows",Hardware_Keys,0))</f>
        <v>2150.4463</v>
      </c>
      <c r="Q593" s="31" t="n">
        <f aca="false">INDEX(Markup_Vals,MATCH("Windows",MarkupCat_Keys,0))</f>
        <v>0.42</v>
      </c>
      <c r="R593" s="32" t="n">
        <f aca="false">P593*(1+Q593)</f>
        <v>3053.633746</v>
      </c>
      <c r="S593" s="32" t="n">
        <f aca="false">R593*(1-TradeDiscount)</f>
        <v>2687.19769648</v>
      </c>
      <c r="T593" s="32" t="n">
        <f aca="false">R593*(1-VolumeDiscount)</f>
        <v>2442.9069968</v>
      </c>
    </row>
    <row r="594" customFormat="false" ht="15" hidden="false" customHeight="false" outlineLevel="0" collapsed="false">
      <c r="A594" s="25" t="s">
        <v>1403</v>
      </c>
      <c r="B594" s="25" t="s">
        <v>96</v>
      </c>
      <c r="C594" s="25" t="s">
        <v>46</v>
      </c>
      <c r="D594" s="25" t="s">
        <v>1404</v>
      </c>
      <c r="E594" s="25" t="s">
        <v>1367</v>
      </c>
      <c r="F594" s="25" t="s">
        <v>1388</v>
      </c>
      <c r="G594" s="25" t="s">
        <v>39</v>
      </c>
      <c r="H594" s="25" t="s">
        <v>64</v>
      </c>
      <c r="I594" s="25" t="s">
        <v>190</v>
      </c>
      <c r="J594" s="25" t="s">
        <v>191</v>
      </c>
      <c r="K594" s="25" t="s">
        <v>192</v>
      </c>
      <c r="L594" s="25" t="s">
        <v>29</v>
      </c>
      <c r="M594" s="25" t="n">
        <v>909</v>
      </c>
      <c r="N594" s="25" t="n">
        <v>909</v>
      </c>
      <c r="O594" s="25"/>
      <c r="P594" s="26" t="n">
        <f aca="false">(M594*N594/1000000)*(INDEX(AreaRate_Vals,MATCH(C594,AreaRate_Keys,0))+IFERROR(INDEX(GlazingUpg_Vals,MATCH(H594,GlazingUpg_Keys,0)),0))+INDEX(Hardware_Vals,MATCH("Windows",Hardware_Keys,0))</f>
        <v>2150.4463</v>
      </c>
      <c r="Q594" s="27" t="n">
        <f aca="false">INDEX(Markup_Vals,MATCH("Windows",MarkupCat_Keys,0))</f>
        <v>0.42</v>
      </c>
      <c r="R594" s="28" t="n">
        <f aca="false">P594*(1+Q594)</f>
        <v>3053.633746</v>
      </c>
      <c r="S594" s="28" t="n">
        <f aca="false">R594*(1-TradeDiscount)</f>
        <v>2687.19769648</v>
      </c>
      <c r="T594" s="28" t="n">
        <f aca="false">R594*(1-VolumeDiscount)</f>
        <v>2442.9069968</v>
      </c>
    </row>
    <row r="595" customFormat="false" ht="15" hidden="false" customHeight="false" outlineLevel="0" collapsed="false">
      <c r="A595" s="29" t="s">
        <v>1405</v>
      </c>
      <c r="B595" s="29" t="s">
        <v>96</v>
      </c>
      <c r="C595" s="29" t="s">
        <v>46</v>
      </c>
      <c r="D595" s="29" t="s">
        <v>1406</v>
      </c>
      <c r="E595" s="29" t="s">
        <v>1367</v>
      </c>
      <c r="F595" s="29" t="s">
        <v>1388</v>
      </c>
      <c r="G595" s="29" t="s">
        <v>38</v>
      </c>
      <c r="H595" s="29" t="s">
        <v>64</v>
      </c>
      <c r="I595" s="29" t="s">
        <v>190</v>
      </c>
      <c r="J595" s="29" t="s">
        <v>191</v>
      </c>
      <c r="K595" s="29" t="s">
        <v>192</v>
      </c>
      <c r="L595" s="29" t="s">
        <v>29</v>
      </c>
      <c r="M595" s="29" t="n">
        <v>909</v>
      </c>
      <c r="N595" s="29" t="n">
        <v>909</v>
      </c>
      <c r="O595" s="29"/>
      <c r="P595" s="30" t="n">
        <f aca="false">(M595*N595/1000000)*(INDEX(AreaRate_Vals,MATCH(C595,AreaRate_Keys,0))+IFERROR(INDEX(GlazingUpg_Vals,MATCH(H595,GlazingUpg_Keys,0)),0))+INDEX(Hardware_Vals,MATCH("Windows",Hardware_Keys,0))</f>
        <v>2150.4463</v>
      </c>
      <c r="Q595" s="31" t="n">
        <f aca="false">INDEX(Markup_Vals,MATCH("Windows",MarkupCat_Keys,0))</f>
        <v>0.42</v>
      </c>
      <c r="R595" s="32" t="n">
        <f aca="false">P595*(1+Q595)</f>
        <v>3053.633746</v>
      </c>
      <c r="S595" s="32" t="n">
        <f aca="false">R595*(1-TradeDiscount)</f>
        <v>2687.19769648</v>
      </c>
      <c r="T595" s="32" t="n">
        <f aca="false">R595*(1-VolumeDiscount)</f>
        <v>2442.9069968</v>
      </c>
    </row>
    <row r="596" customFormat="false" ht="15" hidden="false" customHeight="false" outlineLevel="0" collapsed="false">
      <c r="A596" s="25" t="s">
        <v>1407</v>
      </c>
      <c r="B596" s="25" t="s">
        <v>96</v>
      </c>
      <c r="C596" s="25" t="s">
        <v>46</v>
      </c>
      <c r="D596" s="25" t="s">
        <v>1408</v>
      </c>
      <c r="E596" s="25" t="s">
        <v>1367</v>
      </c>
      <c r="F596" s="25" t="s">
        <v>234</v>
      </c>
      <c r="G596" s="25" t="s">
        <v>35</v>
      </c>
      <c r="H596" s="25" t="s">
        <v>63</v>
      </c>
      <c r="I596" s="25" t="s">
        <v>190</v>
      </c>
      <c r="J596" s="25" t="s">
        <v>191</v>
      </c>
      <c r="K596" s="25" t="s">
        <v>192</v>
      </c>
      <c r="L596" s="25" t="s">
        <v>29</v>
      </c>
      <c r="M596" s="25" t="n">
        <v>1209</v>
      </c>
      <c r="N596" s="25" t="n">
        <v>909</v>
      </c>
      <c r="O596" s="25"/>
      <c r="P596" s="26" t="n">
        <f aca="false">(M596*N596/1000000)*(INDEX(AreaRate_Vals,MATCH(C596,AreaRate_Keys,0))+IFERROR(INDEX(GlazingUpg_Vals,MATCH(H596,GlazingUpg_Keys,0)),0))+INDEX(Hardware_Vals,MATCH("Windows",Hardware_Keys,0))</f>
        <v>2173.21675</v>
      </c>
      <c r="Q596" s="27" t="n">
        <f aca="false">INDEX(Markup_Vals,MATCH("Windows",MarkupCat_Keys,0))</f>
        <v>0.42</v>
      </c>
      <c r="R596" s="28" t="n">
        <f aca="false">P596*(1+Q596)</f>
        <v>3085.967785</v>
      </c>
      <c r="S596" s="28" t="n">
        <f aca="false">R596*(1-TradeDiscount)</f>
        <v>2715.6516508</v>
      </c>
      <c r="T596" s="28" t="n">
        <f aca="false">R596*(1-VolumeDiscount)</f>
        <v>2468.774228</v>
      </c>
    </row>
    <row r="597" customFormat="false" ht="15" hidden="false" customHeight="false" outlineLevel="0" collapsed="false">
      <c r="A597" s="29" t="s">
        <v>1409</v>
      </c>
      <c r="B597" s="29" t="s">
        <v>96</v>
      </c>
      <c r="C597" s="29" t="s">
        <v>46</v>
      </c>
      <c r="D597" s="29" t="s">
        <v>1410</v>
      </c>
      <c r="E597" s="29" t="s">
        <v>1367</v>
      </c>
      <c r="F597" s="29" t="s">
        <v>234</v>
      </c>
      <c r="G597" s="29" t="s">
        <v>36</v>
      </c>
      <c r="H597" s="29" t="s">
        <v>63</v>
      </c>
      <c r="I597" s="29" t="s">
        <v>190</v>
      </c>
      <c r="J597" s="29" t="s">
        <v>191</v>
      </c>
      <c r="K597" s="29" t="s">
        <v>192</v>
      </c>
      <c r="L597" s="29" t="s">
        <v>29</v>
      </c>
      <c r="M597" s="29" t="n">
        <v>1209</v>
      </c>
      <c r="N597" s="29" t="n">
        <v>909</v>
      </c>
      <c r="O597" s="29"/>
      <c r="P597" s="30" t="n">
        <f aca="false">(M597*N597/1000000)*(INDEX(AreaRate_Vals,MATCH(C597,AreaRate_Keys,0))+IFERROR(INDEX(GlazingUpg_Vals,MATCH(H597,GlazingUpg_Keys,0)),0))+INDEX(Hardware_Vals,MATCH("Windows",Hardware_Keys,0))</f>
        <v>2173.21675</v>
      </c>
      <c r="Q597" s="31" t="n">
        <f aca="false">INDEX(Markup_Vals,MATCH("Windows",MarkupCat_Keys,0))</f>
        <v>0.42</v>
      </c>
      <c r="R597" s="32" t="n">
        <f aca="false">P597*(1+Q597)</f>
        <v>3085.967785</v>
      </c>
      <c r="S597" s="32" t="n">
        <f aca="false">R597*(1-TradeDiscount)</f>
        <v>2715.6516508</v>
      </c>
      <c r="T597" s="32" t="n">
        <f aca="false">R597*(1-VolumeDiscount)</f>
        <v>2468.774228</v>
      </c>
    </row>
    <row r="598" customFormat="false" ht="15" hidden="false" customHeight="false" outlineLevel="0" collapsed="false">
      <c r="A598" s="25" t="s">
        <v>1411</v>
      </c>
      <c r="B598" s="25" t="s">
        <v>96</v>
      </c>
      <c r="C598" s="25" t="s">
        <v>46</v>
      </c>
      <c r="D598" s="25" t="s">
        <v>1412</v>
      </c>
      <c r="E598" s="25" t="s">
        <v>1367</v>
      </c>
      <c r="F598" s="25" t="s">
        <v>234</v>
      </c>
      <c r="G598" s="25" t="s">
        <v>37</v>
      </c>
      <c r="H598" s="25" t="s">
        <v>63</v>
      </c>
      <c r="I598" s="25" t="s">
        <v>190</v>
      </c>
      <c r="J598" s="25" t="s">
        <v>191</v>
      </c>
      <c r="K598" s="25" t="s">
        <v>192</v>
      </c>
      <c r="L598" s="25" t="s">
        <v>29</v>
      </c>
      <c r="M598" s="25" t="n">
        <v>1209</v>
      </c>
      <c r="N598" s="25" t="n">
        <v>909</v>
      </c>
      <c r="O598" s="25"/>
      <c r="P598" s="26" t="n">
        <f aca="false">(M598*N598/1000000)*(INDEX(AreaRate_Vals,MATCH(C598,AreaRate_Keys,0))+IFERROR(INDEX(GlazingUpg_Vals,MATCH(H598,GlazingUpg_Keys,0)),0))+INDEX(Hardware_Vals,MATCH("Windows",Hardware_Keys,0))</f>
        <v>2173.21675</v>
      </c>
      <c r="Q598" s="27" t="n">
        <f aca="false">INDEX(Markup_Vals,MATCH("Windows",MarkupCat_Keys,0))</f>
        <v>0.42</v>
      </c>
      <c r="R598" s="28" t="n">
        <f aca="false">P598*(1+Q598)</f>
        <v>3085.967785</v>
      </c>
      <c r="S598" s="28" t="n">
        <f aca="false">R598*(1-TradeDiscount)</f>
        <v>2715.6516508</v>
      </c>
      <c r="T598" s="28" t="n">
        <f aca="false">R598*(1-VolumeDiscount)</f>
        <v>2468.774228</v>
      </c>
    </row>
    <row r="599" customFormat="false" ht="15" hidden="false" customHeight="false" outlineLevel="0" collapsed="false">
      <c r="A599" s="29" t="s">
        <v>1413</v>
      </c>
      <c r="B599" s="29" t="s">
        <v>96</v>
      </c>
      <c r="C599" s="29" t="s">
        <v>46</v>
      </c>
      <c r="D599" s="29" t="s">
        <v>1414</v>
      </c>
      <c r="E599" s="29" t="s">
        <v>1367</v>
      </c>
      <c r="F599" s="29" t="s">
        <v>234</v>
      </c>
      <c r="G599" s="29" t="s">
        <v>39</v>
      </c>
      <c r="H599" s="29" t="s">
        <v>63</v>
      </c>
      <c r="I599" s="29" t="s">
        <v>190</v>
      </c>
      <c r="J599" s="29" t="s">
        <v>191</v>
      </c>
      <c r="K599" s="29" t="s">
        <v>192</v>
      </c>
      <c r="L599" s="29" t="s">
        <v>29</v>
      </c>
      <c r="M599" s="29" t="n">
        <v>1209</v>
      </c>
      <c r="N599" s="29" t="n">
        <v>909</v>
      </c>
      <c r="O599" s="29"/>
      <c r="P599" s="30" t="n">
        <f aca="false">(M599*N599/1000000)*(INDEX(AreaRate_Vals,MATCH(C599,AreaRate_Keys,0))+IFERROR(INDEX(GlazingUpg_Vals,MATCH(H599,GlazingUpg_Keys,0)),0))+INDEX(Hardware_Vals,MATCH("Windows",Hardware_Keys,0))</f>
        <v>2173.21675</v>
      </c>
      <c r="Q599" s="31" t="n">
        <f aca="false">INDEX(Markup_Vals,MATCH("Windows",MarkupCat_Keys,0))</f>
        <v>0.42</v>
      </c>
      <c r="R599" s="32" t="n">
        <f aca="false">P599*(1+Q599)</f>
        <v>3085.967785</v>
      </c>
      <c r="S599" s="32" t="n">
        <f aca="false">R599*(1-TradeDiscount)</f>
        <v>2715.6516508</v>
      </c>
      <c r="T599" s="32" t="n">
        <f aca="false">R599*(1-VolumeDiscount)</f>
        <v>2468.774228</v>
      </c>
    </row>
    <row r="600" customFormat="false" ht="15" hidden="false" customHeight="false" outlineLevel="0" collapsed="false">
      <c r="A600" s="25" t="s">
        <v>1415</v>
      </c>
      <c r="B600" s="25" t="s">
        <v>96</v>
      </c>
      <c r="C600" s="25" t="s">
        <v>46</v>
      </c>
      <c r="D600" s="25" t="s">
        <v>1416</v>
      </c>
      <c r="E600" s="25" t="s">
        <v>1367</v>
      </c>
      <c r="F600" s="25" t="s">
        <v>234</v>
      </c>
      <c r="G600" s="25" t="s">
        <v>38</v>
      </c>
      <c r="H600" s="25" t="s">
        <v>63</v>
      </c>
      <c r="I600" s="25" t="s">
        <v>190</v>
      </c>
      <c r="J600" s="25" t="s">
        <v>191</v>
      </c>
      <c r="K600" s="25" t="s">
        <v>192</v>
      </c>
      <c r="L600" s="25" t="s">
        <v>29</v>
      </c>
      <c r="M600" s="25" t="n">
        <v>1209</v>
      </c>
      <c r="N600" s="25" t="n">
        <v>909</v>
      </c>
      <c r="O600" s="25"/>
      <c r="P600" s="26" t="n">
        <f aca="false">(M600*N600/1000000)*(INDEX(AreaRate_Vals,MATCH(C600,AreaRate_Keys,0))+IFERROR(INDEX(GlazingUpg_Vals,MATCH(H600,GlazingUpg_Keys,0)),0))+INDEX(Hardware_Vals,MATCH("Windows",Hardware_Keys,0))</f>
        <v>2173.21675</v>
      </c>
      <c r="Q600" s="27" t="n">
        <f aca="false">INDEX(Markup_Vals,MATCH("Windows",MarkupCat_Keys,0))</f>
        <v>0.42</v>
      </c>
      <c r="R600" s="28" t="n">
        <f aca="false">P600*(1+Q600)</f>
        <v>3085.967785</v>
      </c>
      <c r="S600" s="28" t="n">
        <f aca="false">R600*(1-TradeDiscount)</f>
        <v>2715.6516508</v>
      </c>
      <c r="T600" s="28" t="n">
        <f aca="false">R600*(1-VolumeDiscount)</f>
        <v>2468.774228</v>
      </c>
    </row>
    <row r="601" customFormat="false" ht="15" hidden="false" customHeight="false" outlineLevel="0" collapsed="false">
      <c r="A601" s="29" t="s">
        <v>1417</v>
      </c>
      <c r="B601" s="29" t="s">
        <v>96</v>
      </c>
      <c r="C601" s="29" t="s">
        <v>46</v>
      </c>
      <c r="D601" s="29" t="s">
        <v>1418</v>
      </c>
      <c r="E601" s="29" t="s">
        <v>1367</v>
      </c>
      <c r="F601" s="29" t="s">
        <v>234</v>
      </c>
      <c r="G601" s="29" t="s">
        <v>35</v>
      </c>
      <c r="H601" s="29" t="s">
        <v>64</v>
      </c>
      <c r="I601" s="29" t="s">
        <v>190</v>
      </c>
      <c r="J601" s="29" t="s">
        <v>191</v>
      </c>
      <c r="K601" s="29" t="s">
        <v>192</v>
      </c>
      <c r="L601" s="29" t="s">
        <v>29</v>
      </c>
      <c r="M601" s="29" t="n">
        <v>1209</v>
      </c>
      <c r="N601" s="29" t="n">
        <v>909</v>
      </c>
      <c r="O601" s="29"/>
      <c r="P601" s="30" t="n">
        <f aca="false">(M601*N601/1000000)*(INDEX(AreaRate_Vals,MATCH(C601,AreaRate_Keys,0))+IFERROR(INDEX(GlazingUpg_Vals,MATCH(H601,GlazingUpg_Keys,0)),0))+INDEX(Hardware_Vals,MATCH("Windows",Hardware_Keys,0))</f>
        <v>2777.6563</v>
      </c>
      <c r="Q601" s="31" t="n">
        <f aca="false">INDEX(Markup_Vals,MATCH("Windows",MarkupCat_Keys,0))</f>
        <v>0.42</v>
      </c>
      <c r="R601" s="32" t="n">
        <f aca="false">P601*(1+Q601)</f>
        <v>3944.271946</v>
      </c>
      <c r="S601" s="32" t="n">
        <f aca="false">R601*(1-TradeDiscount)</f>
        <v>3470.95931248</v>
      </c>
      <c r="T601" s="32" t="n">
        <f aca="false">R601*(1-VolumeDiscount)</f>
        <v>3155.4175568</v>
      </c>
    </row>
    <row r="602" customFormat="false" ht="15" hidden="false" customHeight="false" outlineLevel="0" collapsed="false">
      <c r="A602" s="25" t="s">
        <v>1419</v>
      </c>
      <c r="B602" s="25" t="s">
        <v>96</v>
      </c>
      <c r="C602" s="25" t="s">
        <v>46</v>
      </c>
      <c r="D602" s="25" t="s">
        <v>1420</v>
      </c>
      <c r="E602" s="25" t="s">
        <v>1367</v>
      </c>
      <c r="F602" s="25" t="s">
        <v>234</v>
      </c>
      <c r="G602" s="25" t="s">
        <v>36</v>
      </c>
      <c r="H602" s="25" t="s">
        <v>64</v>
      </c>
      <c r="I602" s="25" t="s">
        <v>190</v>
      </c>
      <c r="J602" s="25" t="s">
        <v>191</v>
      </c>
      <c r="K602" s="25" t="s">
        <v>192</v>
      </c>
      <c r="L602" s="25" t="s">
        <v>29</v>
      </c>
      <c r="M602" s="25" t="n">
        <v>1209</v>
      </c>
      <c r="N602" s="25" t="n">
        <v>909</v>
      </c>
      <c r="O602" s="25"/>
      <c r="P602" s="26" t="n">
        <f aca="false">(M602*N602/1000000)*(INDEX(AreaRate_Vals,MATCH(C602,AreaRate_Keys,0))+IFERROR(INDEX(GlazingUpg_Vals,MATCH(H602,GlazingUpg_Keys,0)),0))+INDEX(Hardware_Vals,MATCH("Windows",Hardware_Keys,0))</f>
        <v>2777.6563</v>
      </c>
      <c r="Q602" s="27" t="n">
        <f aca="false">INDEX(Markup_Vals,MATCH("Windows",MarkupCat_Keys,0))</f>
        <v>0.42</v>
      </c>
      <c r="R602" s="28" t="n">
        <f aca="false">P602*(1+Q602)</f>
        <v>3944.271946</v>
      </c>
      <c r="S602" s="28" t="n">
        <f aca="false">R602*(1-TradeDiscount)</f>
        <v>3470.95931248</v>
      </c>
      <c r="T602" s="28" t="n">
        <f aca="false">R602*(1-VolumeDiscount)</f>
        <v>3155.4175568</v>
      </c>
    </row>
    <row r="603" customFormat="false" ht="15" hidden="false" customHeight="false" outlineLevel="0" collapsed="false">
      <c r="A603" s="29" t="s">
        <v>1421</v>
      </c>
      <c r="B603" s="29" t="s">
        <v>96</v>
      </c>
      <c r="C603" s="29" t="s">
        <v>46</v>
      </c>
      <c r="D603" s="29" t="s">
        <v>1422</v>
      </c>
      <c r="E603" s="29" t="s">
        <v>1367</v>
      </c>
      <c r="F603" s="29" t="s">
        <v>234</v>
      </c>
      <c r="G603" s="29" t="s">
        <v>37</v>
      </c>
      <c r="H603" s="29" t="s">
        <v>64</v>
      </c>
      <c r="I603" s="29" t="s">
        <v>190</v>
      </c>
      <c r="J603" s="29" t="s">
        <v>191</v>
      </c>
      <c r="K603" s="29" t="s">
        <v>192</v>
      </c>
      <c r="L603" s="29" t="s">
        <v>29</v>
      </c>
      <c r="M603" s="29" t="n">
        <v>1209</v>
      </c>
      <c r="N603" s="29" t="n">
        <v>909</v>
      </c>
      <c r="O603" s="29"/>
      <c r="P603" s="30" t="n">
        <f aca="false">(M603*N603/1000000)*(INDEX(AreaRate_Vals,MATCH(C603,AreaRate_Keys,0))+IFERROR(INDEX(GlazingUpg_Vals,MATCH(H603,GlazingUpg_Keys,0)),0))+INDEX(Hardware_Vals,MATCH("Windows",Hardware_Keys,0))</f>
        <v>2777.6563</v>
      </c>
      <c r="Q603" s="31" t="n">
        <f aca="false">INDEX(Markup_Vals,MATCH("Windows",MarkupCat_Keys,0))</f>
        <v>0.42</v>
      </c>
      <c r="R603" s="32" t="n">
        <f aca="false">P603*(1+Q603)</f>
        <v>3944.271946</v>
      </c>
      <c r="S603" s="32" t="n">
        <f aca="false">R603*(1-TradeDiscount)</f>
        <v>3470.95931248</v>
      </c>
      <c r="T603" s="32" t="n">
        <f aca="false">R603*(1-VolumeDiscount)</f>
        <v>3155.4175568</v>
      </c>
    </row>
    <row r="604" customFormat="false" ht="15" hidden="false" customHeight="false" outlineLevel="0" collapsed="false">
      <c r="A604" s="25" t="s">
        <v>1423</v>
      </c>
      <c r="B604" s="25" t="s">
        <v>96</v>
      </c>
      <c r="C604" s="25" t="s">
        <v>46</v>
      </c>
      <c r="D604" s="25" t="s">
        <v>1424</v>
      </c>
      <c r="E604" s="25" t="s">
        <v>1367</v>
      </c>
      <c r="F604" s="25" t="s">
        <v>234</v>
      </c>
      <c r="G604" s="25" t="s">
        <v>39</v>
      </c>
      <c r="H604" s="25" t="s">
        <v>64</v>
      </c>
      <c r="I604" s="25" t="s">
        <v>190</v>
      </c>
      <c r="J604" s="25" t="s">
        <v>191</v>
      </c>
      <c r="K604" s="25" t="s">
        <v>192</v>
      </c>
      <c r="L604" s="25" t="s">
        <v>29</v>
      </c>
      <c r="M604" s="25" t="n">
        <v>1209</v>
      </c>
      <c r="N604" s="25" t="n">
        <v>909</v>
      </c>
      <c r="O604" s="25"/>
      <c r="P604" s="26" t="n">
        <f aca="false">(M604*N604/1000000)*(INDEX(AreaRate_Vals,MATCH(C604,AreaRate_Keys,0))+IFERROR(INDEX(GlazingUpg_Vals,MATCH(H604,GlazingUpg_Keys,0)),0))+INDEX(Hardware_Vals,MATCH("Windows",Hardware_Keys,0))</f>
        <v>2777.6563</v>
      </c>
      <c r="Q604" s="27" t="n">
        <f aca="false">INDEX(Markup_Vals,MATCH("Windows",MarkupCat_Keys,0))</f>
        <v>0.42</v>
      </c>
      <c r="R604" s="28" t="n">
        <f aca="false">P604*(1+Q604)</f>
        <v>3944.271946</v>
      </c>
      <c r="S604" s="28" t="n">
        <f aca="false">R604*(1-TradeDiscount)</f>
        <v>3470.95931248</v>
      </c>
      <c r="T604" s="28" t="n">
        <f aca="false">R604*(1-VolumeDiscount)</f>
        <v>3155.4175568</v>
      </c>
    </row>
    <row r="605" customFormat="false" ht="15" hidden="false" customHeight="false" outlineLevel="0" collapsed="false">
      <c r="A605" s="29" t="s">
        <v>1425</v>
      </c>
      <c r="B605" s="29" t="s">
        <v>96</v>
      </c>
      <c r="C605" s="29" t="s">
        <v>46</v>
      </c>
      <c r="D605" s="29" t="s">
        <v>1426</v>
      </c>
      <c r="E605" s="29" t="s">
        <v>1367</v>
      </c>
      <c r="F605" s="29" t="s">
        <v>234</v>
      </c>
      <c r="G605" s="29" t="s">
        <v>38</v>
      </c>
      <c r="H605" s="29" t="s">
        <v>64</v>
      </c>
      <c r="I605" s="29" t="s">
        <v>190</v>
      </c>
      <c r="J605" s="29" t="s">
        <v>191</v>
      </c>
      <c r="K605" s="29" t="s">
        <v>192</v>
      </c>
      <c r="L605" s="29" t="s">
        <v>29</v>
      </c>
      <c r="M605" s="29" t="n">
        <v>1209</v>
      </c>
      <c r="N605" s="29" t="n">
        <v>909</v>
      </c>
      <c r="O605" s="29"/>
      <c r="P605" s="30" t="n">
        <f aca="false">(M605*N605/1000000)*(INDEX(AreaRate_Vals,MATCH(C605,AreaRate_Keys,0))+IFERROR(INDEX(GlazingUpg_Vals,MATCH(H605,GlazingUpg_Keys,0)),0))+INDEX(Hardware_Vals,MATCH("Windows",Hardware_Keys,0))</f>
        <v>2777.6563</v>
      </c>
      <c r="Q605" s="31" t="n">
        <f aca="false">INDEX(Markup_Vals,MATCH("Windows",MarkupCat_Keys,0))</f>
        <v>0.42</v>
      </c>
      <c r="R605" s="32" t="n">
        <f aca="false">P605*(1+Q605)</f>
        <v>3944.271946</v>
      </c>
      <c r="S605" s="32" t="n">
        <f aca="false">R605*(1-TradeDiscount)</f>
        <v>3470.95931248</v>
      </c>
      <c r="T605" s="32" t="n">
        <f aca="false">R605*(1-VolumeDiscount)</f>
        <v>3155.4175568</v>
      </c>
    </row>
    <row r="606" customFormat="false" ht="15" hidden="false" customHeight="false" outlineLevel="0" collapsed="false">
      <c r="A606" s="25" t="s">
        <v>1427</v>
      </c>
      <c r="B606" s="25" t="s">
        <v>96</v>
      </c>
      <c r="C606" s="25" t="s">
        <v>46</v>
      </c>
      <c r="D606" s="25" t="s">
        <v>1428</v>
      </c>
      <c r="E606" s="25" t="s">
        <v>1367</v>
      </c>
      <c r="F606" s="25" t="s">
        <v>748</v>
      </c>
      <c r="G606" s="25" t="s">
        <v>35</v>
      </c>
      <c r="H606" s="25" t="s">
        <v>63</v>
      </c>
      <c r="I606" s="25" t="s">
        <v>190</v>
      </c>
      <c r="J606" s="25" t="s">
        <v>191</v>
      </c>
      <c r="K606" s="25" t="s">
        <v>192</v>
      </c>
      <c r="L606" s="25" t="s">
        <v>29</v>
      </c>
      <c r="M606" s="25" t="n">
        <v>1209</v>
      </c>
      <c r="N606" s="25" t="n">
        <v>1209</v>
      </c>
      <c r="O606" s="25"/>
      <c r="P606" s="26" t="n">
        <f aca="false">(M606*N606/1000000)*(INDEX(AreaRate_Vals,MATCH(C606,AreaRate_Keys,0))+IFERROR(INDEX(GlazingUpg_Vals,MATCH(H606,GlazingUpg_Keys,0)),0))+INDEX(Hardware_Vals,MATCH("Windows",Hardware_Keys,0))</f>
        <v>2807.94175</v>
      </c>
      <c r="Q606" s="27" t="n">
        <f aca="false">INDEX(Markup_Vals,MATCH("Windows",MarkupCat_Keys,0))</f>
        <v>0.42</v>
      </c>
      <c r="R606" s="28" t="n">
        <f aca="false">P606*(1+Q606)</f>
        <v>3987.277285</v>
      </c>
      <c r="S606" s="28" t="n">
        <f aca="false">R606*(1-TradeDiscount)</f>
        <v>3508.8040108</v>
      </c>
      <c r="T606" s="28" t="n">
        <f aca="false">R606*(1-VolumeDiscount)</f>
        <v>3189.821828</v>
      </c>
    </row>
    <row r="607" customFormat="false" ht="15" hidden="false" customHeight="false" outlineLevel="0" collapsed="false">
      <c r="A607" s="29" t="s">
        <v>1429</v>
      </c>
      <c r="B607" s="29" t="s">
        <v>96</v>
      </c>
      <c r="C607" s="29" t="s">
        <v>46</v>
      </c>
      <c r="D607" s="29" t="s">
        <v>1430</v>
      </c>
      <c r="E607" s="29" t="s">
        <v>1367</v>
      </c>
      <c r="F607" s="29" t="s">
        <v>748</v>
      </c>
      <c r="G607" s="29" t="s">
        <v>36</v>
      </c>
      <c r="H607" s="29" t="s">
        <v>63</v>
      </c>
      <c r="I607" s="29" t="s">
        <v>190</v>
      </c>
      <c r="J607" s="29" t="s">
        <v>191</v>
      </c>
      <c r="K607" s="29" t="s">
        <v>192</v>
      </c>
      <c r="L607" s="29" t="s">
        <v>29</v>
      </c>
      <c r="M607" s="29" t="n">
        <v>1209</v>
      </c>
      <c r="N607" s="29" t="n">
        <v>1209</v>
      </c>
      <c r="O607" s="29"/>
      <c r="P607" s="30" t="n">
        <f aca="false">(M607*N607/1000000)*(INDEX(AreaRate_Vals,MATCH(C607,AreaRate_Keys,0))+IFERROR(INDEX(GlazingUpg_Vals,MATCH(H607,GlazingUpg_Keys,0)),0))+INDEX(Hardware_Vals,MATCH("Windows",Hardware_Keys,0))</f>
        <v>2807.94175</v>
      </c>
      <c r="Q607" s="31" t="n">
        <f aca="false">INDEX(Markup_Vals,MATCH("Windows",MarkupCat_Keys,0))</f>
        <v>0.42</v>
      </c>
      <c r="R607" s="32" t="n">
        <f aca="false">P607*(1+Q607)</f>
        <v>3987.277285</v>
      </c>
      <c r="S607" s="32" t="n">
        <f aca="false">R607*(1-TradeDiscount)</f>
        <v>3508.8040108</v>
      </c>
      <c r="T607" s="32" t="n">
        <f aca="false">R607*(1-VolumeDiscount)</f>
        <v>3189.821828</v>
      </c>
    </row>
    <row r="608" customFormat="false" ht="15" hidden="false" customHeight="false" outlineLevel="0" collapsed="false">
      <c r="A608" s="25" t="s">
        <v>1431</v>
      </c>
      <c r="B608" s="25" t="s">
        <v>96</v>
      </c>
      <c r="C608" s="25" t="s">
        <v>46</v>
      </c>
      <c r="D608" s="25" t="s">
        <v>1432</v>
      </c>
      <c r="E608" s="25" t="s">
        <v>1367</v>
      </c>
      <c r="F608" s="25" t="s">
        <v>748</v>
      </c>
      <c r="G608" s="25" t="s">
        <v>37</v>
      </c>
      <c r="H608" s="25" t="s">
        <v>63</v>
      </c>
      <c r="I608" s="25" t="s">
        <v>190</v>
      </c>
      <c r="J608" s="25" t="s">
        <v>191</v>
      </c>
      <c r="K608" s="25" t="s">
        <v>192</v>
      </c>
      <c r="L608" s="25" t="s">
        <v>29</v>
      </c>
      <c r="M608" s="25" t="n">
        <v>1209</v>
      </c>
      <c r="N608" s="25" t="n">
        <v>1209</v>
      </c>
      <c r="O608" s="25"/>
      <c r="P608" s="26" t="n">
        <f aca="false">(M608*N608/1000000)*(INDEX(AreaRate_Vals,MATCH(C608,AreaRate_Keys,0))+IFERROR(INDEX(GlazingUpg_Vals,MATCH(H608,GlazingUpg_Keys,0)),0))+INDEX(Hardware_Vals,MATCH("Windows",Hardware_Keys,0))</f>
        <v>2807.94175</v>
      </c>
      <c r="Q608" s="27" t="n">
        <f aca="false">INDEX(Markup_Vals,MATCH("Windows",MarkupCat_Keys,0))</f>
        <v>0.42</v>
      </c>
      <c r="R608" s="28" t="n">
        <f aca="false">P608*(1+Q608)</f>
        <v>3987.277285</v>
      </c>
      <c r="S608" s="28" t="n">
        <f aca="false">R608*(1-TradeDiscount)</f>
        <v>3508.8040108</v>
      </c>
      <c r="T608" s="28" t="n">
        <f aca="false">R608*(1-VolumeDiscount)</f>
        <v>3189.821828</v>
      </c>
    </row>
    <row r="609" customFormat="false" ht="15" hidden="false" customHeight="false" outlineLevel="0" collapsed="false">
      <c r="A609" s="29" t="s">
        <v>1433</v>
      </c>
      <c r="B609" s="29" t="s">
        <v>96</v>
      </c>
      <c r="C609" s="29" t="s">
        <v>46</v>
      </c>
      <c r="D609" s="29" t="s">
        <v>1434</v>
      </c>
      <c r="E609" s="29" t="s">
        <v>1367</v>
      </c>
      <c r="F609" s="29" t="s">
        <v>748</v>
      </c>
      <c r="G609" s="29" t="s">
        <v>39</v>
      </c>
      <c r="H609" s="29" t="s">
        <v>63</v>
      </c>
      <c r="I609" s="29" t="s">
        <v>190</v>
      </c>
      <c r="J609" s="29" t="s">
        <v>191</v>
      </c>
      <c r="K609" s="29" t="s">
        <v>192</v>
      </c>
      <c r="L609" s="29" t="s">
        <v>29</v>
      </c>
      <c r="M609" s="29" t="n">
        <v>1209</v>
      </c>
      <c r="N609" s="29" t="n">
        <v>1209</v>
      </c>
      <c r="O609" s="29"/>
      <c r="P609" s="30" t="n">
        <f aca="false">(M609*N609/1000000)*(INDEX(AreaRate_Vals,MATCH(C609,AreaRate_Keys,0))+IFERROR(INDEX(GlazingUpg_Vals,MATCH(H609,GlazingUpg_Keys,0)),0))+INDEX(Hardware_Vals,MATCH("Windows",Hardware_Keys,0))</f>
        <v>2807.94175</v>
      </c>
      <c r="Q609" s="31" t="n">
        <f aca="false">INDEX(Markup_Vals,MATCH("Windows",MarkupCat_Keys,0))</f>
        <v>0.42</v>
      </c>
      <c r="R609" s="32" t="n">
        <f aca="false">P609*(1+Q609)</f>
        <v>3987.277285</v>
      </c>
      <c r="S609" s="32" t="n">
        <f aca="false">R609*(1-TradeDiscount)</f>
        <v>3508.8040108</v>
      </c>
      <c r="T609" s="32" t="n">
        <f aca="false">R609*(1-VolumeDiscount)</f>
        <v>3189.821828</v>
      </c>
    </row>
    <row r="610" customFormat="false" ht="15" hidden="false" customHeight="false" outlineLevel="0" collapsed="false">
      <c r="A610" s="25" t="s">
        <v>1435</v>
      </c>
      <c r="B610" s="25" t="s">
        <v>96</v>
      </c>
      <c r="C610" s="25" t="s">
        <v>46</v>
      </c>
      <c r="D610" s="25" t="s">
        <v>1436</v>
      </c>
      <c r="E610" s="25" t="s">
        <v>1367</v>
      </c>
      <c r="F610" s="25" t="s">
        <v>748</v>
      </c>
      <c r="G610" s="25" t="s">
        <v>38</v>
      </c>
      <c r="H610" s="25" t="s">
        <v>63</v>
      </c>
      <c r="I610" s="25" t="s">
        <v>190</v>
      </c>
      <c r="J610" s="25" t="s">
        <v>191</v>
      </c>
      <c r="K610" s="25" t="s">
        <v>192</v>
      </c>
      <c r="L610" s="25" t="s">
        <v>29</v>
      </c>
      <c r="M610" s="25" t="n">
        <v>1209</v>
      </c>
      <c r="N610" s="25" t="n">
        <v>1209</v>
      </c>
      <c r="O610" s="25"/>
      <c r="P610" s="26" t="n">
        <f aca="false">(M610*N610/1000000)*(INDEX(AreaRate_Vals,MATCH(C610,AreaRate_Keys,0))+IFERROR(INDEX(GlazingUpg_Vals,MATCH(H610,GlazingUpg_Keys,0)),0))+INDEX(Hardware_Vals,MATCH("Windows",Hardware_Keys,0))</f>
        <v>2807.94175</v>
      </c>
      <c r="Q610" s="27" t="n">
        <f aca="false">INDEX(Markup_Vals,MATCH("Windows",MarkupCat_Keys,0))</f>
        <v>0.42</v>
      </c>
      <c r="R610" s="28" t="n">
        <f aca="false">P610*(1+Q610)</f>
        <v>3987.277285</v>
      </c>
      <c r="S610" s="28" t="n">
        <f aca="false">R610*(1-TradeDiscount)</f>
        <v>3508.8040108</v>
      </c>
      <c r="T610" s="28" t="n">
        <f aca="false">R610*(1-VolumeDiscount)</f>
        <v>3189.821828</v>
      </c>
    </row>
    <row r="611" customFormat="false" ht="15" hidden="false" customHeight="false" outlineLevel="0" collapsed="false">
      <c r="A611" s="29" t="s">
        <v>1437</v>
      </c>
      <c r="B611" s="29" t="s">
        <v>96</v>
      </c>
      <c r="C611" s="29" t="s">
        <v>46</v>
      </c>
      <c r="D611" s="29" t="s">
        <v>1438</v>
      </c>
      <c r="E611" s="29" t="s">
        <v>1367</v>
      </c>
      <c r="F611" s="29" t="s">
        <v>748</v>
      </c>
      <c r="G611" s="29" t="s">
        <v>35</v>
      </c>
      <c r="H611" s="29" t="s">
        <v>64</v>
      </c>
      <c r="I611" s="29" t="s">
        <v>190</v>
      </c>
      <c r="J611" s="29" t="s">
        <v>191</v>
      </c>
      <c r="K611" s="29" t="s">
        <v>192</v>
      </c>
      <c r="L611" s="29" t="s">
        <v>29</v>
      </c>
      <c r="M611" s="29" t="n">
        <v>1209</v>
      </c>
      <c r="N611" s="29" t="n">
        <v>1209</v>
      </c>
      <c r="O611" s="29"/>
      <c r="P611" s="30" t="n">
        <f aca="false">(M611*N611/1000000)*(INDEX(AreaRate_Vals,MATCH(C611,AreaRate_Keys,0))+IFERROR(INDEX(GlazingUpg_Vals,MATCH(H611,GlazingUpg_Keys,0)),0))+INDEX(Hardware_Vals,MATCH("Windows",Hardware_Keys,0))</f>
        <v>3611.8663</v>
      </c>
      <c r="Q611" s="31" t="n">
        <f aca="false">INDEX(Markup_Vals,MATCH("Windows",MarkupCat_Keys,0))</f>
        <v>0.42</v>
      </c>
      <c r="R611" s="32" t="n">
        <f aca="false">P611*(1+Q611)</f>
        <v>5128.850146</v>
      </c>
      <c r="S611" s="32" t="n">
        <f aca="false">R611*(1-TradeDiscount)</f>
        <v>4513.38812848</v>
      </c>
      <c r="T611" s="32" t="n">
        <f aca="false">R611*(1-VolumeDiscount)</f>
        <v>4103.0801168</v>
      </c>
    </row>
    <row r="612" customFormat="false" ht="15" hidden="false" customHeight="false" outlineLevel="0" collapsed="false">
      <c r="A612" s="25" t="s">
        <v>1439</v>
      </c>
      <c r="B612" s="25" t="s">
        <v>96</v>
      </c>
      <c r="C612" s="25" t="s">
        <v>46</v>
      </c>
      <c r="D612" s="25" t="s">
        <v>1440</v>
      </c>
      <c r="E612" s="25" t="s">
        <v>1367</v>
      </c>
      <c r="F612" s="25" t="s">
        <v>748</v>
      </c>
      <c r="G612" s="25" t="s">
        <v>36</v>
      </c>
      <c r="H612" s="25" t="s">
        <v>64</v>
      </c>
      <c r="I612" s="25" t="s">
        <v>190</v>
      </c>
      <c r="J612" s="25" t="s">
        <v>191</v>
      </c>
      <c r="K612" s="25" t="s">
        <v>192</v>
      </c>
      <c r="L612" s="25" t="s">
        <v>29</v>
      </c>
      <c r="M612" s="25" t="n">
        <v>1209</v>
      </c>
      <c r="N612" s="25" t="n">
        <v>1209</v>
      </c>
      <c r="O612" s="25"/>
      <c r="P612" s="26" t="n">
        <f aca="false">(M612*N612/1000000)*(INDEX(AreaRate_Vals,MATCH(C612,AreaRate_Keys,0))+IFERROR(INDEX(GlazingUpg_Vals,MATCH(H612,GlazingUpg_Keys,0)),0))+INDEX(Hardware_Vals,MATCH("Windows",Hardware_Keys,0))</f>
        <v>3611.8663</v>
      </c>
      <c r="Q612" s="27" t="n">
        <f aca="false">INDEX(Markup_Vals,MATCH("Windows",MarkupCat_Keys,0))</f>
        <v>0.42</v>
      </c>
      <c r="R612" s="28" t="n">
        <f aca="false">P612*(1+Q612)</f>
        <v>5128.850146</v>
      </c>
      <c r="S612" s="28" t="n">
        <f aca="false">R612*(1-TradeDiscount)</f>
        <v>4513.38812848</v>
      </c>
      <c r="T612" s="28" t="n">
        <f aca="false">R612*(1-VolumeDiscount)</f>
        <v>4103.0801168</v>
      </c>
    </row>
    <row r="613" customFormat="false" ht="15" hidden="false" customHeight="false" outlineLevel="0" collapsed="false">
      <c r="A613" s="29" t="s">
        <v>1441</v>
      </c>
      <c r="B613" s="29" t="s">
        <v>96</v>
      </c>
      <c r="C613" s="29" t="s">
        <v>46</v>
      </c>
      <c r="D613" s="29" t="s">
        <v>1442</v>
      </c>
      <c r="E613" s="29" t="s">
        <v>1367</v>
      </c>
      <c r="F613" s="29" t="s">
        <v>748</v>
      </c>
      <c r="G613" s="29" t="s">
        <v>37</v>
      </c>
      <c r="H613" s="29" t="s">
        <v>64</v>
      </c>
      <c r="I613" s="29" t="s">
        <v>190</v>
      </c>
      <c r="J613" s="29" t="s">
        <v>191</v>
      </c>
      <c r="K613" s="29" t="s">
        <v>192</v>
      </c>
      <c r="L613" s="29" t="s">
        <v>29</v>
      </c>
      <c r="M613" s="29" t="n">
        <v>1209</v>
      </c>
      <c r="N613" s="29" t="n">
        <v>1209</v>
      </c>
      <c r="O613" s="29"/>
      <c r="P613" s="30" t="n">
        <f aca="false">(M613*N613/1000000)*(INDEX(AreaRate_Vals,MATCH(C613,AreaRate_Keys,0))+IFERROR(INDEX(GlazingUpg_Vals,MATCH(H613,GlazingUpg_Keys,0)),0))+INDEX(Hardware_Vals,MATCH("Windows",Hardware_Keys,0))</f>
        <v>3611.8663</v>
      </c>
      <c r="Q613" s="31" t="n">
        <f aca="false">INDEX(Markup_Vals,MATCH("Windows",MarkupCat_Keys,0))</f>
        <v>0.42</v>
      </c>
      <c r="R613" s="32" t="n">
        <f aca="false">P613*(1+Q613)</f>
        <v>5128.850146</v>
      </c>
      <c r="S613" s="32" t="n">
        <f aca="false">R613*(1-TradeDiscount)</f>
        <v>4513.38812848</v>
      </c>
      <c r="T613" s="32" t="n">
        <f aca="false">R613*(1-VolumeDiscount)</f>
        <v>4103.0801168</v>
      </c>
    </row>
    <row r="614" customFormat="false" ht="15" hidden="false" customHeight="false" outlineLevel="0" collapsed="false">
      <c r="A614" s="25" t="s">
        <v>1443</v>
      </c>
      <c r="B614" s="25" t="s">
        <v>96</v>
      </c>
      <c r="C614" s="25" t="s">
        <v>46</v>
      </c>
      <c r="D614" s="25" t="s">
        <v>1444</v>
      </c>
      <c r="E614" s="25" t="s">
        <v>1367</v>
      </c>
      <c r="F614" s="25" t="s">
        <v>748</v>
      </c>
      <c r="G614" s="25" t="s">
        <v>39</v>
      </c>
      <c r="H614" s="25" t="s">
        <v>64</v>
      </c>
      <c r="I614" s="25" t="s">
        <v>190</v>
      </c>
      <c r="J614" s="25" t="s">
        <v>191</v>
      </c>
      <c r="K614" s="25" t="s">
        <v>192</v>
      </c>
      <c r="L614" s="25" t="s">
        <v>29</v>
      </c>
      <c r="M614" s="25" t="n">
        <v>1209</v>
      </c>
      <c r="N614" s="25" t="n">
        <v>1209</v>
      </c>
      <c r="O614" s="25"/>
      <c r="P614" s="26" t="n">
        <f aca="false">(M614*N614/1000000)*(INDEX(AreaRate_Vals,MATCH(C614,AreaRate_Keys,0))+IFERROR(INDEX(GlazingUpg_Vals,MATCH(H614,GlazingUpg_Keys,0)),0))+INDEX(Hardware_Vals,MATCH("Windows",Hardware_Keys,0))</f>
        <v>3611.8663</v>
      </c>
      <c r="Q614" s="27" t="n">
        <f aca="false">INDEX(Markup_Vals,MATCH("Windows",MarkupCat_Keys,0))</f>
        <v>0.42</v>
      </c>
      <c r="R614" s="28" t="n">
        <f aca="false">P614*(1+Q614)</f>
        <v>5128.850146</v>
      </c>
      <c r="S614" s="28" t="n">
        <f aca="false">R614*(1-TradeDiscount)</f>
        <v>4513.38812848</v>
      </c>
      <c r="T614" s="28" t="n">
        <f aca="false">R614*(1-VolumeDiscount)</f>
        <v>4103.0801168</v>
      </c>
    </row>
    <row r="615" customFormat="false" ht="15" hidden="false" customHeight="false" outlineLevel="0" collapsed="false">
      <c r="A615" s="29" t="s">
        <v>1445</v>
      </c>
      <c r="B615" s="29" t="s">
        <v>96</v>
      </c>
      <c r="C615" s="29" t="s">
        <v>46</v>
      </c>
      <c r="D615" s="29" t="s">
        <v>1446</v>
      </c>
      <c r="E615" s="29" t="s">
        <v>1367</v>
      </c>
      <c r="F615" s="29" t="s">
        <v>748</v>
      </c>
      <c r="G615" s="29" t="s">
        <v>38</v>
      </c>
      <c r="H615" s="29" t="s">
        <v>64</v>
      </c>
      <c r="I615" s="29" t="s">
        <v>190</v>
      </c>
      <c r="J615" s="29" t="s">
        <v>191</v>
      </c>
      <c r="K615" s="29" t="s">
        <v>192</v>
      </c>
      <c r="L615" s="29" t="s">
        <v>29</v>
      </c>
      <c r="M615" s="29" t="n">
        <v>1209</v>
      </c>
      <c r="N615" s="29" t="n">
        <v>1209</v>
      </c>
      <c r="O615" s="29"/>
      <c r="P615" s="30" t="n">
        <f aca="false">(M615*N615/1000000)*(INDEX(AreaRate_Vals,MATCH(C615,AreaRate_Keys,0))+IFERROR(INDEX(GlazingUpg_Vals,MATCH(H615,GlazingUpg_Keys,0)),0))+INDEX(Hardware_Vals,MATCH("Windows",Hardware_Keys,0))</f>
        <v>3611.8663</v>
      </c>
      <c r="Q615" s="31" t="n">
        <f aca="false">INDEX(Markup_Vals,MATCH("Windows",MarkupCat_Keys,0))</f>
        <v>0.42</v>
      </c>
      <c r="R615" s="32" t="n">
        <f aca="false">P615*(1+Q615)</f>
        <v>5128.850146</v>
      </c>
      <c r="S615" s="32" t="n">
        <f aca="false">R615*(1-TradeDiscount)</f>
        <v>4513.38812848</v>
      </c>
      <c r="T615" s="32" t="n">
        <f aca="false">R615*(1-VolumeDiscount)</f>
        <v>4103.0801168</v>
      </c>
    </row>
    <row r="616" customFormat="false" ht="15" hidden="false" customHeight="false" outlineLevel="0" collapsed="false">
      <c r="A616" s="25" t="s">
        <v>1447</v>
      </c>
      <c r="B616" s="25" t="s">
        <v>96</v>
      </c>
      <c r="C616" s="25" t="s">
        <v>46</v>
      </c>
      <c r="D616" s="25" t="s">
        <v>1448</v>
      </c>
      <c r="E616" s="25" t="s">
        <v>1367</v>
      </c>
      <c r="F616" s="25" t="s">
        <v>276</v>
      </c>
      <c r="G616" s="25" t="s">
        <v>35</v>
      </c>
      <c r="H616" s="25" t="s">
        <v>63</v>
      </c>
      <c r="I616" s="25" t="s">
        <v>190</v>
      </c>
      <c r="J616" s="25" t="s">
        <v>191</v>
      </c>
      <c r="K616" s="25" t="s">
        <v>192</v>
      </c>
      <c r="L616" s="25" t="s">
        <v>29</v>
      </c>
      <c r="M616" s="25" t="n">
        <v>1809</v>
      </c>
      <c r="N616" s="25" t="n">
        <v>1209</v>
      </c>
      <c r="O616" s="25"/>
      <c r="P616" s="26" t="n">
        <f aca="false">(M616*N616/1000000)*(INDEX(AreaRate_Vals,MATCH(C616,AreaRate_Keys,0))+IFERROR(INDEX(GlazingUpg_Vals,MATCH(H616,GlazingUpg_Keys,0)),0))+INDEX(Hardware_Vals,MATCH("Windows",Hardware_Keys,0))</f>
        <v>4077.39175</v>
      </c>
      <c r="Q616" s="27" t="n">
        <f aca="false">INDEX(Markup_Vals,MATCH("Windows",MarkupCat_Keys,0))</f>
        <v>0.42</v>
      </c>
      <c r="R616" s="28" t="n">
        <f aca="false">P616*(1+Q616)</f>
        <v>5789.896285</v>
      </c>
      <c r="S616" s="28" t="n">
        <f aca="false">R616*(1-TradeDiscount)</f>
        <v>5095.1087308</v>
      </c>
      <c r="T616" s="28" t="n">
        <f aca="false">R616*(1-VolumeDiscount)</f>
        <v>4631.917028</v>
      </c>
    </row>
    <row r="617" customFormat="false" ht="15" hidden="false" customHeight="false" outlineLevel="0" collapsed="false">
      <c r="A617" s="29" t="s">
        <v>1449</v>
      </c>
      <c r="B617" s="29" t="s">
        <v>96</v>
      </c>
      <c r="C617" s="29" t="s">
        <v>46</v>
      </c>
      <c r="D617" s="29" t="s">
        <v>1450</v>
      </c>
      <c r="E617" s="29" t="s">
        <v>1367</v>
      </c>
      <c r="F617" s="29" t="s">
        <v>276</v>
      </c>
      <c r="G617" s="29" t="s">
        <v>36</v>
      </c>
      <c r="H617" s="29" t="s">
        <v>63</v>
      </c>
      <c r="I617" s="29" t="s">
        <v>190</v>
      </c>
      <c r="J617" s="29" t="s">
        <v>191</v>
      </c>
      <c r="K617" s="29" t="s">
        <v>192</v>
      </c>
      <c r="L617" s="29" t="s">
        <v>29</v>
      </c>
      <c r="M617" s="29" t="n">
        <v>1809</v>
      </c>
      <c r="N617" s="29" t="n">
        <v>1209</v>
      </c>
      <c r="O617" s="29"/>
      <c r="P617" s="30" t="n">
        <f aca="false">(M617*N617/1000000)*(INDEX(AreaRate_Vals,MATCH(C617,AreaRate_Keys,0))+IFERROR(INDEX(GlazingUpg_Vals,MATCH(H617,GlazingUpg_Keys,0)),0))+INDEX(Hardware_Vals,MATCH("Windows",Hardware_Keys,0))</f>
        <v>4077.39175</v>
      </c>
      <c r="Q617" s="31" t="n">
        <f aca="false">INDEX(Markup_Vals,MATCH("Windows",MarkupCat_Keys,0))</f>
        <v>0.42</v>
      </c>
      <c r="R617" s="32" t="n">
        <f aca="false">P617*(1+Q617)</f>
        <v>5789.896285</v>
      </c>
      <c r="S617" s="32" t="n">
        <f aca="false">R617*(1-TradeDiscount)</f>
        <v>5095.1087308</v>
      </c>
      <c r="T617" s="32" t="n">
        <f aca="false">R617*(1-VolumeDiscount)</f>
        <v>4631.917028</v>
      </c>
    </row>
    <row r="618" customFormat="false" ht="15" hidden="false" customHeight="false" outlineLevel="0" collapsed="false">
      <c r="A618" s="25" t="s">
        <v>1451</v>
      </c>
      <c r="B618" s="25" t="s">
        <v>96</v>
      </c>
      <c r="C618" s="25" t="s">
        <v>46</v>
      </c>
      <c r="D618" s="25" t="s">
        <v>1452</v>
      </c>
      <c r="E618" s="25" t="s">
        <v>1367</v>
      </c>
      <c r="F618" s="25" t="s">
        <v>276</v>
      </c>
      <c r="G618" s="25" t="s">
        <v>37</v>
      </c>
      <c r="H618" s="25" t="s">
        <v>63</v>
      </c>
      <c r="I618" s="25" t="s">
        <v>190</v>
      </c>
      <c r="J618" s="25" t="s">
        <v>191</v>
      </c>
      <c r="K618" s="25" t="s">
        <v>192</v>
      </c>
      <c r="L618" s="25" t="s">
        <v>29</v>
      </c>
      <c r="M618" s="25" t="n">
        <v>1809</v>
      </c>
      <c r="N618" s="25" t="n">
        <v>1209</v>
      </c>
      <c r="O618" s="25"/>
      <c r="P618" s="26" t="n">
        <f aca="false">(M618*N618/1000000)*(INDEX(AreaRate_Vals,MATCH(C618,AreaRate_Keys,0))+IFERROR(INDEX(GlazingUpg_Vals,MATCH(H618,GlazingUpg_Keys,0)),0))+INDEX(Hardware_Vals,MATCH("Windows",Hardware_Keys,0))</f>
        <v>4077.39175</v>
      </c>
      <c r="Q618" s="27" t="n">
        <f aca="false">INDEX(Markup_Vals,MATCH("Windows",MarkupCat_Keys,0))</f>
        <v>0.42</v>
      </c>
      <c r="R618" s="28" t="n">
        <f aca="false">P618*(1+Q618)</f>
        <v>5789.896285</v>
      </c>
      <c r="S618" s="28" t="n">
        <f aca="false">R618*(1-TradeDiscount)</f>
        <v>5095.1087308</v>
      </c>
      <c r="T618" s="28" t="n">
        <f aca="false">R618*(1-VolumeDiscount)</f>
        <v>4631.917028</v>
      </c>
    </row>
    <row r="619" customFormat="false" ht="15" hidden="false" customHeight="false" outlineLevel="0" collapsed="false">
      <c r="A619" s="29" t="s">
        <v>1453</v>
      </c>
      <c r="B619" s="29" t="s">
        <v>96</v>
      </c>
      <c r="C619" s="29" t="s">
        <v>46</v>
      </c>
      <c r="D619" s="29" t="s">
        <v>1454</v>
      </c>
      <c r="E619" s="29" t="s">
        <v>1367</v>
      </c>
      <c r="F619" s="29" t="s">
        <v>276</v>
      </c>
      <c r="G619" s="29" t="s">
        <v>39</v>
      </c>
      <c r="H619" s="29" t="s">
        <v>63</v>
      </c>
      <c r="I619" s="29" t="s">
        <v>190</v>
      </c>
      <c r="J619" s="29" t="s">
        <v>191</v>
      </c>
      <c r="K619" s="29" t="s">
        <v>192</v>
      </c>
      <c r="L619" s="29" t="s">
        <v>29</v>
      </c>
      <c r="M619" s="29" t="n">
        <v>1809</v>
      </c>
      <c r="N619" s="29" t="n">
        <v>1209</v>
      </c>
      <c r="O619" s="29"/>
      <c r="P619" s="30" t="n">
        <f aca="false">(M619*N619/1000000)*(INDEX(AreaRate_Vals,MATCH(C619,AreaRate_Keys,0))+IFERROR(INDEX(GlazingUpg_Vals,MATCH(H619,GlazingUpg_Keys,0)),0))+INDEX(Hardware_Vals,MATCH("Windows",Hardware_Keys,0))</f>
        <v>4077.39175</v>
      </c>
      <c r="Q619" s="31" t="n">
        <f aca="false">INDEX(Markup_Vals,MATCH("Windows",MarkupCat_Keys,0))</f>
        <v>0.42</v>
      </c>
      <c r="R619" s="32" t="n">
        <f aca="false">P619*(1+Q619)</f>
        <v>5789.896285</v>
      </c>
      <c r="S619" s="32" t="n">
        <f aca="false">R619*(1-TradeDiscount)</f>
        <v>5095.1087308</v>
      </c>
      <c r="T619" s="32" t="n">
        <f aca="false">R619*(1-VolumeDiscount)</f>
        <v>4631.917028</v>
      </c>
    </row>
    <row r="620" customFormat="false" ht="15" hidden="false" customHeight="false" outlineLevel="0" collapsed="false">
      <c r="A620" s="25" t="s">
        <v>1455</v>
      </c>
      <c r="B620" s="25" t="s">
        <v>96</v>
      </c>
      <c r="C620" s="25" t="s">
        <v>46</v>
      </c>
      <c r="D620" s="25" t="s">
        <v>1456</v>
      </c>
      <c r="E620" s="25" t="s">
        <v>1367</v>
      </c>
      <c r="F620" s="25" t="s">
        <v>276</v>
      </c>
      <c r="G620" s="25" t="s">
        <v>38</v>
      </c>
      <c r="H620" s="25" t="s">
        <v>63</v>
      </c>
      <c r="I620" s="25" t="s">
        <v>190</v>
      </c>
      <c r="J620" s="25" t="s">
        <v>191</v>
      </c>
      <c r="K620" s="25" t="s">
        <v>192</v>
      </c>
      <c r="L620" s="25" t="s">
        <v>29</v>
      </c>
      <c r="M620" s="25" t="n">
        <v>1809</v>
      </c>
      <c r="N620" s="25" t="n">
        <v>1209</v>
      </c>
      <c r="O620" s="25"/>
      <c r="P620" s="26" t="n">
        <f aca="false">(M620*N620/1000000)*(INDEX(AreaRate_Vals,MATCH(C620,AreaRate_Keys,0))+IFERROR(INDEX(GlazingUpg_Vals,MATCH(H620,GlazingUpg_Keys,0)),0))+INDEX(Hardware_Vals,MATCH("Windows",Hardware_Keys,0))</f>
        <v>4077.39175</v>
      </c>
      <c r="Q620" s="27" t="n">
        <f aca="false">INDEX(Markup_Vals,MATCH("Windows",MarkupCat_Keys,0))</f>
        <v>0.42</v>
      </c>
      <c r="R620" s="28" t="n">
        <f aca="false">P620*(1+Q620)</f>
        <v>5789.896285</v>
      </c>
      <c r="S620" s="28" t="n">
        <f aca="false">R620*(1-TradeDiscount)</f>
        <v>5095.1087308</v>
      </c>
      <c r="T620" s="28" t="n">
        <f aca="false">R620*(1-VolumeDiscount)</f>
        <v>4631.917028</v>
      </c>
    </row>
    <row r="621" customFormat="false" ht="15" hidden="false" customHeight="false" outlineLevel="0" collapsed="false">
      <c r="A621" s="29" t="s">
        <v>1457</v>
      </c>
      <c r="B621" s="29" t="s">
        <v>96</v>
      </c>
      <c r="C621" s="29" t="s">
        <v>46</v>
      </c>
      <c r="D621" s="29" t="s">
        <v>1458</v>
      </c>
      <c r="E621" s="29" t="s">
        <v>1367</v>
      </c>
      <c r="F621" s="29" t="s">
        <v>276</v>
      </c>
      <c r="G621" s="29" t="s">
        <v>35</v>
      </c>
      <c r="H621" s="29" t="s">
        <v>64</v>
      </c>
      <c r="I621" s="29" t="s">
        <v>190</v>
      </c>
      <c r="J621" s="29" t="s">
        <v>191</v>
      </c>
      <c r="K621" s="29" t="s">
        <v>192</v>
      </c>
      <c r="L621" s="29" t="s">
        <v>29</v>
      </c>
      <c r="M621" s="29" t="n">
        <v>1809</v>
      </c>
      <c r="N621" s="29" t="n">
        <v>1209</v>
      </c>
      <c r="O621" s="29"/>
      <c r="P621" s="30" t="n">
        <f aca="false">(M621*N621/1000000)*(INDEX(AreaRate_Vals,MATCH(C621,AreaRate_Keys,0))+IFERROR(INDEX(GlazingUpg_Vals,MATCH(H621,GlazingUpg_Keys,0)),0))+INDEX(Hardware_Vals,MATCH("Windows",Hardware_Keys,0))</f>
        <v>5280.2863</v>
      </c>
      <c r="Q621" s="31" t="n">
        <f aca="false">INDEX(Markup_Vals,MATCH("Windows",MarkupCat_Keys,0))</f>
        <v>0.42</v>
      </c>
      <c r="R621" s="32" t="n">
        <f aca="false">P621*(1+Q621)</f>
        <v>7498.006546</v>
      </c>
      <c r="S621" s="32" t="n">
        <f aca="false">R621*(1-TradeDiscount)</f>
        <v>6598.24576048</v>
      </c>
      <c r="T621" s="32" t="n">
        <f aca="false">R621*(1-VolumeDiscount)</f>
        <v>5998.4052368</v>
      </c>
    </row>
    <row r="622" customFormat="false" ht="15" hidden="false" customHeight="false" outlineLevel="0" collapsed="false">
      <c r="A622" s="25" t="s">
        <v>1459</v>
      </c>
      <c r="B622" s="25" t="s">
        <v>96</v>
      </c>
      <c r="C622" s="25" t="s">
        <v>46</v>
      </c>
      <c r="D622" s="25" t="s">
        <v>1460</v>
      </c>
      <c r="E622" s="25" t="s">
        <v>1367</v>
      </c>
      <c r="F622" s="25" t="s">
        <v>276</v>
      </c>
      <c r="G622" s="25" t="s">
        <v>36</v>
      </c>
      <c r="H622" s="25" t="s">
        <v>64</v>
      </c>
      <c r="I622" s="25" t="s">
        <v>190</v>
      </c>
      <c r="J622" s="25" t="s">
        <v>191</v>
      </c>
      <c r="K622" s="25" t="s">
        <v>192</v>
      </c>
      <c r="L622" s="25" t="s">
        <v>29</v>
      </c>
      <c r="M622" s="25" t="n">
        <v>1809</v>
      </c>
      <c r="N622" s="25" t="n">
        <v>1209</v>
      </c>
      <c r="O622" s="25"/>
      <c r="P622" s="26" t="n">
        <f aca="false">(M622*N622/1000000)*(INDEX(AreaRate_Vals,MATCH(C622,AreaRate_Keys,0))+IFERROR(INDEX(GlazingUpg_Vals,MATCH(H622,GlazingUpg_Keys,0)),0))+INDEX(Hardware_Vals,MATCH("Windows",Hardware_Keys,0))</f>
        <v>5280.2863</v>
      </c>
      <c r="Q622" s="27" t="n">
        <f aca="false">INDEX(Markup_Vals,MATCH("Windows",MarkupCat_Keys,0))</f>
        <v>0.42</v>
      </c>
      <c r="R622" s="28" t="n">
        <f aca="false">P622*(1+Q622)</f>
        <v>7498.006546</v>
      </c>
      <c r="S622" s="28" t="n">
        <f aca="false">R622*(1-TradeDiscount)</f>
        <v>6598.24576048</v>
      </c>
      <c r="T622" s="28" t="n">
        <f aca="false">R622*(1-VolumeDiscount)</f>
        <v>5998.4052368</v>
      </c>
    </row>
    <row r="623" customFormat="false" ht="15" hidden="false" customHeight="false" outlineLevel="0" collapsed="false">
      <c r="A623" s="29" t="s">
        <v>1461</v>
      </c>
      <c r="B623" s="29" t="s">
        <v>96</v>
      </c>
      <c r="C623" s="29" t="s">
        <v>46</v>
      </c>
      <c r="D623" s="29" t="s">
        <v>1462</v>
      </c>
      <c r="E623" s="29" t="s">
        <v>1367</v>
      </c>
      <c r="F623" s="29" t="s">
        <v>276</v>
      </c>
      <c r="G623" s="29" t="s">
        <v>37</v>
      </c>
      <c r="H623" s="29" t="s">
        <v>64</v>
      </c>
      <c r="I623" s="29" t="s">
        <v>190</v>
      </c>
      <c r="J623" s="29" t="s">
        <v>191</v>
      </c>
      <c r="K623" s="29" t="s">
        <v>192</v>
      </c>
      <c r="L623" s="29" t="s">
        <v>29</v>
      </c>
      <c r="M623" s="29" t="n">
        <v>1809</v>
      </c>
      <c r="N623" s="29" t="n">
        <v>1209</v>
      </c>
      <c r="O623" s="29"/>
      <c r="P623" s="30" t="n">
        <f aca="false">(M623*N623/1000000)*(INDEX(AreaRate_Vals,MATCH(C623,AreaRate_Keys,0))+IFERROR(INDEX(GlazingUpg_Vals,MATCH(H623,GlazingUpg_Keys,0)),0))+INDEX(Hardware_Vals,MATCH("Windows",Hardware_Keys,0))</f>
        <v>5280.2863</v>
      </c>
      <c r="Q623" s="31" t="n">
        <f aca="false">INDEX(Markup_Vals,MATCH("Windows",MarkupCat_Keys,0))</f>
        <v>0.42</v>
      </c>
      <c r="R623" s="32" t="n">
        <f aca="false">P623*(1+Q623)</f>
        <v>7498.006546</v>
      </c>
      <c r="S623" s="32" t="n">
        <f aca="false">R623*(1-TradeDiscount)</f>
        <v>6598.24576048</v>
      </c>
      <c r="T623" s="32" t="n">
        <f aca="false">R623*(1-VolumeDiscount)</f>
        <v>5998.4052368</v>
      </c>
    </row>
    <row r="624" customFormat="false" ht="15" hidden="false" customHeight="false" outlineLevel="0" collapsed="false">
      <c r="A624" s="25" t="s">
        <v>1463</v>
      </c>
      <c r="B624" s="25" t="s">
        <v>96</v>
      </c>
      <c r="C624" s="25" t="s">
        <v>46</v>
      </c>
      <c r="D624" s="25" t="s">
        <v>1464</v>
      </c>
      <c r="E624" s="25" t="s">
        <v>1367</v>
      </c>
      <c r="F624" s="25" t="s">
        <v>276</v>
      </c>
      <c r="G624" s="25" t="s">
        <v>39</v>
      </c>
      <c r="H624" s="25" t="s">
        <v>64</v>
      </c>
      <c r="I624" s="25" t="s">
        <v>190</v>
      </c>
      <c r="J624" s="25" t="s">
        <v>191</v>
      </c>
      <c r="K624" s="25" t="s">
        <v>192</v>
      </c>
      <c r="L624" s="25" t="s">
        <v>29</v>
      </c>
      <c r="M624" s="25" t="n">
        <v>1809</v>
      </c>
      <c r="N624" s="25" t="n">
        <v>1209</v>
      </c>
      <c r="O624" s="25"/>
      <c r="P624" s="26" t="n">
        <f aca="false">(M624*N624/1000000)*(INDEX(AreaRate_Vals,MATCH(C624,AreaRate_Keys,0))+IFERROR(INDEX(GlazingUpg_Vals,MATCH(H624,GlazingUpg_Keys,0)),0))+INDEX(Hardware_Vals,MATCH("Windows",Hardware_Keys,0))</f>
        <v>5280.2863</v>
      </c>
      <c r="Q624" s="27" t="n">
        <f aca="false">INDEX(Markup_Vals,MATCH("Windows",MarkupCat_Keys,0))</f>
        <v>0.42</v>
      </c>
      <c r="R624" s="28" t="n">
        <f aca="false">P624*(1+Q624)</f>
        <v>7498.006546</v>
      </c>
      <c r="S624" s="28" t="n">
        <f aca="false">R624*(1-TradeDiscount)</f>
        <v>6598.24576048</v>
      </c>
      <c r="T624" s="28" t="n">
        <f aca="false">R624*(1-VolumeDiscount)</f>
        <v>5998.4052368</v>
      </c>
    </row>
    <row r="625" customFormat="false" ht="15" hidden="false" customHeight="false" outlineLevel="0" collapsed="false">
      <c r="A625" s="29" t="s">
        <v>1465</v>
      </c>
      <c r="B625" s="29" t="s">
        <v>96</v>
      </c>
      <c r="C625" s="29" t="s">
        <v>46</v>
      </c>
      <c r="D625" s="29" t="s">
        <v>1466</v>
      </c>
      <c r="E625" s="29" t="s">
        <v>1367</v>
      </c>
      <c r="F625" s="29" t="s">
        <v>276</v>
      </c>
      <c r="G625" s="29" t="s">
        <v>38</v>
      </c>
      <c r="H625" s="29" t="s">
        <v>64</v>
      </c>
      <c r="I625" s="29" t="s">
        <v>190</v>
      </c>
      <c r="J625" s="29" t="s">
        <v>191</v>
      </c>
      <c r="K625" s="29" t="s">
        <v>192</v>
      </c>
      <c r="L625" s="29" t="s">
        <v>29</v>
      </c>
      <c r="M625" s="29" t="n">
        <v>1809</v>
      </c>
      <c r="N625" s="29" t="n">
        <v>1209</v>
      </c>
      <c r="O625" s="29"/>
      <c r="P625" s="30" t="n">
        <f aca="false">(M625*N625/1000000)*(INDEX(AreaRate_Vals,MATCH(C625,AreaRate_Keys,0))+IFERROR(INDEX(GlazingUpg_Vals,MATCH(H625,GlazingUpg_Keys,0)),0))+INDEX(Hardware_Vals,MATCH("Windows",Hardware_Keys,0))</f>
        <v>5280.2863</v>
      </c>
      <c r="Q625" s="31" t="n">
        <f aca="false">INDEX(Markup_Vals,MATCH("Windows",MarkupCat_Keys,0))</f>
        <v>0.42</v>
      </c>
      <c r="R625" s="32" t="n">
        <f aca="false">P625*(1+Q625)</f>
        <v>7498.006546</v>
      </c>
      <c r="S625" s="32" t="n">
        <f aca="false">R625*(1-TradeDiscount)</f>
        <v>6598.24576048</v>
      </c>
      <c r="T625" s="32" t="n">
        <f aca="false">R625*(1-VolumeDiscount)</f>
        <v>5998.4052368</v>
      </c>
    </row>
    <row r="626" customFormat="false" ht="15" hidden="false" customHeight="false" outlineLevel="0" collapsed="false">
      <c r="A626" s="25" t="s">
        <v>1467</v>
      </c>
      <c r="B626" s="25" t="s">
        <v>96</v>
      </c>
      <c r="C626" s="25" t="s">
        <v>46</v>
      </c>
      <c r="D626" s="25" t="s">
        <v>1468</v>
      </c>
      <c r="E626" s="25" t="s">
        <v>1367</v>
      </c>
      <c r="F626" s="25" t="s">
        <v>810</v>
      </c>
      <c r="G626" s="25" t="s">
        <v>35</v>
      </c>
      <c r="H626" s="25" t="s">
        <v>63</v>
      </c>
      <c r="I626" s="25" t="s">
        <v>190</v>
      </c>
      <c r="J626" s="25" t="s">
        <v>191</v>
      </c>
      <c r="K626" s="25" t="s">
        <v>192</v>
      </c>
      <c r="L626" s="25" t="s">
        <v>29</v>
      </c>
      <c r="M626" s="25" t="n">
        <v>1809</v>
      </c>
      <c r="N626" s="25" t="n">
        <v>1509</v>
      </c>
      <c r="O626" s="25"/>
      <c r="P626" s="26" t="n">
        <f aca="false">(M626*N626/1000000)*(INDEX(AreaRate_Vals,MATCH(C626,AreaRate_Keys,0))+IFERROR(INDEX(GlazingUpg_Vals,MATCH(H626,GlazingUpg_Keys,0)),0))+INDEX(Hardware_Vals,MATCH("Windows",Hardware_Keys,0))</f>
        <v>5027.11675</v>
      </c>
      <c r="Q626" s="27" t="n">
        <f aca="false">INDEX(Markup_Vals,MATCH("Windows",MarkupCat_Keys,0))</f>
        <v>0.42</v>
      </c>
      <c r="R626" s="28" t="n">
        <f aca="false">P626*(1+Q626)</f>
        <v>7138.505785</v>
      </c>
      <c r="S626" s="28" t="n">
        <f aca="false">R626*(1-TradeDiscount)</f>
        <v>6281.8850908</v>
      </c>
      <c r="T626" s="28" t="n">
        <f aca="false">R626*(1-VolumeDiscount)</f>
        <v>5710.804628</v>
      </c>
    </row>
    <row r="627" customFormat="false" ht="15" hidden="false" customHeight="false" outlineLevel="0" collapsed="false">
      <c r="A627" s="29" t="s">
        <v>1469</v>
      </c>
      <c r="B627" s="29" t="s">
        <v>96</v>
      </c>
      <c r="C627" s="29" t="s">
        <v>46</v>
      </c>
      <c r="D627" s="29" t="s">
        <v>1470</v>
      </c>
      <c r="E627" s="29" t="s">
        <v>1367</v>
      </c>
      <c r="F627" s="29" t="s">
        <v>810</v>
      </c>
      <c r="G627" s="29" t="s">
        <v>36</v>
      </c>
      <c r="H627" s="29" t="s">
        <v>63</v>
      </c>
      <c r="I627" s="29" t="s">
        <v>190</v>
      </c>
      <c r="J627" s="29" t="s">
        <v>191</v>
      </c>
      <c r="K627" s="29" t="s">
        <v>192</v>
      </c>
      <c r="L627" s="29" t="s">
        <v>29</v>
      </c>
      <c r="M627" s="29" t="n">
        <v>1809</v>
      </c>
      <c r="N627" s="29" t="n">
        <v>1509</v>
      </c>
      <c r="O627" s="29"/>
      <c r="P627" s="30" t="n">
        <f aca="false">(M627*N627/1000000)*(INDEX(AreaRate_Vals,MATCH(C627,AreaRate_Keys,0))+IFERROR(INDEX(GlazingUpg_Vals,MATCH(H627,GlazingUpg_Keys,0)),0))+INDEX(Hardware_Vals,MATCH("Windows",Hardware_Keys,0))</f>
        <v>5027.11675</v>
      </c>
      <c r="Q627" s="31" t="n">
        <f aca="false">INDEX(Markup_Vals,MATCH("Windows",MarkupCat_Keys,0))</f>
        <v>0.42</v>
      </c>
      <c r="R627" s="32" t="n">
        <f aca="false">P627*(1+Q627)</f>
        <v>7138.505785</v>
      </c>
      <c r="S627" s="32" t="n">
        <f aca="false">R627*(1-TradeDiscount)</f>
        <v>6281.8850908</v>
      </c>
      <c r="T627" s="32" t="n">
        <f aca="false">R627*(1-VolumeDiscount)</f>
        <v>5710.804628</v>
      </c>
    </row>
    <row r="628" customFormat="false" ht="15" hidden="false" customHeight="false" outlineLevel="0" collapsed="false">
      <c r="A628" s="25" t="s">
        <v>1471</v>
      </c>
      <c r="B628" s="25" t="s">
        <v>96</v>
      </c>
      <c r="C628" s="25" t="s">
        <v>46</v>
      </c>
      <c r="D628" s="25" t="s">
        <v>1472</v>
      </c>
      <c r="E628" s="25" t="s">
        <v>1367</v>
      </c>
      <c r="F628" s="25" t="s">
        <v>810</v>
      </c>
      <c r="G628" s="25" t="s">
        <v>37</v>
      </c>
      <c r="H628" s="25" t="s">
        <v>63</v>
      </c>
      <c r="I628" s="25" t="s">
        <v>190</v>
      </c>
      <c r="J628" s="25" t="s">
        <v>191</v>
      </c>
      <c r="K628" s="25" t="s">
        <v>192</v>
      </c>
      <c r="L628" s="25" t="s">
        <v>29</v>
      </c>
      <c r="M628" s="25" t="n">
        <v>1809</v>
      </c>
      <c r="N628" s="25" t="n">
        <v>1509</v>
      </c>
      <c r="O628" s="25"/>
      <c r="P628" s="26" t="n">
        <f aca="false">(M628*N628/1000000)*(INDEX(AreaRate_Vals,MATCH(C628,AreaRate_Keys,0))+IFERROR(INDEX(GlazingUpg_Vals,MATCH(H628,GlazingUpg_Keys,0)),0))+INDEX(Hardware_Vals,MATCH("Windows",Hardware_Keys,0))</f>
        <v>5027.11675</v>
      </c>
      <c r="Q628" s="27" t="n">
        <f aca="false">INDEX(Markup_Vals,MATCH("Windows",MarkupCat_Keys,0))</f>
        <v>0.42</v>
      </c>
      <c r="R628" s="28" t="n">
        <f aca="false">P628*(1+Q628)</f>
        <v>7138.505785</v>
      </c>
      <c r="S628" s="28" t="n">
        <f aca="false">R628*(1-TradeDiscount)</f>
        <v>6281.8850908</v>
      </c>
      <c r="T628" s="28" t="n">
        <f aca="false">R628*(1-VolumeDiscount)</f>
        <v>5710.804628</v>
      </c>
    </row>
    <row r="629" customFormat="false" ht="15" hidden="false" customHeight="false" outlineLevel="0" collapsed="false">
      <c r="A629" s="29" t="s">
        <v>1473</v>
      </c>
      <c r="B629" s="29" t="s">
        <v>96</v>
      </c>
      <c r="C629" s="29" t="s">
        <v>46</v>
      </c>
      <c r="D629" s="29" t="s">
        <v>1474</v>
      </c>
      <c r="E629" s="29" t="s">
        <v>1367</v>
      </c>
      <c r="F629" s="29" t="s">
        <v>810</v>
      </c>
      <c r="G629" s="29" t="s">
        <v>39</v>
      </c>
      <c r="H629" s="29" t="s">
        <v>63</v>
      </c>
      <c r="I629" s="29" t="s">
        <v>190</v>
      </c>
      <c r="J629" s="29" t="s">
        <v>191</v>
      </c>
      <c r="K629" s="29" t="s">
        <v>192</v>
      </c>
      <c r="L629" s="29" t="s">
        <v>29</v>
      </c>
      <c r="M629" s="29" t="n">
        <v>1809</v>
      </c>
      <c r="N629" s="29" t="n">
        <v>1509</v>
      </c>
      <c r="O629" s="29"/>
      <c r="P629" s="30" t="n">
        <f aca="false">(M629*N629/1000000)*(INDEX(AreaRate_Vals,MATCH(C629,AreaRate_Keys,0))+IFERROR(INDEX(GlazingUpg_Vals,MATCH(H629,GlazingUpg_Keys,0)),0))+INDEX(Hardware_Vals,MATCH("Windows",Hardware_Keys,0))</f>
        <v>5027.11675</v>
      </c>
      <c r="Q629" s="31" t="n">
        <f aca="false">INDEX(Markup_Vals,MATCH("Windows",MarkupCat_Keys,0))</f>
        <v>0.42</v>
      </c>
      <c r="R629" s="32" t="n">
        <f aca="false">P629*(1+Q629)</f>
        <v>7138.505785</v>
      </c>
      <c r="S629" s="32" t="n">
        <f aca="false">R629*(1-TradeDiscount)</f>
        <v>6281.8850908</v>
      </c>
      <c r="T629" s="32" t="n">
        <f aca="false">R629*(1-VolumeDiscount)</f>
        <v>5710.804628</v>
      </c>
    </row>
    <row r="630" customFormat="false" ht="15" hidden="false" customHeight="false" outlineLevel="0" collapsed="false">
      <c r="A630" s="25" t="s">
        <v>1475</v>
      </c>
      <c r="B630" s="25" t="s">
        <v>96</v>
      </c>
      <c r="C630" s="25" t="s">
        <v>46</v>
      </c>
      <c r="D630" s="25" t="s">
        <v>1476</v>
      </c>
      <c r="E630" s="25" t="s">
        <v>1367</v>
      </c>
      <c r="F630" s="25" t="s">
        <v>810</v>
      </c>
      <c r="G630" s="25" t="s">
        <v>38</v>
      </c>
      <c r="H630" s="25" t="s">
        <v>63</v>
      </c>
      <c r="I630" s="25" t="s">
        <v>190</v>
      </c>
      <c r="J630" s="25" t="s">
        <v>191</v>
      </c>
      <c r="K630" s="25" t="s">
        <v>192</v>
      </c>
      <c r="L630" s="25" t="s">
        <v>29</v>
      </c>
      <c r="M630" s="25" t="n">
        <v>1809</v>
      </c>
      <c r="N630" s="25" t="n">
        <v>1509</v>
      </c>
      <c r="O630" s="25"/>
      <c r="P630" s="26" t="n">
        <f aca="false">(M630*N630/1000000)*(INDEX(AreaRate_Vals,MATCH(C630,AreaRate_Keys,0))+IFERROR(INDEX(GlazingUpg_Vals,MATCH(H630,GlazingUpg_Keys,0)),0))+INDEX(Hardware_Vals,MATCH("Windows",Hardware_Keys,0))</f>
        <v>5027.11675</v>
      </c>
      <c r="Q630" s="27" t="n">
        <f aca="false">INDEX(Markup_Vals,MATCH("Windows",MarkupCat_Keys,0))</f>
        <v>0.42</v>
      </c>
      <c r="R630" s="28" t="n">
        <f aca="false">P630*(1+Q630)</f>
        <v>7138.505785</v>
      </c>
      <c r="S630" s="28" t="n">
        <f aca="false">R630*(1-TradeDiscount)</f>
        <v>6281.8850908</v>
      </c>
      <c r="T630" s="28" t="n">
        <f aca="false">R630*(1-VolumeDiscount)</f>
        <v>5710.804628</v>
      </c>
    </row>
    <row r="631" customFormat="false" ht="15" hidden="false" customHeight="false" outlineLevel="0" collapsed="false">
      <c r="A631" s="29" t="s">
        <v>1477</v>
      </c>
      <c r="B631" s="29" t="s">
        <v>96</v>
      </c>
      <c r="C631" s="29" t="s">
        <v>46</v>
      </c>
      <c r="D631" s="29" t="s">
        <v>1478</v>
      </c>
      <c r="E631" s="29" t="s">
        <v>1367</v>
      </c>
      <c r="F631" s="29" t="s">
        <v>810</v>
      </c>
      <c r="G631" s="29" t="s">
        <v>35</v>
      </c>
      <c r="H631" s="29" t="s">
        <v>64</v>
      </c>
      <c r="I631" s="29" t="s">
        <v>190</v>
      </c>
      <c r="J631" s="29" t="s">
        <v>191</v>
      </c>
      <c r="K631" s="29" t="s">
        <v>192</v>
      </c>
      <c r="L631" s="29" t="s">
        <v>29</v>
      </c>
      <c r="M631" s="29" t="n">
        <v>1809</v>
      </c>
      <c r="N631" s="29" t="n">
        <v>1509</v>
      </c>
      <c r="O631" s="29"/>
      <c r="P631" s="30" t="n">
        <f aca="false">(M631*N631/1000000)*(INDEX(AreaRate_Vals,MATCH(C631,AreaRate_Keys,0))+IFERROR(INDEX(GlazingUpg_Vals,MATCH(H631,GlazingUpg_Keys,0)),0))+INDEX(Hardware_Vals,MATCH("Windows",Hardware_Keys,0))</f>
        <v>6528.4963</v>
      </c>
      <c r="Q631" s="31" t="n">
        <f aca="false">INDEX(Markup_Vals,MATCH("Windows",MarkupCat_Keys,0))</f>
        <v>0.42</v>
      </c>
      <c r="R631" s="32" t="n">
        <f aca="false">P631*(1+Q631)</f>
        <v>9270.464746</v>
      </c>
      <c r="S631" s="32" t="n">
        <f aca="false">R631*(1-TradeDiscount)</f>
        <v>8158.00897648</v>
      </c>
      <c r="T631" s="32" t="n">
        <f aca="false">R631*(1-VolumeDiscount)</f>
        <v>7416.3717968</v>
      </c>
    </row>
    <row r="632" customFormat="false" ht="15" hidden="false" customHeight="false" outlineLevel="0" collapsed="false">
      <c r="A632" s="25" t="s">
        <v>1479</v>
      </c>
      <c r="B632" s="25" t="s">
        <v>96</v>
      </c>
      <c r="C632" s="25" t="s">
        <v>46</v>
      </c>
      <c r="D632" s="25" t="s">
        <v>1480</v>
      </c>
      <c r="E632" s="25" t="s">
        <v>1367</v>
      </c>
      <c r="F632" s="25" t="s">
        <v>810</v>
      </c>
      <c r="G632" s="25" t="s">
        <v>36</v>
      </c>
      <c r="H632" s="25" t="s">
        <v>64</v>
      </c>
      <c r="I632" s="25" t="s">
        <v>190</v>
      </c>
      <c r="J632" s="25" t="s">
        <v>191</v>
      </c>
      <c r="K632" s="25" t="s">
        <v>192</v>
      </c>
      <c r="L632" s="25" t="s">
        <v>29</v>
      </c>
      <c r="M632" s="25" t="n">
        <v>1809</v>
      </c>
      <c r="N632" s="25" t="n">
        <v>1509</v>
      </c>
      <c r="O632" s="25"/>
      <c r="P632" s="26" t="n">
        <f aca="false">(M632*N632/1000000)*(INDEX(AreaRate_Vals,MATCH(C632,AreaRate_Keys,0))+IFERROR(INDEX(GlazingUpg_Vals,MATCH(H632,GlazingUpg_Keys,0)),0))+INDEX(Hardware_Vals,MATCH("Windows",Hardware_Keys,0))</f>
        <v>6528.4963</v>
      </c>
      <c r="Q632" s="27" t="n">
        <f aca="false">INDEX(Markup_Vals,MATCH("Windows",MarkupCat_Keys,0))</f>
        <v>0.42</v>
      </c>
      <c r="R632" s="28" t="n">
        <f aca="false">P632*(1+Q632)</f>
        <v>9270.464746</v>
      </c>
      <c r="S632" s="28" t="n">
        <f aca="false">R632*(1-TradeDiscount)</f>
        <v>8158.00897648</v>
      </c>
      <c r="T632" s="28" t="n">
        <f aca="false">R632*(1-VolumeDiscount)</f>
        <v>7416.3717968</v>
      </c>
    </row>
    <row r="633" customFormat="false" ht="15" hidden="false" customHeight="false" outlineLevel="0" collapsed="false">
      <c r="A633" s="29" t="s">
        <v>1481</v>
      </c>
      <c r="B633" s="29" t="s">
        <v>96</v>
      </c>
      <c r="C633" s="29" t="s">
        <v>46</v>
      </c>
      <c r="D633" s="29" t="s">
        <v>1482</v>
      </c>
      <c r="E633" s="29" t="s">
        <v>1367</v>
      </c>
      <c r="F633" s="29" t="s">
        <v>810</v>
      </c>
      <c r="G633" s="29" t="s">
        <v>37</v>
      </c>
      <c r="H633" s="29" t="s">
        <v>64</v>
      </c>
      <c r="I633" s="29" t="s">
        <v>190</v>
      </c>
      <c r="J633" s="29" t="s">
        <v>191</v>
      </c>
      <c r="K633" s="29" t="s">
        <v>192</v>
      </c>
      <c r="L633" s="29" t="s">
        <v>29</v>
      </c>
      <c r="M633" s="29" t="n">
        <v>1809</v>
      </c>
      <c r="N633" s="29" t="n">
        <v>1509</v>
      </c>
      <c r="O633" s="29"/>
      <c r="P633" s="30" t="n">
        <f aca="false">(M633*N633/1000000)*(INDEX(AreaRate_Vals,MATCH(C633,AreaRate_Keys,0))+IFERROR(INDEX(GlazingUpg_Vals,MATCH(H633,GlazingUpg_Keys,0)),0))+INDEX(Hardware_Vals,MATCH("Windows",Hardware_Keys,0))</f>
        <v>6528.4963</v>
      </c>
      <c r="Q633" s="31" t="n">
        <f aca="false">INDEX(Markup_Vals,MATCH("Windows",MarkupCat_Keys,0))</f>
        <v>0.42</v>
      </c>
      <c r="R633" s="32" t="n">
        <f aca="false">P633*(1+Q633)</f>
        <v>9270.464746</v>
      </c>
      <c r="S633" s="32" t="n">
        <f aca="false">R633*(1-TradeDiscount)</f>
        <v>8158.00897648</v>
      </c>
      <c r="T633" s="32" t="n">
        <f aca="false">R633*(1-VolumeDiscount)</f>
        <v>7416.3717968</v>
      </c>
    </row>
    <row r="634" customFormat="false" ht="15" hidden="false" customHeight="false" outlineLevel="0" collapsed="false">
      <c r="A634" s="25" t="s">
        <v>1483</v>
      </c>
      <c r="B634" s="25" t="s">
        <v>96</v>
      </c>
      <c r="C634" s="25" t="s">
        <v>46</v>
      </c>
      <c r="D634" s="25" t="s">
        <v>1484</v>
      </c>
      <c r="E634" s="25" t="s">
        <v>1367</v>
      </c>
      <c r="F634" s="25" t="s">
        <v>810</v>
      </c>
      <c r="G634" s="25" t="s">
        <v>39</v>
      </c>
      <c r="H634" s="25" t="s">
        <v>64</v>
      </c>
      <c r="I634" s="25" t="s">
        <v>190</v>
      </c>
      <c r="J634" s="25" t="s">
        <v>191</v>
      </c>
      <c r="K634" s="25" t="s">
        <v>192</v>
      </c>
      <c r="L634" s="25" t="s">
        <v>29</v>
      </c>
      <c r="M634" s="25" t="n">
        <v>1809</v>
      </c>
      <c r="N634" s="25" t="n">
        <v>1509</v>
      </c>
      <c r="O634" s="25"/>
      <c r="P634" s="26" t="n">
        <f aca="false">(M634*N634/1000000)*(INDEX(AreaRate_Vals,MATCH(C634,AreaRate_Keys,0))+IFERROR(INDEX(GlazingUpg_Vals,MATCH(H634,GlazingUpg_Keys,0)),0))+INDEX(Hardware_Vals,MATCH("Windows",Hardware_Keys,0))</f>
        <v>6528.4963</v>
      </c>
      <c r="Q634" s="27" t="n">
        <f aca="false">INDEX(Markup_Vals,MATCH("Windows",MarkupCat_Keys,0))</f>
        <v>0.42</v>
      </c>
      <c r="R634" s="28" t="n">
        <f aca="false">P634*(1+Q634)</f>
        <v>9270.464746</v>
      </c>
      <c r="S634" s="28" t="n">
        <f aca="false">R634*(1-TradeDiscount)</f>
        <v>8158.00897648</v>
      </c>
      <c r="T634" s="28" t="n">
        <f aca="false">R634*(1-VolumeDiscount)</f>
        <v>7416.3717968</v>
      </c>
    </row>
    <row r="635" customFormat="false" ht="15" hidden="false" customHeight="false" outlineLevel="0" collapsed="false">
      <c r="A635" s="29" t="s">
        <v>1485</v>
      </c>
      <c r="B635" s="29" t="s">
        <v>96</v>
      </c>
      <c r="C635" s="29" t="s">
        <v>46</v>
      </c>
      <c r="D635" s="29" t="s">
        <v>1486</v>
      </c>
      <c r="E635" s="29" t="s">
        <v>1367</v>
      </c>
      <c r="F635" s="29" t="s">
        <v>810</v>
      </c>
      <c r="G635" s="29" t="s">
        <v>38</v>
      </c>
      <c r="H635" s="29" t="s">
        <v>64</v>
      </c>
      <c r="I635" s="29" t="s">
        <v>190</v>
      </c>
      <c r="J635" s="29" t="s">
        <v>191</v>
      </c>
      <c r="K635" s="29" t="s">
        <v>192</v>
      </c>
      <c r="L635" s="29" t="s">
        <v>29</v>
      </c>
      <c r="M635" s="29" t="n">
        <v>1809</v>
      </c>
      <c r="N635" s="29" t="n">
        <v>1509</v>
      </c>
      <c r="O635" s="29"/>
      <c r="P635" s="30" t="n">
        <f aca="false">(M635*N635/1000000)*(INDEX(AreaRate_Vals,MATCH(C635,AreaRate_Keys,0))+IFERROR(INDEX(GlazingUpg_Vals,MATCH(H635,GlazingUpg_Keys,0)),0))+INDEX(Hardware_Vals,MATCH("Windows",Hardware_Keys,0))</f>
        <v>6528.4963</v>
      </c>
      <c r="Q635" s="31" t="n">
        <f aca="false">INDEX(Markup_Vals,MATCH("Windows",MarkupCat_Keys,0))</f>
        <v>0.42</v>
      </c>
      <c r="R635" s="32" t="n">
        <f aca="false">P635*(1+Q635)</f>
        <v>9270.464746</v>
      </c>
      <c r="S635" s="32" t="n">
        <f aca="false">R635*(1-TradeDiscount)</f>
        <v>8158.00897648</v>
      </c>
      <c r="T635" s="32" t="n">
        <f aca="false">R635*(1-VolumeDiscount)</f>
        <v>7416.3717968</v>
      </c>
    </row>
    <row r="636" customFormat="false" ht="15" hidden="false" customHeight="false" outlineLevel="0" collapsed="false">
      <c r="A636" s="25" t="s">
        <v>1487</v>
      </c>
      <c r="B636" s="25" t="s">
        <v>96</v>
      </c>
      <c r="C636" s="25" t="s">
        <v>46</v>
      </c>
      <c r="D636" s="25" t="s">
        <v>1488</v>
      </c>
      <c r="E636" s="25" t="s">
        <v>1367</v>
      </c>
      <c r="F636" s="25" t="s">
        <v>297</v>
      </c>
      <c r="G636" s="25" t="s">
        <v>35</v>
      </c>
      <c r="H636" s="25" t="s">
        <v>63</v>
      </c>
      <c r="I636" s="25" t="s">
        <v>190</v>
      </c>
      <c r="J636" s="25" t="s">
        <v>191</v>
      </c>
      <c r="K636" s="25" t="s">
        <v>298</v>
      </c>
      <c r="L636" s="25" t="s">
        <v>29</v>
      </c>
      <c r="M636" s="25" t="n">
        <v>2409</v>
      </c>
      <c r="N636" s="25" t="n">
        <v>1209</v>
      </c>
      <c r="O636" s="25"/>
      <c r="P636" s="26" t="n">
        <f aca="false">(M636*N636/1000000)*(INDEX(AreaRate_Vals,MATCH(C636,AreaRate_Keys,0))+IFERROR(INDEX(GlazingUpg_Vals,MATCH(H636,GlazingUpg_Keys,0)),0))+INDEX(Hardware_Vals,MATCH("Windows",Hardware_Keys,0))</f>
        <v>5346.84175</v>
      </c>
      <c r="Q636" s="27" t="n">
        <f aca="false">INDEX(Markup_Vals,MATCH("Windows",MarkupCat_Keys,0))</f>
        <v>0.42</v>
      </c>
      <c r="R636" s="28" t="n">
        <f aca="false">P636*(1+Q636)</f>
        <v>7592.515285</v>
      </c>
      <c r="S636" s="28" t="n">
        <f aca="false">R636*(1-TradeDiscount)</f>
        <v>6681.4134508</v>
      </c>
      <c r="T636" s="28" t="n">
        <f aca="false">R636*(1-VolumeDiscount)</f>
        <v>6074.012228</v>
      </c>
    </row>
    <row r="637" customFormat="false" ht="15" hidden="false" customHeight="false" outlineLevel="0" collapsed="false">
      <c r="A637" s="29" t="s">
        <v>1489</v>
      </c>
      <c r="B637" s="29" t="s">
        <v>96</v>
      </c>
      <c r="C637" s="29" t="s">
        <v>46</v>
      </c>
      <c r="D637" s="29" t="s">
        <v>1490</v>
      </c>
      <c r="E637" s="29" t="s">
        <v>1367</v>
      </c>
      <c r="F637" s="29" t="s">
        <v>297</v>
      </c>
      <c r="G637" s="29" t="s">
        <v>36</v>
      </c>
      <c r="H637" s="29" t="s">
        <v>63</v>
      </c>
      <c r="I637" s="29" t="s">
        <v>190</v>
      </c>
      <c r="J637" s="29" t="s">
        <v>191</v>
      </c>
      <c r="K637" s="29" t="s">
        <v>298</v>
      </c>
      <c r="L637" s="29" t="s">
        <v>29</v>
      </c>
      <c r="M637" s="29" t="n">
        <v>2409</v>
      </c>
      <c r="N637" s="29" t="n">
        <v>1209</v>
      </c>
      <c r="O637" s="29"/>
      <c r="P637" s="30" t="n">
        <f aca="false">(M637*N637/1000000)*(INDEX(AreaRate_Vals,MATCH(C637,AreaRate_Keys,0))+IFERROR(INDEX(GlazingUpg_Vals,MATCH(H637,GlazingUpg_Keys,0)),0))+INDEX(Hardware_Vals,MATCH("Windows",Hardware_Keys,0))</f>
        <v>5346.84175</v>
      </c>
      <c r="Q637" s="31" t="n">
        <f aca="false">INDEX(Markup_Vals,MATCH("Windows",MarkupCat_Keys,0))</f>
        <v>0.42</v>
      </c>
      <c r="R637" s="32" t="n">
        <f aca="false">P637*(1+Q637)</f>
        <v>7592.515285</v>
      </c>
      <c r="S637" s="32" t="n">
        <f aca="false">R637*(1-TradeDiscount)</f>
        <v>6681.4134508</v>
      </c>
      <c r="T637" s="32" t="n">
        <f aca="false">R637*(1-VolumeDiscount)</f>
        <v>6074.012228</v>
      </c>
    </row>
    <row r="638" customFormat="false" ht="15" hidden="false" customHeight="false" outlineLevel="0" collapsed="false">
      <c r="A638" s="25" t="s">
        <v>1491</v>
      </c>
      <c r="B638" s="25" t="s">
        <v>96</v>
      </c>
      <c r="C638" s="25" t="s">
        <v>46</v>
      </c>
      <c r="D638" s="25" t="s">
        <v>1492</v>
      </c>
      <c r="E638" s="25" t="s">
        <v>1367</v>
      </c>
      <c r="F638" s="25" t="s">
        <v>297</v>
      </c>
      <c r="G638" s="25" t="s">
        <v>37</v>
      </c>
      <c r="H638" s="25" t="s">
        <v>63</v>
      </c>
      <c r="I638" s="25" t="s">
        <v>190</v>
      </c>
      <c r="J638" s="25" t="s">
        <v>191</v>
      </c>
      <c r="K638" s="25" t="s">
        <v>298</v>
      </c>
      <c r="L638" s="25" t="s">
        <v>29</v>
      </c>
      <c r="M638" s="25" t="n">
        <v>2409</v>
      </c>
      <c r="N638" s="25" t="n">
        <v>1209</v>
      </c>
      <c r="O638" s="25"/>
      <c r="P638" s="26" t="n">
        <f aca="false">(M638*N638/1000000)*(INDEX(AreaRate_Vals,MATCH(C638,AreaRate_Keys,0))+IFERROR(INDEX(GlazingUpg_Vals,MATCH(H638,GlazingUpg_Keys,0)),0))+INDEX(Hardware_Vals,MATCH("Windows",Hardware_Keys,0))</f>
        <v>5346.84175</v>
      </c>
      <c r="Q638" s="27" t="n">
        <f aca="false">INDEX(Markup_Vals,MATCH("Windows",MarkupCat_Keys,0))</f>
        <v>0.42</v>
      </c>
      <c r="R638" s="28" t="n">
        <f aca="false">P638*(1+Q638)</f>
        <v>7592.515285</v>
      </c>
      <c r="S638" s="28" t="n">
        <f aca="false">R638*(1-TradeDiscount)</f>
        <v>6681.4134508</v>
      </c>
      <c r="T638" s="28" t="n">
        <f aca="false">R638*(1-VolumeDiscount)</f>
        <v>6074.012228</v>
      </c>
    </row>
    <row r="639" customFormat="false" ht="15" hidden="false" customHeight="false" outlineLevel="0" collapsed="false">
      <c r="A639" s="29" t="s">
        <v>1493</v>
      </c>
      <c r="B639" s="29" t="s">
        <v>96</v>
      </c>
      <c r="C639" s="29" t="s">
        <v>46</v>
      </c>
      <c r="D639" s="29" t="s">
        <v>1494</v>
      </c>
      <c r="E639" s="29" t="s">
        <v>1367</v>
      </c>
      <c r="F639" s="29" t="s">
        <v>297</v>
      </c>
      <c r="G639" s="29" t="s">
        <v>39</v>
      </c>
      <c r="H639" s="29" t="s">
        <v>63</v>
      </c>
      <c r="I639" s="29" t="s">
        <v>190</v>
      </c>
      <c r="J639" s="29" t="s">
        <v>191</v>
      </c>
      <c r="K639" s="29" t="s">
        <v>298</v>
      </c>
      <c r="L639" s="29" t="s">
        <v>29</v>
      </c>
      <c r="M639" s="29" t="n">
        <v>2409</v>
      </c>
      <c r="N639" s="29" t="n">
        <v>1209</v>
      </c>
      <c r="O639" s="29"/>
      <c r="P639" s="30" t="n">
        <f aca="false">(M639*N639/1000000)*(INDEX(AreaRate_Vals,MATCH(C639,AreaRate_Keys,0))+IFERROR(INDEX(GlazingUpg_Vals,MATCH(H639,GlazingUpg_Keys,0)),0))+INDEX(Hardware_Vals,MATCH("Windows",Hardware_Keys,0))</f>
        <v>5346.84175</v>
      </c>
      <c r="Q639" s="31" t="n">
        <f aca="false">INDEX(Markup_Vals,MATCH("Windows",MarkupCat_Keys,0))</f>
        <v>0.42</v>
      </c>
      <c r="R639" s="32" t="n">
        <f aca="false">P639*(1+Q639)</f>
        <v>7592.515285</v>
      </c>
      <c r="S639" s="32" t="n">
        <f aca="false">R639*(1-TradeDiscount)</f>
        <v>6681.4134508</v>
      </c>
      <c r="T639" s="32" t="n">
        <f aca="false">R639*(1-VolumeDiscount)</f>
        <v>6074.012228</v>
      </c>
    </row>
    <row r="640" customFormat="false" ht="15" hidden="false" customHeight="false" outlineLevel="0" collapsed="false">
      <c r="A640" s="25" t="s">
        <v>1495</v>
      </c>
      <c r="B640" s="25" t="s">
        <v>96</v>
      </c>
      <c r="C640" s="25" t="s">
        <v>46</v>
      </c>
      <c r="D640" s="25" t="s">
        <v>1496</v>
      </c>
      <c r="E640" s="25" t="s">
        <v>1367</v>
      </c>
      <c r="F640" s="25" t="s">
        <v>297</v>
      </c>
      <c r="G640" s="25" t="s">
        <v>38</v>
      </c>
      <c r="H640" s="25" t="s">
        <v>63</v>
      </c>
      <c r="I640" s="25" t="s">
        <v>190</v>
      </c>
      <c r="J640" s="25" t="s">
        <v>191</v>
      </c>
      <c r="K640" s="25" t="s">
        <v>298</v>
      </c>
      <c r="L640" s="25" t="s">
        <v>29</v>
      </c>
      <c r="M640" s="25" t="n">
        <v>2409</v>
      </c>
      <c r="N640" s="25" t="n">
        <v>1209</v>
      </c>
      <c r="O640" s="25"/>
      <c r="P640" s="26" t="n">
        <f aca="false">(M640*N640/1000000)*(INDEX(AreaRate_Vals,MATCH(C640,AreaRate_Keys,0))+IFERROR(INDEX(GlazingUpg_Vals,MATCH(H640,GlazingUpg_Keys,0)),0))+INDEX(Hardware_Vals,MATCH("Windows",Hardware_Keys,0))</f>
        <v>5346.84175</v>
      </c>
      <c r="Q640" s="27" t="n">
        <f aca="false">INDEX(Markup_Vals,MATCH("Windows",MarkupCat_Keys,0))</f>
        <v>0.42</v>
      </c>
      <c r="R640" s="28" t="n">
        <f aca="false">P640*(1+Q640)</f>
        <v>7592.515285</v>
      </c>
      <c r="S640" s="28" t="n">
        <f aca="false">R640*(1-TradeDiscount)</f>
        <v>6681.4134508</v>
      </c>
      <c r="T640" s="28" t="n">
        <f aca="false">R640*(1-VolumeDiscount)</f>
        <v>6074.012228</v>
      </c>
    </row>
    <row r="641" customFormat="false" ht="15" hidden="false" customHeight="false" outlineLevel="0" collapsed="false">
      <c r="A641" s="29" t="s">
        <v>1497</v>
      </c>
      <c r="B641" s="29" t="s">
        <v>96</v>
      </c>
      <c r="C641" s="29" t="s">
        <v>46</v>
      </c>
      <c r="D641" s="29" t="s">
        <v>1498</v>
      </c>
      <c r="E641" s="29" t="s">
        <v>1367</v>
      </c>
      <c r="F641" s="29" t="s">
        <v>297</v>
      </c>
      <c r="G641" s="29" t="s">
        <v>35</v>
      </c>
      <c r="H641" s="29" t="s">
        <v>64</v>
      </c>
      <c r="I641" s="29" t="s">
        <v>190</v>
      </c>
      <c r="J641" s="29" t="s">
        <v>191</v>
      </c>
      <c r="K641" s="29" t="s">
        <v>298</v>
      </c>
      <c r="L641" s="29" t="s">
        <v>29</v>
      </c>
      <c r="M641" s="29" t="n">
        <v>2409</v>
      </c>
      <c r="N641" s="29" t="n">
        <v>1209</v>
      </c>
      <c r="O641" s="29"/>
      <c r="P641" s="30" t="n">
        <f aca="false">(M641*N641/1000000)*(INDEX(AreaRate_Vals,MATCH(C641,AreaRate_Keys,0))+IFERROR(INDEX(GlazingUpg_Vals,MATCH(H641,GlazingUpg_Keys,0)),0))+INDEX(Hardware_Vals,MATCH("Windows",Hardware_Keys,0))</f>
        <v>6948.7063</v>
      </c>
      <c r="Q641" s="31" t="n">
        <f aca="false">INDEX(Markup_Vals,MATCH("Windows",MarkupCat_Keys,0))</f>
        <v>0.42</v>
      </c>
      <c r="R641" s="32" t="n">
        <f aca="false">P641*(1+Q641)</f>
        <v>9867.162946</v>
      </c>
      <c r="S641" s="32" t="n">
        <f aca="false">R641*(1-TradeDiscount)</f>
        <v>8683.10339248</v>
      </c>
      <c r="T641" s="32" t="n">
        <f aca="false">R641*(1-VolumeDiscount)</f>
        <v>7893.7303568</v>
      </c>
    </row>
    <row r="642" customFormat="false" ht="15" hidden="false" customHeight="false" outlineLevel="0" collapsed="false">
      <c r="A642" s="25" t="s">
        <v>1499</v>
      </c>
      <c r="B642" s="25" t="s">
        <v>96</v>
      </c>
      <c r="C642" s="25" t="s">
        <v>46</v>
      </c>
      <c r="D642" s="25" t="s">
        <v>1500</v>
      </c>
      <c r="E642" s="25" t="s">
        <v>1367</v>
      </c>
      <c r="F642" s="25" t="s">
        <v>297</v>
      </c>
      <c r="G642" s="25" t="s">
        <v>36</v>
      </c>
      <c r="H642" s="25" t="s">
        <v>64</v>
      </c>
      <c r="I642" s="25" t="s">
        <v>190</v>
      </c>
      <c r="J642" s="25" t="s">
        <v>191</v>
      </c>
      <c r="K642" s="25" t="s">
        <v>298</v>
      </c>
      <c r="L642" s="25" t="s">
        <v>29</v>
      </c>
      <c r="M642" s="25" t="n">
        <v>2409</v>
      </c>
      <c r="N642" s="25" t="n">
        <v>1209</v>
      </c>
      <c r="O642" s="25"/>
      <c r="P642" s="26" t="n">
        <f aca="false">(M642*N642/1000000)*(INDEX(AreaRate_Vals,MATCH(C642,AreaRate_Keys,0))+IFERROR(INDEX(GlazingUpg_Vals,MATCH(H642,GlazingUpg_Keys,0)),0))+INDEX(Hardware_Vals,MATCH("Windows",Hardware_Keys,0))</f>
        <v>6948.7063</v>
      </c>
      <c r="Q642" s="27" t="n">
        <f aca="false">INDEX(Markup_Vals,MATCH("Windows",MarkupCat_Keys,0))</f>
        <v>0.42</v>
      </c>
      <c r="R642" s="28" t="n">
        <f aca="false">P642*(1+Q642)</f>
        <v>9867.162946</v>
      </c>
      <c r="S642" s="28" t="n">
        <f aca="false">R642*(1-TradeDiscount)</f>
        <v>8683.10339248</v>
      </c>
      <c r="T642" s="28" t="n">
        <f aca="false">R642*(1-VolumeDiscount)</f>
        <v>7893.7303568</v>
      </c>
    </row>
    <row r="643" customFormat="false" ht="15" hidden="false" customHeight="false" outlineLevel="0" collapsed="false">
      <c r="A643" s="29" t="s">
        <v>1501</v>
      </c>
      <c r="B643" s="29" t="s">
        <v>96</v>
      </c>
      <c r="C643" s="29" t="s">
        <v>46</v>
      </c>
      <c r="D643" s="29" t="s">
        <v>1502</v>
      </c>
      <c r="E643" s="29" t="s">
        <v>1367</v>
      </c>
      <c r="F643" s="29" t="s">
        <v>297</v>
      </c>
      <c r="G643" s="29" t="s">
        <v>37</v>
      </c>
      <c r="H643" s="29" t="s">
        <v>64</v>
      </c>
      <c r="I643" s="29" t="s">
        <v>190</v>
      </c>
      <c r="J643" s="29" t="s">
        <v>191</v>
      </c>
      <c r="K643" s="29" t="s">
        <v>298</v>
      </c>
      <c r="L643" s="29" t="s">
        <v>29</v>
      </c>
      <c r="M643" s="29" t="n">
        <v>2409</v>
      </c>
      <c r="N643" s="29" t="n">
        <v>1209</v>
      </c>
      <c r="O643" s="29"/>
      <c r="P643" s="30" t="n">
        <f aca="false">(M643*N643/1000000)*(INDEX(AreaRate_Vals,MATCH(C643,AreaRate_Keys,0))+IFERROR(INDEX(GlazingUpg_Vals,MATCH(H643,GlazingUpg_Keys,0)),0))+INDEX(Hardware_Vals,MATCH("Windows",Hardware_Keys,0))</f>
        <v>6948.7063</v>
      </c>
      <c r="Q643" s="31" t="n">
        <f aca="false">INDEX(Markup_Vals,MATCH("Windows",MarkupCat_Keys,0))</f>
        <v>0.42</v>
      </c>
      <c r="R643" s="32" t="n">
        <f aca="false">P643*(1+Q643)</f>
        <v>9867.162946</v>
      </c>
      <c r="S643" s="32" t="n">
        <f aca="false">R643*(1-TradeDiscount)</f>
        <v>8683.10339248</v>
      </c>
      <c r="T643" s="32" t="n">
        <f aca="false">R643*(1-VolumeDiscount)</f>
        <v>7893.7303568</v>
      </c>
    </row>
    <row r="644" customFormat="false" ht="15" hidden="false" customHeight="false" outlineLevel="0" collapsed="false">
      <c r="A644" s="25" t="s">
        <v>1503</v>
      </c>
      <c r="B644" s="25" t="s">
        <v>96</v>
      </c>
      <c r="C644" s="25" t="s">
        <v>46</v>
      </c>
      <c r="D644" s="25" t="s">
        <v>1504</v>
      </c>
      <c r="E644" s="25" t="s">
        <v>1367</v>
      </c>
      <c r="F644" s="25" t="s">
        <v>297</v>
      </c>
      <c r="G644" s="25" t="s">
        <v>39</v>
      </c>
      <c r="H644" s="25" t="s">
        <v>64</v>
      </c>
      <c r="I644" s="25" t="s">
        <v>190</v>
      </c>
      <c r="J644" s="25" t="s">
        <v>191</v>
      </c>
      <c r="K644" s="25" t="s">
        <v>298</v>
      </c>
      <c r="L644" s="25" t="s">
        <v>29</v>
      </c>
      <c r="M644" s="25" t="n">
        <v>2409</v>
      </c>
      <c r="N644" s="25" t="n">
        <v>1209</v>
      </c>
      <c r="O644" s="25"/>
      <c r="P644" s="26" t="n">
        <f aca="false">(M644*N644/1000000)*(INDEX(AreaRate_Vals,MATCH(C644,AreaRate_Keys,0))+IFERROR(INDEX(GlazingUpg_Vals,MATCH(H644,GlazingUpg_Keys,0)),0))+INDEX(Hardware_Vals,MATCH("Windows",Hardware_Keys,0))</f>
        <v>6948.7063</v>
      </c>
      <c r="Q644" s="27" t="n">
        <f aca="false">INDEX(Markup_Vals,MATCH("Windows",MarkupCat_Keys,0))</f>
        <v>0.42</v>
      </c>
      <c r="R644" s="28" t="n">
        <f aca="false">P644*(1+Q644)</f>
        <v>9867.162946</v>
      </c>
      <c r="S644" s="28" t="n">
        <f aca="false">R644*(1-TradeDiscount)</f>
        <v>8683.10339248</v>
      </c>
      <c r="T644" s="28" t="n">
        <f aca="false">R644*(1-VolumeDiscount)</f>
        <v>7893.7303568</v>
      </c>
    </row>
    <row r="645" customFormat="false" ht="15" hidden="false" customHeight="false" outlineLevel="0" collapsed="false">
      <c r="A645" s="29" t="s">
        <v>1505</v>
      </c>
      <c r="B645" s="29" t="s">
        <v>96</v>
      </c>
      <c r="C645" s="29" t="s">
        <v>46</v>
      </c>
      <c r="D645" s="29" t="s">
        <v>1506</v>
      </c>
      <c r="E645" s="29" t="s">
        <v>1367</v>
      </c>
      <c r="F645" s="29" t="s">
        <v>297</v>
      </c>
      <c r="G645" s="29" t="s">
        <v>38</v>
      </c>
      <c r="H645" s="29" t="s">
        <v>64</v>
      </c>
      <c r="I645" s="29" t="s">
        <v>190</v>
      </c>
      <c r="J645" s="29" t="s">
        <v>191</v>
      </c>
      <c r="K645" s="29" t="s">
        <v>298</v>
      </c>
      <c r="L645" s="29" t="s">
        <v>29</v>
      </c>
      <c r="M645" s="29" t="n">
        <v>2409</v>
      </c>
      <c r="N645" s="29" t="n">
        <v>1209</v>
      </c>
      <c r="O645" s="29"/>
      <c r="P645" s="30" t="n">
        <f aca="false">(M645*N645/1000000)*(INDEX(AreaRate_Vals,MATCH(C645,AreaRate_Keys,0))+IFERROR(INDEX(GlazingUpg_Vals,MATCH(H645,GlazingUpg_Keys,0)),0))+INDEX(Hardware_Vals,MATCH("Windows",Hardware_Keys,0))</f>
        <v>6948.7063</v>
      </c>
      <c r="Q645" s="31" t="n">
        <f aca="false">INDEX(Markup_Vals,MATCH("Windows",MarkupCat_Keys,0))</f>
        <v>0.42</v>
      </c>
      <c r="R645" s="32" t="n">
        <f aca="false">P645*(1+Q645)</f>
        <v>9867.162946</v>
      </c>
      <c r="S645" s="32" t="n">
        <f aca="false">R645*(1-TradeDiscount)</f>
        <v>8683.10339248</v>
      </c>
      <c r="T645" s="32" t="n">
        <f aca="false">R645*(1-VolumeDiscount)</f>
        <v>7893.7303568</v>
      </c>
    </row>
    <row r="646" customFormat="false" ht="15" hidden="false" customHeight="false" outlineLevel="0" collapsed="false">
      <c r="A646" s="25" t="s">
        <v>1507</v>
      </c>
      <c r="B646" s="25" t="s">
        <v>96</v>
      </c>
      <c r="C646" s="25" t="s">
        <v>46</v>
      </c>
      <c r="D646" s="25" t="s">
        <v>1508</v>
      </c>
      <c r="E646" s="25" t="s">
        <v>1367</v>
      </c>
      <c r="F646" s="25" t="s">
        <v>319</v>
      </c>
      <c r="G646" s="25" t="s">
        <v>35</v>
      </c>
      <c r="H646" s="25" t="s">
        <v>63</v>
      </c>
      <c r="I646" s="25" t="s">
        <v>190</v>
      </c>
      <c r="J646" s="25" t="s">
        <v>191</v>
      </c>
      <c r="K646" s="25" t="s">
        <v>298</v>
      </c>
      <c r="L646" s="25" t="s">
        <v>29</v>
      </c>
      <c r="M646" s="25" t="n">
        <v>2409</v>
      </c>
      <c r="N646" s="25" t="n">
        <v>1509</v>
      </c>
      <c r="O646" s="25"/>
      <c r="P646" s="26" t="n">
        <f aca="false">(M646*N646/1000000)*(INDEX(AreaRate_Vals,MATCH(C646,AreaRate_Keys,0))+IFERROR(INDEX(GlazingUpg_Vals,MATCH(H646,GlazingUpg_Keys,0)),0))+INDEX(Hardware_Vals,MATCH("Windows",Hardware_Keys,0))</f>
        <v>6611.56675</v>
      </c>
      <c r="Q646" s="27" t="n">
        <f aca="false">INDEX(Markup_Vals,MATCH("Windows",MarkupCat_Keys,0))</f>
        <v>0.42</v>
      </c>
      <c r="R646" s="28" t="n">
        <f aca="false">P646*(1+Q646)</f>
        <v>9388.424785</v>
      </c>
      <c r="S646" s="28" t="n">
        <f aca="false">R646*(1-TradeDiscount)</f>
        <v>8261.8138108</v>
      </c>
      <c r="T646" s="28" t="n">
        <f aca="false">R646*(1-VolumeDiscount)</f>
        <v>7510.739828</v>
      </c>
    </row>
    <row r="647" customFormat="false" ht="15" hidden="false" customHeight="false" outlineLevel="0" collapsed="false">
      <c r="A647" s="29" t="s">
        <v>1509</v>
      </c>
      <c r="B647" s="29" t="s">
        <v>96</v>
      </c>
      <c r="C647" s="29" t="s">
        <v>46</v>
      </c>
      <c r="D647" s="29" t="s">
        <v>1510</v>
      </c>
      <c r="E647" s="29" t="s">
        <v>1367</v>
      </c>
      <c r="F647" s="29" t="s">
        <v>319</v>
      </c>
      <c r="G647" s="29" t="s">
        <v>36</v>
      </c>
      <c r="H647" s="29" t="s">
        <v>63</v>
      </c>
      <c r="I647" s="29" t="s">
        <v>190</v>
      </c>
      <c r="J647" s="29" t="s">
        <v>191</v>
      </c>
      <c r="K647" s="29" t="s">
        <v>298</v>
      </c>
      <c r="L647" s="29" t="s">
        <v>29</v>
      </c>
      <c r="M647" s="29" t="n">
        <v>2409</v>
      </c>
      <c r="N647" s="29" t="n">
        <v>1509</v>
      </c>
      <c r="O647" s="29"/>
      <c r="P647" s="30" t="n">
        <f aca="false">(M647*N647/1000000)*(INDEX(AreaRate_Vals,MATCH(C647,AreaRate_Keys,0))+IFERROR(INDEX(GlazingUpg_Vals,MATCH(H647,GlazingUpg_Keys,0)),0))+INDEX(Hardware_Vals,MATCH("Windows",Hardware_Keys,0))</f>
        <v>6611.56675</v>
      </c>
      <c r="Q647" s="31" t="n">
        <f aca="false">INDEX(Markup_Vals,MATCH("Windows",MarkupCat_Keys,0))</f>
        <v>0.42</v>
      </c>
      <c r="R647" s="32" t="n">
        <f aca="false">P647*(1+Q647)</f>
        <v>9388.424785</v>
      </c>
      <c r="S647" s="32" t="n">
        <f aca="false">R647*(1-TradeDiscount)</f>
        <v>8261.8138108</v>
      </c>
      <c r="T647" s="32" t="n">
        <f aca="false">R647*(1-VolumeDiscount)</f>
        <v>7510.739828</v>
      </c>
    </row>
    <row r="648" customFormat="false" ht="15" hidden="false" customHeight="false" outlineLevel="0" collapsed="false">
      <c r="A648" s="25" t="s">
        <v>1511</v>
      </c>
      <c r="B648" s="25" t="s">
        <v>96</v>
      </c>
      <c r="C648" s="25" t="s">
        <v>46</v>
      </c>
      <c r="D648" s="25" t="s">
        <v>1512</v>
      </c>
      <c r="E648" s="25" t="s">
        <v>1367</v>
      </c>
      <c r="F648" s="25" t="s">
        <v>319</v>
      </c>
      <c r="G648" s="25" t="s">
        <v>37</v>
      </c>
      <c r="H648" s="25" t="s">
        <v>63</v>
      </c>
      <c r="I648" s="25" t="s">
        <v>190</v>
      </c>
      <c r="J648" s="25" t="s">
        <v>191</v>
      </c>
      <c r="K648" s="25" t="s">
        <v>298</v>
      </c>
      <c r="L648" s="25" t="s">
        <v>29</v>
      </c>
      <c r="M648" s="25" t="n">
        <v>2409</v>
      </c>
      <c r="N648" s="25" t="n">
        <v>1509</v>
      </c>
      <c r="O648" s="25"/>
      <c r="P648" s="26" t="n">
        <f aca="false">(M648*N648/1000000)*(INDEX(AreaRate_Vals,MATCH(C648,AreaRate_Keys,0))+IFERROR(INDEX(GlazingUpg_Vals,MATCH(H648,GlazingUpg_Keys,0)),0))+INDEX(Hardware_Vals,MATCH("Windows",Hardware_Keys,0))</f>
        <v>6611.56675</v>
      </c>
      <c r="Q648" s="27" t="n">
        <f aca="false">INDEX(Markup_Vals,MATCH("Windows",MarkupCat_Keys,0))</f>
        <v>0.42</v>
      </c>
      <c r="R648" s="28" t="n">
        <f aca="false">P648*(1+Q648)</f>
        <v>9388.424785</v>
      </c>
      <c r="S648" s="28" t="n">
        <f aca="false">R648*(1-TradeDiscount)</f>
        <v>8261.8138108</v>
      </c>
      <c r="T648" s="28" t="n">
        <f aca="false">R648*(1-VolumeDiscount)</f>
        <v>7510.739828</v>
      </c>
    </row>
    <row r="649" customFormat="false" ht="15" hidden="false" customHeight="false" outlineLevel="0" collapsed="false">
      <c r="A649" s="29" t="s">
        <v>1513</v>
      </c>
      <c r="B649" s="29" t="s">
        <v>96</v>
      </c>
      <c r="C649" s="29" t="s">
        <v>46</v>
      </c>
      <c r="D649" s="29" t="s">
        <v>1514</v>
      </c>
      <c r="E649" s="29" t="s">
        <v>1367</v>
      </c>
      <c r="F649" s="29" t="s">
        <v>319</v>
      </c>
      <c r="G649" s="29" t="s">
        <v>39</v>
      </c>
      <c r="H649" s="29" t="s">
        <v>63</v>
      </c>
      <c r="I649" s="29" t="s">
        <v>190</v>
      </c>
      <c r="J649" s="29" t="s">
        <v>191</v>
      </c>
      <c r="K649" s="29" t="s">
        <v>298</v>
      </c>
      <c r="L649" s="29" t="s">
        <v>29</v>
      </c>
      <c r="M649" s="29" t="n">
        <v>2409</v>
      </c>
      <c r="N649" s="29" t="n">
        <v>1509</v>
      </c>
      <c r="O649" s="29"/>
      <c r="P649" s="30" t="n">
        <f aca="false">(M649*N649/1000000)*(INDEX(AreaRate_Vals,MATCH(C649,AreaRate_Keys,0))+IFERROR(INDEX(GlazingUpg_Vals,MATCH(H649,GlazingUpg_Keys,0)),0))+INDEX(Hardware_Vals,MATCH("Windows",Hardware_Keys,0))</f>
        <v>6611.56675</v>
      </c>
      <c r="Q649" s="31" t="n">
        <f aca="false">INDEX(Markup_Vals,MATCH("Windows",MarkupCat_Keys,0))</f>
        <v>0.42</v>
      </c>
      <c r="R649" s="32" t="n">
        <f aca="false">P649*(1+Q649)</f>
        <v>9388.424785</v>
      </c>
      <c r="S649" s="32" t="n">
        <f aca="false">R649*(1-TradeDiscount)</f>
        <v>8261.8138108</v>
      </c>
      <c r="T649" s="32" t="n">
        <f aca="false">R649*(1-VolumeDiscount)</f>
        <v>7510.739828</v>
      </c>
    </row>
    <row r="650" customFormat="false" ht="15" hidden="false" customHeight="false" outlineLevel="0" collapsed="false">
      <c r="A650" s="25" t="s">
        <v>1515</v>
      </c>
      <c r="B650" s="25" t="s">
        <v>96</v>
      </c>
      <c r="C650" s="25" t="s">
        <v>46</v>
      </c>
      <c r="D650" s="25" t="s">
        <v>1516</v>
      </c>
      <c r="E650" s="25" t="s">
        <v>1367</v>
      </c>
      <c r="F650" s="25" t="s">
        <v>319</v>
      </c>
      <c r="G650" s="25" t="s">
        <v>38</v>
      </c>
      <c r="H650" s="25" t="s">
        <v>63</v>
      </c>
      <c r="I650" s="25" t="s">
        <v>190</v>
      </c>
      <c r="J650" s="25" t="s">
        <v>191</v>
      </c>
      <c r="K650" s="25" t="s">
        <v>298</v>
      </c>
      <c r="L650" s="25" t="s">
        <v>29</v>
      </c>
      <c r="M650" s="25" t="n">
        <v>2409</v>
      </c>
      <c r="N650" s="25" t="n">
        <v>1509</v>
      </c>
      <c r="O650" s="25"/>
      <c r="P650" s="26" t="n">
        <f aca="false">(M650*N650/1000000)*(INDEX(AreaRate_Vals,MATCH(C650,AreaRate_Keys,0))+IFERROR(INDEX(GlazingUpg_Vals,MATCH(H650,GlazingUpg_Keys,0)),0))+INDEX(Hardware_Vals,MATCH("Windows",Hardware_Keys,0))</f>
        <v>6611.56675</v>
      </c>
      <c r="Q650" s="27" t="n">
        <f aca="false">INDEX(Markup_Vals,MATCH("Windows",MarkupCat_Keys,0))</f>
        <v>0.42</v>
      </c>
      <c r="R650" s="28" t="n">
        <f aca="false">P650*(1+Q650)</f>
        <v>9388.424785</v>
      </c>
      <c r="S650" s="28" t="n">
        <f aca="false">R650*(1-TradeDiscount)</f>
        <v>8261.8138108</v>
      </c>
      <c r="T650" s="28" t="n">
        <f aca="false">R650*(1-VolumeDiscount)</f>
        <v>7510.739828</v>
      </c>
    </row>
    <row r="651" customFormat="false" ht="15" hidden="false" customHeight="false" outlineLevel="0" collapsed="false">
      <c r="A651" s="29" t="s">
        <v>1517</v>
      </c>
      <c r="B651" s="29" t="s">
        <v>96</v>
      </c>
      <c r="C651" s="29" t="s">
        <v>46</v>
      </c>
      <c r="D651" s="29" t="s">
        <v>1518</v>
      </c>
      <c r="E651" s="29" t="s">
        <v>1367</v>
      </c>
      <c r="F651" s="29" t="s">
        <v>319</v>
      </c>
      <c r="G651" s="29" t="s">
        <v>35</v>
      </c>
      <c r="H651" s="29" t="s">
        <v>64</v>
      </c>
      <c r="I651" s="29" t="s">
        <v>190</v>
      </c>
      <c r="J651" s="29" t="s">
        <v>191</v>
      </c>
      <c r="K651" s="29" t="s">
        <v>298</v>
      </c>
      <c r="L651" s="29" t="s">
        <v>29</v>
      </c>
      <c r="M651" s="29" t="n">
        <v>2409</v>
      </c>
      <c r="N651" s="29" t="n">
        <v>1509</v>
      </c>
      <c r="O651" s="29"/>
      <c r="P651" s="30" t="n">
        <f aca="false">(M651*N651/1000000)*(INDEX(AreaRate_Vals,MATCH(C651,AreaRate_Keys,0))+IFERROR(INDEX(GlazingUpg_Vals,MATCH(H651,GlazingUpg_Keys,0)),0))+INDEX(Hardware_Vals,MATCH("Windows",Hardware_Keys,0))</f>
        <v>8610.9163</v>
      </c>
      <c r="Q651" s="31" t="n">
        <f aca="false">INDEX(Markup_Vals,MATCH("Windows",MarkupCat_Keys,0))</f>
        <v>0.42</v>
      </c>
      <c r="R651" s="32" t="n">
        <f aca="false">P651*(1+Q651)</f>
        <v>12227.501146</v>
      </c>
      <c r="S651" s="32" t="n">
        <f aca="false">R651*(1-TradeDiscount)</f>
        <v>10760.20100848</v>
      </c>
      <c r="T651" s="32" t="n">
        <f aca="false">R651*(1-VolumeDiscount)</f>
        <v>9782.0009168</v>
      </c>
    </row>
    <row r="652" customFormat="false" ht="15" hidden="false" customHeight="false" outlineLevel="0" collapsed="false">
      <c r="A652" s="25" t="s">
        <v>1519</v>
      </c>
      <c r="B652" s="25" t="s">
        <v>96</v>
      </c>
      <c r="C652" s="25" t="s">
        <v>46</v>
      </c>
      <c r="D652" s="25" t="s">
        <v>1520</v>
      </c>
      <c r="E652" s="25" t="s">
        <v>1367</v>
      </c>
      <c r="F652" s="25" t="s">
        <v>319</v>
      </c>
      <c r="G652" s="25" t="s">
        <v>36</v>
      </c>
      <c r="H652" s="25" t="s">
        <v>64</v>
      </c>
      <c r="I652" s="25" t="s">
        <v>190</v>
      </c>
      <c r="J652" s="25" t="s">
        <v>191</v>
      </c>
      <c r="K652" s="25" t="s">
        <v>298</v>
      </c>
      <c r="L652" s="25" t="s">
        <v>29</v>
      </c>
      <c r="M652" s="25" t="n">
        <v>2409</v>
      </c>
      <c r="N652" s="25" t="n">
        <v>1509</v>
      </c>
      <c r="O652" s="25"/>
      <c r="P652" s="26" t="n">
        <f aca="false">(M652*N652/1000000)*(INDEX(AreaRate_Vals,MATCH(C652,AreaRate_Keys,0))+IFERROR(INDEX(GlazingUpg_Vals,MATCH(H652,GlazingUpg_Keys,0)),0))+INDEX(Hardware_Vals,MATCH("Windows",Hardware_Keys,0))</f>
        <v>8610.9163</v>
      </c>
      <c r="Q652" s="27" t="n">
        <f aca="false">INDEX(Markup_Vals,MATCH("Windows",MarkupCat_Keys,0))</f>
        <v>0.42</v>
      </c>
      <c r="R652" s="28" t="n">
        <f aca="false">P652*(1+Q652)</f>
        <v>12227.501146</v>
      </c>
      <c r="S652" s="28" t="n">
        <f aca="false">R652*(1-TradeDiscount)</f>
        <v>10760.20100848</v>
      </c>
      <c r="T652" s="28" t="n">
        <f aca="false">R652*(1-VolumeDiscount)</f>
        <v>9782.0009168</v>
      </c>
    </row>
    <row r="653" customFormat="false" ht="15" hidden="false" customHeight="false" outlineLevel="0" collapsed="false">
      <c r="A653" s="29" t="s">
        <v>1521</v>
      </c>
      <c r="B653" s="29" t="s">
        <v>96</v>
      </c>
      <c r="C653" s="29" t="s">
        <v>46</v>
      </c>
      <c r="D653" s="29" t="s">
        <v>1522</v>
      </c>
      <c r="E653" s="29" t="s">
        <v>1367</v>
      </c>
      <c r="F653" s="29" t="s">
        <v>319</v>
      </c>
      <c r="G653" s="29" t="s">
        <v>37</v>
      </c>
      <c r="H653" s="29" t="s">
        <v>64</v>
      </c>
      <c r="I653" s="29" t="s">
        <v>190</v>
      </c>
      <c r="J653" s="29" t="s">
        <v>191</v>
      </c>
      <c r="K653" s="29" t="s">
        <v>298</v>
      </c>
      <c r="L653" s="29" t="s">
        <v>29</v>
      </c>
      <c r="M653" s="29" t="n">
        <v>2409</v>
      </c>
      <c r="N653" s="29" t="n">
        <v>1509</v>
      </c>
      <c r="O653" s="29"/>
      <c r="P653" s="30" t="n">
        <f aca="false">(M653*N653/1000000)*(INDEX(AreaRate_Vals,MATCH(C653,AreaRate_Keys,0))+IFERROR(INDEX(GlazingUpg_Vals,MATCH(H653,GlazingUpg_Keys,0)),0))+INDEX(Hardware_Vals,MATCH("Windows",Hardware_Keys,0))</f>
        <v>8610.9163</v>
      </c>
      <c r="Q653" s="31" t="n">
        <f aca="false">INDEX(Markup_Vals,MATCH("Windows",MarkupCat_Keys,0))</f>
        <v>0.42</v>
      </c>
      <c r="R653" s="32" t="n">
        <f aca="false">P653*(1+Q653)</f>
        <v>12227.501146</v>
      </c>
      <c r="S653" s="32" t="n">
        <f aca="false">R653*(1-TradeDiscount)</f>
        <v>10760.20100848</v>
      </c>
      <c r="T653" s="32" t="n">
        <f aca="false">R653*(1-VolumeDiscount)</f>
        <v>9782.0009168</v>
      </c>
    </row>
    <row r="654" customFormat="false" ht="15" hidden="false" customHeight="false" outlineLevel="0" collapsed="false">
      <c r="A654" s="25" t="s">
        <v>1523</v>
      </c>
      <c r="B654" s="25" t="s">
        <v>96</v>
      </c>
      <c r="C654" s="25" t="s">
        <v>46</v>
      </c>
      <c r="D654" s="25" t="s">
        <v>1524</v>
      </c>
      <c r="E654" s="25" t="s">
        <v>1367</v>
      </c>
      <c r="F654" s="25" t="s">
        <v>319</v>
      </c>
      <c r="G654" s="25" t="s">
        <v>39</v>
      </c>
      <c r="H654" s="25" t="s">
        <v>64</v>
      </c>
      <c r="I654" s="25" t="s">
        <v>190</v>
      </c>
      <c r="J654" s="25" t="s">
        <v>191</v>
      </c>
      <c r="K654" s="25" t="s">
        <v>298</v>
      </c>
      <c r="L654" s="25" t="s">
        <v>29</v>
      </c>
      <c r="M654" s="25" t="n">
        <v>2409</v>
      </c>
      <c r="N654" s="25" t="n">
        <v>1509</v>
      </c>
      <c r="O654" s="25"/>
      <c r="P654" s="26" t="n">
        <f aca="false">(M654*N654/1000000)*(INDEX(AreaRate_Vals,MATCH(C654,AreaRate_Keys,0))+IFERROR(INDEX(GlazingUpg_Vals,MATCH(H654,GlazingUpg_Keys,0)),0))+INDEX(Hardware_Vals,MATCH("Windows",Hardware_Keys,0))</f>
        <v>8610.9163</v>
      </c>
      <c r="Q654" s="27" t="n">
        <f aca="false">INDEX(Markup_Vals,MATCH("Windows",MarkupCat_Keys,0))</f>
        <v>0.42</v>
      </c>
      <c r="R654" s="28" t="n">
        <f aca="false">P654*(1+Q654)</f>
        <v>12227.501146</v>
      </c>
      <c r="S654" s="28" t="n">
        <f aca="false">R654*(1-TradeDiscount)</f>
        <v>10760.20100848</v>
      </c>
      <c r="T654" s="28" t="n">
        <f aca="false">R654*(1-VolumeDiscount)</f>
        <v>9782.0009168</v>
      </c>
    </row>
    <row r="655" customFormat="false" ht="15" hidden="false" customHeight="false" outlineLevel="0" collapsed="false">
      <c r="A655" s="29" t="s">
        <v>1525</v>
      </c>
      <c r="B655" s="29" t="s">
        <v>96</v>
      </c>
      <c r="C655" s="29" t="s">
        <v>46</v>
      </c>
      <c r="D655" s="29" t="s">
        <v>1526</v>
      </c>
      <c r="E655" s="29" t="s">
        <v>1367</v>
      </c>
      <c r="F655" s="29" t="s">
        <v>319</v>
      </c>
      <c r="G655" s="29" t="s">
        <v>38</v>
      </c>
      <c r="H655" s="29" t="s">
        <v>64</v>
      </c>
      <c r="I655" s="29" t="s">
        <v>190</v>
      </c>
      <c r="J655" s="29" t="s">
        <v>191</v>
      </c>
      <c r="K655" s="29" t="s">
        <v>298</v>
      </c>
      <c r="L655" s="29" t="s">
        <v>29</v>
      </c>
      <c r="M655" s="29" t="n">
        <v>2409</v>
      </c>
      <c r="N655" s="29" t="n">
        <v>1509</v>
      </c>
      <c r="O655" s="29"/>
      <c r="P655" s="30" t="n">
        <f aca="false">(M655*N655/1000000)*(INDEX(AreaRate_Vals,MATCH(C655,AreaRate_Keys,0))+IFERROR(INDEX(GlazingUpg_Vals,MATCH(H655,GlazingUpg_Keys,0)),0))+INDEX(Hardware_Vals,MATCH("Windows",Hardware_Keys,0))</f>
        <v>8610.9163</v>
      </c>
      <c r="Q655" s="31" t="n">
        <f aca="false">INDEX(Markup_Vals,MATCH("Windows",MarkupCat_Keys,0))</f>
        <v>0.42</v>
      </c>
      <c r="R655" s="32" t="n">
        <f aca="false">P655*(1+Q655)</f>
        <v>12227.501146</v>
      </c>
      <c r="S655" s="32" t="n">
        <f aca="false">R655*(1-TradeDiscount)</f>
        <v>10760.20100848</v>
      </c>
      <c r="T655" s="32" t="n">
        <f aca="false">R655*(1-VolumeDiscount)</f>
        <v>9782.0009168</v>
      </c>
    </row>
    <row r="656" customFormat="false" ht="15" hidden="false" customHeight="false" outlineLevel="0" collapsed="false">
      <c r="A656" s="25" t="s">
        <v>1527</v>
      </c>
      <c r="B656" s="25" t="s">
        <v>96</v>
      </c>
      <c r="C656" s="25" t="s">
        <v>46</v>
      </c>
      <c r="D656" s="25" t="s">
        <v>1528</v>
      </c>
      <c r="E656" s="25" t="s">
        <v>1367</v>
      </c>
      <c r="F656" s="25" t="s">
        <v>340</v>
      </c>
      <c r="G656" s="25" t="s">
        <v>35</v>
      </c>
      <c r="H656" s="25" t="s">
        <v>63</v>
      </c>
      <c r="I656" s="25" t="s">
        <v>190</v>
      </c>
      <c r="J656" s="25" t="s">
        <v>191</v>
      </c>
      <c r="K656" s="25" t="s">
        <v>298</v>
      </c>
      <c r="L656" s="25" t="s">
        <v>29</v>
      </c>
      <c r="M656" s="25" t="n">
        <v>3009</v>
      </c>
      <c r="N656" s="25" t="n">
        <v>1509</v>
      </c>
      <c r="O656" s="25"/>
      <c r="P656" s="26" t="n">
        <f aca="false">(M656*N656/1000000)*(INDEX(AreaRate_Vals,MATCH(C656,AreaRate_Keys,0))+IFERROR(INDEX(GlazingUpg_Vals,MATCH(H656,GlazingUpg_Keys,0)),0))+INDEX(Hardware_Vals,MATCH("Windows",Hardware_Keys,0))</f>
        <v>8196.01675</v>
      </c>
      <c r="Q656" s="27" t="n">
        <f aca="false">INDEX(Markup_Vals,MATCH("Windows",MarkupCat_Keys,0))</f>
        <v>0.42</v>
      </c>
      <c r="R656" s="28" t="n">
        <f aca="false">P656*(1+Q656)</f>
        <v>11638.343785</v>
      </c>
      <c r="S656" s="28" t="n">
        <f aca="false">R656*(1-TradeDiscount)</f>
        <v>10241.7425308</v>
      </c>
      <c r="T656" s="28" t="n">
        <f aca="false">R656*(1-VolumeDiscount)</f>
        <v>9310.675028</v>
      </c>
    </row>
    <row r="657" customFormat="false" ht="15" hidden="false" customHeight="false" outlineLevel="0" collapsed="false">
      <c r="A657" s="29" t="s">
        <v>1529</v>
      </c>
      <c r="B657" s="29" t="s">
        <v>96</v>
      </c>
      <c r="C657" s="29" t="s">
        <v>46</v>
      </c>
      <c r="D657" s="29" t="s">
        <v>1530</v>
      </c>
      <c r="E657" s="29" t="s">
        <v>1367</v>
      </c>
      <c r="F657" s="29" t="s">
        <v>340</v>
      </c>
      <c r="G657" s="29" t="s">
        <v>36</v>
      </c>
      <c r="H657" s="29" t="s">
        <v>63</v>
      </c>
      <c r="I657" s="29" t="s">
        <v>190</v>
      </c>
      <c r="J657" s="29" t="s">
        <v>191</v>
      </c>
      <c r="K657" s="29" t="s">
        <v>298</v>
      </c>
      <c r="L657" s="29" t="s">
        <v>29</v>
      </c>
      <c r="M657" s="29" t="n">
        <v>3009</v>
      </c>
      <c r="N657" s="29" t="n">
        <v>1509</v>
      </c>
      <c r="O657" s="29"/>
      <c r="P657" s="30" t="n">
        <f aca="false">(M657*N657/1000000)*(INDEX(AreaRate_Vals,MATCH(C657,AreaRate_Keys,0))+IFERROR(INDEX(GlazingUpg_Vals,MATCH(H657,GlazingUpg_Keys,0)),0))+INDEX(Hardware_Vals,MATCH("Windows",Hardware_Keys,0))</f>
        <v>8196.01675</v>
      </c>
      <c r="Q657" s="31" t="n">
        <f aca="false">INDEX(Markup_Vals,MATCH("Windows",MarkupCat_Keys,0))</f>
        <v>0.42</v>
      </c>
      <c r="R657" s="32" t="n">
        <f aca="false">P657*(1+Q657)</f>
        <v>11638.343785</v>
      </c>
      <c r="S657" s="32" t="n">
        <f aca="false">R657*(1-TradeDiscount)</f>
        <v>10241.7425308</v>
      </c>
      <c r="T657" s="32" t="n">
        <f aca="false">R657*(1-VolumeDiscount)</f>
        <v>9310.675028</v>
      </c>
    </row>
    <row r="658" customFormat="false" ht="15" hidden="false" customHeight="false" outlineLevel="0" collapsed="false">
      <c r="A658" s="25" t="s">
        <v>1531</v>
      </c>
      <c r="B658" s="25" t="s">
        <v>96</v>
      </c>
      <c r="C658" s="25" t="s">
        <v>46</v>
      </c>
      <c r="D658" s="25" t="s">
        <v>1532</v>
      </c>
      <c r="E658" s="25" t="s">
        <v>1367</v>
      </c>
      <c r="F658" s="25" t="s">
        <v>340</v>
      </c>
      <c r="G658" s="25" t="s">
        <v>37</v>
      </c>
      <c r="H658" s="25" t="s">
        <v>63</v>
      </c>
      <c r="I658" s="25" t="s">
        <v>190</v>
      </c>
      <c r="J658" s="25" t="s">
        <v>191</v>
      </c>
      <c r="K658" s="25" t="s">
        <v>298</v>
      </c>
      <c r="L658" s="25" t="s">
        <v>29</v>
      </c>
      <c r="M658" s="25" t="n">
        <v>3009</v>
      </c>
      <c r="N658" s="25" t="n">
        <v>1509</v>
      </c>
      <c r="O658" s="25"/>
      <c r="P658" s="26" t="n">
        <f aca="false">(M658*N658/1000000)*(INDEX(AreaRate_Vals,MATCH(C658,AreaRate_Keys,0))+IFERROR(INDEX(GlazingUpg_Vals,MATCH(H658,GlazingUpg_Keys,0)),0))+INDEX(Hardware_Vals,MATCH("Windows",Hardware_Keys,0))</f>
        <v>8196.01675</v>
      </c>
      <c r="Q658" s="27" t="n">
        <f aca="false">INDEX(Markup_Vals,MATCH("Windows",MarkupCat_Keys,0))</f>
        <v>0.42</v>
      </c>
      <c r="R658" s="28" t="n">
        <f aca="false">P658*(1+Q658)</f>
        <v>11638.343785</v>
      </c>
      <c r="S658" s="28" t="n">
        <f aca="false">R658*(1-TradeDiscount)</f>
        <v>10241.7425308</v>
      </c>
      <c r="T658" s="28" t="n">
        <f aca="false">R658*(1-VolumeDiscount)</f>
        <v>9310.675028</v>
      </c>
    </row>
    <row r="659" customFormat="false" ht="15" hidden="false" customHeight="false" outlineLevel="0" collapsed="false">
      <c r="A659" s="29" t="s">
        <v>1533</v>
      </c>
      <c r="B659" s="29" t="s">
        <v>96</v>
      </c>
      <c r="C659" s="29" t="s">
        <v>46</v>
      </c>
      <c r="D659" s="29" t="s">
        <v>1534</v>
      </c>
      <c r="E659" s="29" t="s">
        <v>1367</v>
      </c>
      <c r="F659" s="29" t="s">
        <v>340</v>
      </c>
      <c r="G659" s="29" t="s">
        <v>39</v>
      </c>
      <c r="H659" s="29" t="s">
        <v>63</v>
      </c>
      <c r="I659" s="29" t="s">
        <v>190</v>
      </c>
      <c r="J659" s="29" t="s">
        <v>191</v>
      </c>
      <c r="K659" s="29" t="s">
        <v>298</v>
      </c>
      <c r="L659" s="29" t="s">
        <v>29</v>
      </c>
      <c r="M659" s="29" t="n">
        <v>3009</v>
      </c>
      <c r="N659" s="29" t="n">
        <v>1509</v>
      </c>
      <c r="O659" s="29"/>
      <c r="P659" s="30" t="n">
        <f aca="false">(M659*N659/1000000)*(INDEX(AreaRate_Vals,MATCH(C659,AreaRate_Keys,0))+IFERROR(INDEX(GlazingUpg_Vals,MATCH(H659,GlazingUpg_Keys,0)),0))+INDEX(Hardware_Vals,MATCH("Windows",Hardware_Keys,0))</f>
        <v>8196.01675</v>
      </c>
      <c r="Q659" s="31" t="n">
        <f aca="false">INDEX(Markup_Vals,MATCH("Windows",MarkupCat_Keys,0))</f>
        <v>0.42</v>
      </c>
      <c r="R659" s="32" t="n">
        <f aca="false">P659*(1+Q659)</f>
        <v>11638.343785</v>
      </c>
      <c r="S659" s="32" t="n">
        <f aca="false">R659*(1-TradeDiscount)</f>
        <v>10241.7425308</v>
      </c>
      <c r="T659" s="32" t="n">
        <f aca="false">R659*(1-VolumeDiscount)</f>
        <v>9310.675028</v>
      </c>
    </row>
    <row r="660" customFormat="false" ht="15" hidden="false" customHeight="false" outlineLevel="0" collapsed="false">
      <c r="A660" s="25" t="s">
        <v>1535</v>
      </c>
      <c r="B660" s="25" t="s">
        <v>96</v>
      </c>
      <c r="C660" s="25" t="s">
        <v>46</v>
      </c>
      <c r="D660" s="25" t="s">
        <v>1536</v>
      </c>
      <c r="E660" s="25" t="s">
        <v>1367</v>
      </c>
      <c r="F660" s="25" t="s">
        <v>340</v>
      </c>
      <c r="G660" s="25" t="s">
        <v>38</v>
      </c>
      <c r="H660" s="25" t="s">
        <v>63</v>
      </c>
      <c r="I660" s="25" t="s">
        <v>190</v>
      </c>
      <c r="J660" s="25" t="s">
        <v>191</v>
      </c>
      <c r="K660" s="25" t="s">
        <v>298</v>
      </c>
      <c r="L660" s="25" t="s">
        <v>29</v>
      </c>
      <c r="M660" s="25" t="n">
        <v>3009</v>
      </c>
      <c r="N660" s="25" t="n">
        <v>1509</v>
      </c>
      <c r="O660" s="25"/>
      <c r="P660" s="26" t="n">
        <f aca="false">(M660*N660/1000000)*(INDEX(AreaRate_Vals,MATCH(C660,AreaRate_Keys,0))+IFERROR(INDEX(GlazingUpg_Vals,MATCH(H660,GlazingUpg_Keys,0)),0))+INDEX(Hardware_Vals,MATCH("Windows",Hardware_Keys,0))</f>
        <v>8196.01675</v>
      </c>
      <c r="Q660" s="27" t="n">
        <f aca="false">INDEX(Markup_Vals,MATCH("Windows",MarkupCat_Keys,0))</f>
        <v>0.42</v>
      </c>
      <c r="R660" s="28" t="n">
        <f aca="false">P660*(1+Q660)</f>
        <v>11638.343785</v>
      </c>
      <c r="S660" s="28" t="n">
        <f aca="false">R660*(1-TradeDiscount)</f>
        <v>10241.7425308</v>
      </c>
      <c r="T660" s="28" t="n">
        <f aca="false">R660*(1-VolumeDiscount)</f>
        <v>9310.675028</v>
      </c>
    </row>
    <row r="661" customFormat="false" ht="15" hidden="false" customHeight="false" outlineLevel="0" collapsed="false">
      <c r="A661" s="29" t="s">
        <v>1537</v>
      </c>
      <c r="B661" s="29" t="s">
        <v>96</v>
      </c>
      <c r="C661" s="29" t="s">
        <v>46</v>
      </c>
      <c r="D661" s="29" t="s">
        <v>1538</v>
      </c>
      <c r="E661" s="29" t="s">
        <v>1367</v>
      </c>
      <c r="F661" s="29" t="s">
        <v>340</v>
      </c>
      <c r="G661" s="29" t="s">
        <v>35</v>
      </c>
      <c r="H661" s="29" t="s">
        <v>64</v>
      </c>
      <c r="I661" s="29" t="s">
        <v>190</v>
      </c>
      <c r="J661" s="29" t="s">
        <v>191</v>
      </c>
      <c r="K661" s="29" t="s">
        <v>298</v>
      </c>
      <c r="L661" s="29" t="s">
        <v>29</v>
      </c>
      <c r="M661" s="29" t="n">
        <v>3009</v>
      </c>
      <c r="N661" s="29" t="n">
        <v>1509</v>
      </c>
      <c r="O661" s="29"/>
      <c r="P661" s="30" t="n">
        <f aca="false">(M661*N661/1000000)*(INDEX(AreaRate_Vals,MATCH(C661,AreaRate_Keys,0))+IFERROR(INDEX(GlazingUpg_Vals,MATCH(H661,GlazingUpg_Keys,0)),0))+INDEX(Hardware_Vals,MATCH("Windows",Hardware_Keys,0))</f>
        <v>10693.3363</v>
      </c>
      <c r="Q661" s="31" t="n">
        <f aca="false">INDEX(Markup_Vals,MATCH("Windows",MarkupCat_Keys,0))</f>
        <v>0.42</v>
      </c>
      <c r="R661" s="32" t="n">
        <f aca="false">P661*(1+Q661)</f>
        <v>15184.537546</v>
      </c>
      <c r="S661" s="32" t="n">
        <f aca="false">R661*(1-TradeDiscount)</f>
        <v>13362.39304048</v>
      </c>
      <c r="T661" s="32" t="n">
        <f aca="false">R661*(1-VolumeDiscount)</f>
        <v>12147.6300368</v>
      </c>
    </row>
    <row r="662" customFormat="false" ht="15" hidden="false" customHeight="false" outlineLevel="0" collapsed="false">
      <c r="A662" s="25" t="s">
        <v>1539</v>
      </c>
      <c r="B662" s="25" t="s">
        <v>96</v>
      </c>
      <c r="C662" s="25" t="s">
        <v>46</v>
      </c>
      <c r="D662" s="25" t="s">
        <v>1540</v>
      </c>
      <c r="E662" s="25" t="s">
        <v>1367</v>
      </c>
      <c r="F662" s="25" t="s">
        <v>340</v>
      </c>
      <c r="G662" s="25" t="s">
        <v>36</v>
      </c>
      <c r="H662" s="25" t="s">
        <v>64</v>
      </c>
      <c r="I662" s="25" t="s">
        <v>190</v>
      </c>
      <c r="J662" s="25" t="s">
        <v>191</v>
      </c>
      <c r="K662" s="25" t="s">
        <v>298</v>
      </c>
      <c r="L662" s="25" t="s">
        <v>29</v>
      </c>
      <c r="M662" s="25" t="n">
        <v>3009</v>
      </c>
      <c r="N662" s="25" t="n">
        <v>1509</v>
      </c>
      <c r="O662" s="25"/>
      <c r="P662" s="26" t="n">
        <f aca="false">(M662*N662/1000000)*(INDEX(AreaRate_Vals,MATCH(C662,AreaRate_Keys,0))+IFERROR(INDEX(GlazingUpg_Vals,MATCH(H662,GlazingUpg_Keys,0)),0))+INDEX(Hardware_Vals,MATCH("Windows",Hardware_Keys,0))</f>
        <v>10693.3363</v>
      </c>
      <c r="Q662" s="27" t="n">
        <f aca="false">INDEX(Markup_Vals,MATCH("Windows",MarkupCat_Keys,0))</f>
        <v>0.42</v>
      </c>
      <c r="R662" s="28" t="n">
        <f aca="false">P662*(1+Q662)</f>
        <v>15184.537546</v>
      </c>
      <c r="S662" s="28" t="n">
        <f aca="false">R662*(1-TradeDiscount)</f>
        <v>13362.39304048</v>
      </c>
      <c r="T662" s="28" t="n">
        <f aca="false">R662*(1-VolumeDiscount)</f>
        <v>12147.6300368</v>
      </c>
    </row>
    <row r="663" customFormat="false" ht="15" hidden="false" customHeight="false" outlineLevel="0" collapsed="false">
      <c r="A663" s="29" t="s">
        <v>1541</v>
      </c>
      <c r="B663" s="29" t="s">
        <v>96</v>
      </c>
      <c r="C663" s="29" t="s">
        <v>46</v>
      </c>
      <c r="D663" s="29" t="s">
        <v>1542</v>
      </c>
      <c r="E663" s="29" t="s">
        <v>1367</v>
      </c>
      <c r="F663" s="29" t="s">
        <v>340</v>
      </c>
      <c r="G663" s="29" t="s">
        <v>37</v>
      </c>
      <c r="H663" s="29" t="s">
        <v>64</v>
      </c>
      <c r="I663" s="29" t="s">
        <v>190</v>
      </c>
      <c r="J663" s="29" t="s">
        <v>191</v>
      </c>
      <c r="K663" s="29" t="s">
        <v>298</v>
      </c>
      <c r="L663" s="29" t="s">
        <v>29</v>
      </c>
      <c r="M663" s="29" t="n">
        <v>3009</v>
      </c>
      <c r="N663" s="29" t="n">
        <v>1509</v>
      </c>
      <c r="O663" s="29"/>
      <c r="P663" s="30" t="n">
        <f aca="false">(M663*N663/1000000)*(INDEX(AreaRate_Vals,MATCH(C663,AreaRate_Keys,0))+IFERROR(INDEX(GlazingUpg_Vals,MATCH(H663,GlazingUpg_Keys,0)),0))+INDEX(Hardware_Vals,MATCH("Windows",Hardware_Keys,0))</f>
        <v>10693.3363</v>
      </c>
      <c r="Q663" s="31" t="n">
        <f aca="false">INDEX(Markup_Vals,MATCH("Windows",MarkupCat_Keys,0))</f>
        <v>0.42</v>
      </c>
      <c r="R663" s="32" t="n">
        <f aca="false">P663*(1+Q663)</f>
        <v>15184.537546</v>
      </c>
      <c r="S663" s="32" t="n">
        <f aca="false">R663*(1-TradeDiscount)</f>
        <v>13362.39304048</v>
      </c>
      <c r="T663" s="32" t="n">
        <f aca="false">R663*(1-VolumeDiscount)</f>
        <v>12147.6300368</v>
      </c>
    </row>
    <row r="664" customFormat="false" ht="15" hidden="false" customHeight="false" outlineLevel="0" collapsed="false">
      <c r="A664" s="25" t="s">
        <v>1543</v>
      </c>
      <c r="B664" s="25" t="s">
        <v>96</v>
      </c>
      <c r="C664" s="25" t="s">
        <v>46</v>
      </c>
      <c r="D664" s="25" t="s">
        <v>1544</v>
      </c>
      <c r="E664" s="25" t="s">
        <v>1367</v>
      </c>
      <c r="F664" s="25" t="s">
        <v>340</v>
      </c>
      <c r="G664" s="25" t="s">
        <v>39</v>
      </c>
      <c r="H664" s="25" t="s">
        <v>64</v>
      </c>
      <c r="I664" s="25" t="s">
        <v>190</v>
      </c>
      <c r="J664" s="25" t="s">
        <v>191</v>
      </c>
      <c r="K664" s="25" t="s">
        <v>298</v>
      </c>
      <c r="L664" s="25" t="s">
        <v>29</v>
      </c>
      <c r="M664" s="25" t="n">
        <v>3009</v>
      </c>
      <c r="N664" s="25" t="n">
        <v>1509</v>
      </c>
      <c r="O664" s="25"/>
      <c r="P664" s="26" t="n">
        <f aca="false">(M664*N664/1000000)*(INDEX(AreaRate_Vals,MATCH(C664,AreaRate_Keys,0))+IFERROR(INDEX(GlazingUpg_Vals,MATCH(H664,GlazingUpg_Keys,0)),0))+INDEX(Hardware_Vals,MATCH("Windows",Hardware_Keys,0))</f>
        <v>10693.3363</v>
      </c>
      <c r="Q664" s="27" t="n">
        <f aca="false">INDEX(Markup_Vals,MATCH("Windows",MarkupCat_Keys,0))</f>
        <v>0.42</v>
      </c>
      <c r="R664" s="28" t="n">
        <f aca="false">P664*(1+Q664)</f>
        <v>15184.537546</v>
      </c>
      <c r="S664" s="28" t="n">
        <f aca="false">R664*(1-TradeDiscount)</f>
        <v>13362.39304048</v>
      </c>
      <c r="T664" s="28" t="n">
        <f aca="false">R664*(1-VolumeDiscount)</f>
        <v>12147.6300368</v>
      </c>
    </row>
    <row r="665" customFormat="false" ht="15" hidden="false" customHeight="false" outlineLevel="0" collapsed="false">
      <c r="A665" s="29" t="s">
        <v>1545</v>
      </c>
      <c r="B665" s="29" t="s">
        <v>96</v>
      </c>
      <c r="C665" s="29" t="s">
        <v>46</v>
      </c>
      <c r="D665" s="29" t="s">
        <v>1546</v>
      </c>
      <c r="E665" s="29" t="s">
        <v>1367</v>
      </c>
      <c r="F665" s="29" t="s">
        <v>340</v>
      </c>
      <c r="G665" s="29" t="s">
        <v>38</v>
      </c>
      <c r="H665" s="29" t="s">
        <v>64</v>
      </c>
      <c r="I665" s="29" t="s">
        <v>190</v>
      </c>
      <c r="J665" s="29" t="s">
        <v>191</v>
      </c>
      <c r="K665" s="29" t="s">
        <v>298</v>
      </c>
      <c r="L665" s="29" t="s">
        <v>29</v>
      </c>
      <c r="M665" s="29" t="n">
        <v>3009</v>
      </c>
      <c r="N665" s="29" t="n">
        <v>1509</v>
      </c>
      <c r="O665" s="29"/>
      <c r="P665" s="30" t="n">
        <f aca="false">(M665*N665/1000000)*(INDEX(AreaRate_Vals,MATCH(C665,AreaRate_Keys,0))+IFERROR(INDEX(GlazingUpg_Vals,MATCH(H665,GlazingUpg_Keys,0)),0))+INDEX(Hardware_Vals,MATCH("Windows",Hardware_Keys,0))</f>
        <v>10693.3363</v>
      </c>
      <c r="Q665" s="31" t="n">
        <f aca="false">INDEX(Markup_Vals,MATCH("Windows",MarkupCat_Keys,0))</f>
        <v>0.42</v>
      </c>
      <c r="R665" s="32" t="n">
        <f aca="false">P665*(1+Q665)</f>
        <v>15184.537546</v>
      </c>
      <c r="S665" s="32" t="n">
        <f aca="false">R665*(1-TradeDiscount)</f>
        <v>13362.39304048</v>
      </c>
      <c r="T665" s="32" t="n">
        <f aca="false">R665*(1-VolumeDiscount)</f>
        <v>12147.6300368</v>
      </c>
    </row>
    <row r="666" customFormat="false" ht="15" hidden="false" customHeight="false" outlineLevel="0" collapsed="false">
      <c r="A666" s="25" t="s">
        <v>1547</v>
      </c>
      <c r="B666" s="25" t="s">
        <v>96</v>
      </c>
      <c r="C666" s="25" t="s">
        <v>46</v>
      </c>
      <c r="D666" s="25" t="s">
        <v>1548</v>
      </c>
      <c r="E666" s="25" t="s">
        <v>1367</v>
      </c>
      <c r="F666" s="25" t="s">
        <v>1549</v>
      </c>
      <c r="G666" s="25" t="s">
        <v>35</v>
      </c>
      <c r="H666" s="25" t="s">
        <v>63</v>
      </c>
      <c r="I666" s="25" t="s">
        <v>190</v>
      </c>
      <c r="J666" s="25" t="s">
        <v>191</v>
      </c>
      <c r="K666" s="25" t="s">
        <v>298</v>
      </c>
      <c r="L666" s="25" t="s">
        <v>29</v>
      </c>
      <c r="M666" s="25" t="n">
        <v>3009</v>
      </c>
      <c r="N666" s="25" t="n">
        <v>1809</v>
      </c>
      <c r="O666" s="25"/>
      <c r="P666" s="26" t="n">
        <f aca="false">(M666*N666/1000000)*(INDEX(AreaRate_Vals,MATCH(C666,AreaRate_Keys,0))+IFERROR(INDEX(GlazingUpg_Vals,MATCH(H666,GlazingUpg_Keys,0)),0))+INDEX(Hardware_Vals,MATCH("Windows",Hardware_Keys,0))</f>
        <v>9775.74175</v>
      </c>
      <c r="Q666" s="27" t="n">
        <f aca="false">INDEX(Markup_Vals,MATCH("Windows",MarkupCat_Keys,0))</f>
        <v>0.42</v>
      </c>
      <c r="R666" s="28" t="n">
        <f aca="false">P666*(1+Q666)</f>
        <v>13881.553285</v>
      </c>
      <c r="S666" s="28" t="n">
        <f aca="false">R666*(1-TradeDiscount)</f>
        <v>12215.7668908</v>
      </c>
      <c r="T666" s="28" t="n">
        <f aca="false">R666*(1-VolumeDiscount)</f>
        <v>11105.242628</v>
      </c>
    </row>
    <row r="667" customFormat="false" ht="15" hidden="false" customHeight="false" outlineLevel="0" collapsed="false">
      <c r="A667" s="29" t="s">
        <v>1550</v>
      </c>
      <c r="B667" s="29" t="s">
        <v>96</v>
      </c>
      <c r="C667" s="29" t="s">
        <v>46</v>
      </c>
      <c r="D667" s="29" t="s">
        <v>1551</v>
      </c>
      <c r="E667" s="29" t="s">
        <v>1367</v>
      </c>
      <c r="F667" s="29" t="s">
        <v>1549</v>
      </c>
      <c r="G667" s="29" t="s">
        <v>36</v>
      </c>
      <c r="H667" s="29" t="s">
        <v>63</v>
      </c>
      <c r="I667" s="29" t="s">
        <v>190</v>
      </c>
      <c r="J667" s="29" t="s">
        <v>191</v>
      </c>
      <c r="K667" s="29" t="s">
        <v>298</v>
      </c>
      <c r="L667" s="29" t="s">
        <v>29</v>
      </c>
      <c r="M667" s="29" t="n">
        <v>3009</v>
      </c>
      <c r="N667" s="29" t="n">
        <v>1809</v>
      </c>
      <c r="O667" s="29"/>
      <c r="P667" s="30" t="n">
        <f aca="false">(M667*N667/1000000)*(INDEX(AreaRate_Vals,MATCH(C667,AreaRate_Keys,0))+IFERROR(INDEX(GlazingUpg_Vals,MATCH(H667,GlazingUpg_Keys,0)),0))+INDEX(Hardware_Vals,MATCH("Windows",Hardware_Keys,0))</f>
        <v>9775.74175</v>
      </c>
      <c r="Q667" s="31" t="n">
        <f aca="false">INDEX(Markup_Vals,MATCH("Windows",MarkupCat_Keys,0))</f>
        <v>0.42</v>
      </c>
      <c r="R667" s="32" t="n">
        <f aca="false">P667*(1+Q667)</f>
        <v>13881.553285</v>
      </c>
      <c r="S667" s="32" t="n">
        <f aca="false">R667*(1-TradeDiscount)</f>
        <v>12215.7668908</v>
      </c>
      <c r="T667" s="32" t="n">
        <f aca="false">R667*(1-VolumeDiscount)</f>
        <v>11105.242628</v>
      </c>
    </row>
    <row r="668" customFormat="false" ht="15" hidden="false" customHeight="false" outlineLevel="0" collapsed="false">
      <c r="A668" s="25" t="s">
        <v>1552</v>
      </c>
      <c r="B668" s="25" t="s">
        <v>96</v>
      </c>
      <c r="C668" s="25" t="s">
        <v>46</v>
      </c>
      <c r="D668" s="25" t="s">
        <v>1553</v>
      </c>
      <c r="E668" s="25" t="s">
        <v>1367</v>
      </c>
      <c r="F668" s="25" t="s">
        <v>1549</v>
      </c>
      <c r="G668" s="25" t="s">
        <v>37</v>
      </c>
      <c r="H668" s="25" t="s">
        <v>63</v>
      </c>
      <c r="I668" s="25" t="s">
        <v>190</v>
      </c>
      <c r="J668" s="25" t="s">
        <v>191</v>
      </c>
      <c r="K668" s="25" t="s">
        <v>298</v>
      </c>
      <c r="L668" s="25" t="s">
        <v>29</v>
      </c>
      <c r="M668" s="25" t="n">
        <v>3009</v>
      </c>
      <c r="N668" s="25" t="n">
        <v>1809</v>
      </c>
      <c r="O668" s="25"/>
      <c r="P668" s="26" t="n">
        <f aca="false">(M668*N668/1000000)*(INDEX(AreaRate_Vals,MATCH(C668,AreaRate_Keys,0))+IFERROR(INDEX(GlazingUpg_Vals,MATCH(H668,GlazingUpg_Keys,0)),0))+INDEX(Hardware_Vals,MATCH("Windows",Hardware_Keys,0))</f>
        <v>9775.74175</v>
      </c>
      <c r="Q668" s="27" t="n">
        <f aca="false">INDEX(Markup_Vals,MATCH("Windows",MarkupCat_Keys,0))</f>
        <v>0.42</v>
      </c>
      <c r="R668" s="28" t="n">
        <f aca="false">P668*(1+Q668)</f>
        <v>13881.553285</v>
      </c>
      <c r="S668" s="28" t="n">
        <f aca="false">R668*(1-TradeDiscount)</f>
        <v>12215.7668908</v>
      </c>
      <c r="T668" s="28" t="n">
        <f aca="false">R668*(1-VolumeDiscount)</f>
        <v>11105.242628</v>
      </c>
    </row>
    <row r="669" customFormat="false" ht="15" hidden="false" customHeight="false" outlineLevel="0" collapsed="false">
      <c r="A669" s="29" t="s">
        <v>1554</v>
      </c>
      <c r="B669" s="29" t="s">
        <v>96</v>
      </c>
      <c r="C669" s="29" t="s">
        <v>46</v>
      </c>
      <c r="D669" s="29" t="s">
        <v>1555</v>
      </c>
      <c r="E669" s="29" t="s">
        <v>1367</v>
      </c>
      <c r="F669" s="29" t="s">
        <v>1549</v>
      </c>
      <c r="G669" s="29" t="s">
        <v>39</v>
      </c>
      <c r="H669" s="29" t="s">
        <v>63</v>
      </c>
      <c r="I669" s="29" t="s">
        <v>190</v>
      </c>
      <c r="J669" s="29" t="s">
        <v>191</v>
      </c>
      <c r="K669" s="29" t="s">
        <v>298</v>
      </c>
      <c r="L669" s="29" t="s">
        <v>29</v>
      </c>
      <c r="M669" s="29" t="n">
        <v>3009</v>
      </c>
      <c r="N669" s="29" t="n">
        <v>1809</v>
      </c>
      <c r="O669" s="29"/>
      <c r="P669" s="30" t="n">
        <f aca="false">(M669*N669/1000000)*(INDEX(AreaRate_Vals,MATCH(C669,AreaRate_Keys,0))+IFERROR(INDEX(GlazingUpg_Vals,MATCH(H669,GlazingUpg_Keys,0)),0))+INDEX(Hardware_Vals,MATCH("Windows",Hardware_Keys,0))</f>
        <v>9775.74175</v>
      </c>
      <c r="Q669" s="31" t="n">
        <f aca="false">INDEX(Markup_Vals,MATCH("Windows",MarkupCat_Keys,0))</f>
        <v>0.42</v>
      </c>
      <c r="R669" s="32" t="n">
        <f aca="false">P669*(1+Q669)</f>
        <v>13881.553285</v>
      </c>
      <c r="S669" s="32" t="n">
        <f aca="false">R669*(1-TradeDiscount)</f>
        <v>12215.7668908</v>
      </c>
      <c r="T669" s="32" t="n">
        <f aca="false">R669*(1-VolumeDiscount)</f>
        <v>11105.242628</v>
      </c>
    </row>
    <row r="670" customFormat="false" ht="15" hidden="false" customHeight="false" outlineLevel="0" collapsed="false">
      <c r="A670" s="25" t="s">
        <v>1556</v>
      </c>
      <c r="B670" s="25" t="s">
        <v>96</v>
      </c>
      <c r="C670" s="25" t="s">
        <v>46</v>
      </c>
      <c r="D670" s="25" t="s">
        <v>1557</v>
      </c>
      <c r="E670" s="25" t="s">
        <v>1367</v>
      </c>
      <c r="F670" s="25" t="s">
        <v>1549</v>
      </c>
      <c r="G670" s="25" t="s">
        <v>38</v>
      </c>
      <c r="H670" s="25" t="s">
        <v>63</v>
      </c>
      <c r="I670" s="25" t="s">
        <v>190</v>
      </c>
      <c r="J670" s="25" t="s">
        <v>191</v>
      </c>
      <c r="K670" s="25" t="s">
        <v>298</v>
      </c>
      <c r="L670" s="25" t="s">
        <v>29</v>
      </c>
      <c r="M670" s="25" t="n">
        <v>3009</v>
      </c>
      <c r="N670" s="25" t="n">
        <v>1809</v>
      </c>
      <c r="O670" s="25"/>
      <c r="P670" s="26" t="n">
        <f aca="false">(M670*N670/1000000)*(INDEX(AreaRate_Vals,MATCH(C670,AreaRate_Keys,0))+IFERROR(INDEX(GlazingUpg_Vals,MATCH(H670,GlazingUpg_Keys,0)),0))+INDEX(Hardware_Vals,MATCH("Windows",Hardware_Keys,0))</f>
        <v>9775.74175</v>
      </c>
      <c r="Q670" s="27" t="n">
        <f aca="false">INDEX(Markup_Vals,MATCH("Windows",MarkupCat_Keys,0))</f>
        <v>0.42</v>
      </c>
      <c r="R670" s="28" t="n">
        <f aca="false">P670*(1+Q670)</f>
        <v>13881.553285</v>
      </c>
      <c r="S670" s="28" t="n">
        <f aca="false">R670*(1-TradeDiscount)</f>
        <v>12215.7668908</v>
      </c>
      <c r="T670" s="28" t="n">
        <f aca="false">R670*(1-VolumeDiscount)</f>
        <v>11105.242628</v>
      </c>
    </row>
    <row r="671" customFormat="false" ht="15" hidden="false" customHeight="false" outlineLevel="0" collapsed="false">
      <c r="A671" s="29" t="s">
        <v>1558</v>
      </c>
      <c r="B671" s="29" t="s">
        <v>96</v>
      </c>
      <c r="C671" s="29" t="s">
        <v>46</v>
      </c>
      <c r="D671" s="29" t="s">
        <v>1559</v>
      </c>
      <c r="E671" s="29" t="s">
        <v>1367</v>
      </c>
      <c r="F671" s="29" t="s">
        <v>1549</v>
      </c>
      <c r="G671" s="29" t="s">
        <v>35</v>
      </c>
      <c r="H671" s="29" t="s">
        <v>64</v>
      </c>
      <c r="I671" s="29" t="s">
        <v>190</v>
      </c>
      <c r="J671" s="29" t="s">
        <v>191</v>
      </c>
      <c r="K671" s="29" t="s">
        <v>298</v>
      </c>
      <c r="L671" s="29" t="s">
        <v>29</v>
      </c>
      <c r="M671" s="29" t="n">
        <v>3009</v>
      </c>
      <c r="N671" s="29" t="n">
        <v>1809</v>
      </c>
      <c r="O671" s="29"/>
      <c r="P671" s="30" t="n">
        <f aca="false">(M671*N671/1000000)*(INDEX(AreaRate_Vals,MATCH(C671,AreaRate_Keys,0))+IFERROR(INDEX(GlazingUpg_Vals,MATCH(H671,GlazingUpg_Keys,0)),0))+INDEX(Hardware_Vals,MATCH("Windows",Hardware_Keys,0))</f>
        <v>12769.5463</v>
      </c>
      <c r="Q671" s="31" t="n">
        <f aca="false">INDEX(Markup_Vals,MATCH("Windows",MarkupCat_Keys,0))</f>
        <v>0.42</v>
      </c>
      <c r="R671" s="32" t="n">
        <f aca="false">P671*(1+Q671)</f>
        <v>18132.755746</v>
      </c>
      <c r="S671" s="32" t="n">
        <f aca="false">R671*(1-TradeDiscount)</f>
        <v>15956.82505648</v>
      </c>
      <c r="T671" s="32" t="n">
        <f aca="false">R671*(1-VolumeDiscount)</f>
        <v>14506.2045968</v>
      </c>
    </row>
    <row r="672" customFormat="false" ht="15" hidden="false" customHeight="false" outlineLevel="0" collapsed="false">
      <c r="A672" s="25" t="s">
        <v>1560</v>
      </c>
      <c r="B672" s="25" t="s">
        <v>96</v>
      </c>
      <c r="C672" s="25" t="s">
        <v>46</v>
      </c>
      <c r="D672" s="25" t="s">
        <v>1561</v>
      </c>
      <c r="E672" s="25" t="s">
        <v>1367</v>
      </c>
      <c r="F672" s="25" t="s">
        <v>1549</v>
      </c>
      <c r="G672" s="25" t="s">
        <v>36</v>
      </c>
      <c r="H672" s="25" t="s">
        <v>64</v>
      </c>
      <c r="I672" s="25" t="s">
        <v>190</v>
      </c>
      <c r="J672" s="25" t="s">
        <v>191</v>
      </c>
      <c r="K672" s="25" t="s">
        <v>298</v>
      </c>
      <c r="L672" s="25" t="s">
        <v>29</v>
      </c>
      <c r="M672" s="25" t="n">
        <v>3009</v>
      </c>
      <c r="N672" s="25" t="n">
        <v>1809</v>
      </c>
      <c r="O672" s="25"/>
      <c r="P672" s="26" t="n">
        <f aca="false">(M672*N672/1000000)*(INDEX(AreaRate_Vals,MATCH(C672,AreaRate_Keys,0))+IFERROR(INDEX(GlazingUpg_Vals,MATCH(H672,GlazingUpg_Keys,0)),0))+INDEX(Hardware_Vals,MATCH("Windows",Hardware_Keys,0))</f>
        <v>12769.5463</v>
      </c>
      <c r="Q672" s="27" t="n">
        <f aca="false">INDEX(Markup_Vals,MATCH("Windows",MarkupCat_Keys,0))</f>
        <v>0.42</v>
      </c>
      <c r="R672" s="28" t="n">
        <f aca="false">P672*(1+Q672)</f>
        <v>18132.755746</v>
      </c>
      <c r="S672" s="28" t="n">
        <f aca="false">R672*(1-TradeDiscount)</f>
        <v>15956.82505648</v>
      </c>
      <c r="T672" s="28" t="n">
        <f aca="false">R672*(1-VolumeDiscount)</f>
        <v>14506.2045968</v>
      </c>
    </row>
    <row r="673" customFormat="false" ht="15" hidden="false" customHeight="false" outlineLevel="0" collapsed="false">
      <c r="A673" s="29" t="s">
        <v>1562</v>
      </c>
      <c r="B673" s="29" t="s">
        <v>96</v>
      </c>
      <c r="C673" s="29" t="s">
        <v>46</v>
      </c>
      <c r="D673" s="29" t="s">
        <v>1563</v>
      </c>
      <c r="E673" s="29" t="s">
        <v>1367</v>
      </c>
      <c r="F673" s="29" t="s">
        <v>1549</v>
      </c>
      <c r="G673" s="29" t="s">
        <v>37</v>
      </c>
      <c r="H673" s="29" t="s">
        <v>64</v>
      </c>
      <c r="I673" s="29" t="s">
        <v>190</v>
      </c>
      <c r="J673" s="29" t="s">
        <v>191</v>
      </c>
      <c r="K673" s="29" t="s">
        <v>298</v>
      </c>
      <c r="L673" s="29" t="s">
        <v>29</v>
      </c>
      <c r="M673" s="29" t="n">
        <v>3009</v>
      </c>
      <c r="N673" s="29" t="n">
        <v>1809</v>
      </c>
      <c r="O673" s="29"/>
      <c r="P673" s="30" t="n">
        <f aca="false">(M673*N673/1000000)*(INDEX(AreaRate_Vals,MATCH(C673,AreaRate_Keys,0))+IFERROR(INDEX(GlazingUpg_Vals,MATCH(H673,GlazingUpg_Keys,0)),0))+INDEX(Hardware_Vals,MATCH("Windows",Hardware_Keys,0))</f>
        <v>12769.5463</v>
      </c>
      <c r="Q673" s="31" t="n">
        <f aca="false">INDEX(Markup_Vals,MATCH("Windows",MarkupCat_Keys,0))</f>
        <v>0.42</v>
      </c>
      <c r="R673" s="32" t="n">
        <f aca="false">P673*(1+Q673)</f>
        <v>18132.755746</v>
      </c>
      <c r="S673" s="32" t="n">
        <f aca="false">R673*(1-TradeDiscount)</f>
        <v>15956.82505648</v>
      </c>
      <c r="T673" s="32" t="n">
        <f aca="false">R673*(1-VolumeDiscount)</f>
        <v>14506.2045968</v>
      </c>
    </row>
    <row r="674" customFormat="false" ht="15" hidden="false" customHeight="false" outlineLevel="0" collapsed="false">
      <c r="A674" s="25" t="s">
        <v>1564</v>
      </c>
      <c r="B674" s="25" t="s">
        <v>96</v>
      </c>
      <c r="C674" s="25" t="s">
        <v>46</v>
      </c>
      <c r="D674" s="25" t="s">
        <v>1565</v>
      </c>
      <c r="E674" s="25" t="s">
        <v>1367</v>
      </c>
      <c r="F674" s="25" t="s">
        <v>1549</v>
      </c>
      <c r="G674" s="25" t="s">
        <v>39</v>
      </c>
      <c r="H674" s="25" t="s">
        <v>64</v>
      </c>
      <c r="I674" s="25" t="s">
        <v>190</v>
      </c>
      <c r="J674" s="25" t="s">
        <v>191</v>
      </c>
      <c r="K674" s="25" t="s">
        <v>298</v>
      </c>
      <c r="L674" s="25" t="s">
        <v>29</v>
      </c>
      <c r="M674" s="25" t="n">
        <v>3009</v>
      </c>
      <c r="N674" s="25" t="n">
        <v>1809</v>
      </c>
      <c r="O674" s="25"/>
      <c r="P674" s="26" t="n">
        <f aca="false">(M674*N674/1000000)*(INDEX(AreaRate_Vals,MATCH(C674,AreaRate_Keys,0))+IFERROR(INDEX(GlazingUpg_Vals,MATCH(H674,GlazingUpg_Keys,0)),0))+INDEX(Hardware_Vals,MATCH("Windows",Hardware_Keys,0))</f>
        <v>12769.5463</v>
      </c>
      <c r="Q674" s="27" t="n">
        <f aca="false">INDEX(Markup_Vals,MATCH("Windows",MarkupCat_Keys,0))</f>
        <v>0.42</v>
      </c>
      <c r="R674" s="28" t="n">
        <f aca="false">P674*(1+Q674)</f>
        <v>18132.755746</v>
      </c>
      <c r="S674" s="28" t="n">
        <f aca="false">R674*(1-TradeDiscount)</f>
        <v>15956.82505648</v>
      </c>
      <c r="T674" s="28" t="n">
        <f aca="false">R674*(1-VolumeDiscount)</f>
        <v>14506.2045968</v>
      </c>
    </row>
    <row r="675" customFormat="false" ht="15" hidden="false" customHeight="false" outlineLevel="0" collapsed="false">
      <c r="A675" s="29" t="s">
        <v>1566</v>
      </c>
      <c r="B675" s="29" t="s">
        <v>96</v>
      </c>
      <c r="C675" s="29" t="s">
        <v>46</v>
      </c>
      <c r="D675" s="29" t="s">
        <v>1567</v>
      </c>
      <c r="E675" s="29" t="s">
        <v>1367</v>
      </c>
      <c r="F675" s="29" t="s">
        <v>1549</v>
      </c>
      <c r="G675" s="29" t="s">
        <v>38</v>
      </c>
      <c r="H675" s="29" t="s">
        <v>64</v>
      </c>
      <c r="I675" s="29" t="s">
        <v>190</v>
      </c>
      <c r="J675" s="29" t="s">
        <v>191</v>
      </c>
      <c r="K675" s="29" t="s">
        <v>298</v>
      </c>
      <c r="L675" s="29" t="s">
        <v>29</v>
      </c>
      <c r="M675" s="29" t="n">
        <v>3009</v>
      </c>
      <c r="N675" s="29" t="n">
        <v>1809</v>
      </c>
      <c r="O675" s="29"/>
      <c r="P675" s="30" t="n">
        <f aca="false">(M675*N675/1000000)*(INDEX(AreaRate_Vals,MATCH(C675,AreaRate_Keys,0))+IFERROR(INDEX(GlazingUpg_Vals,MATCH(H675,GlazingUpg_Keys,0)),0))+INDEX(Hardware_Vals,MATCH("Windows",Hardware_Keys,0))</f>
        <v>12769.5463</v>
      </c>
      <c r="Q675" s="31" t="n">
        <f aca="false">INDEX(Markup_Vals,MATCH("Windows",MarkupCat_Keys,0))</f>
        <v>0.42</v>
      </c>
      <c r="R675" s="32" t="n">
        <f aca="false">P675*(1+Q675)</f>
        <v>18132.755746</v>
      </c>
      <c r="S675" s="32" t="n">
        <f aca="false">R675*(1-TradeDiscount)</f>
        <v>15956.82505648</v>
      </c>
      <c r="T675" s="32" t="n">
        <f aca="false">R675*(1-VolumeDiscount)</f>
        <v>14506.2045968</v>
      </c>
    </row>
    <row r="676" customFormat="false" ht="15" hidden="false" customHeight="false" outlineLevel="0" collapsed="false">
      <c r="A676" s="25" t="s">
        <v>1568</v>
      </c>
      <c r="B676" s="25" t="s">
        <v>96</v>
      </c>
      <c r="C676" s="25" t="s">
        <v>47</v>
      </c>
      <c r="D676" s="25" t="s">
        <v>1569</v>
      </c>
      <c r="E676" s="25" t="s">
        <v>1570</v>
      </c>
      <c r="F676" s="25" t="s">
        <v>684</v>
      </c>
      <c r="G676" s="25" t="s">
        <v>35</v>
      </c>
      <c r="H676" s="25" t="s">
        <v>64</v>
      </c>
      <c r="I676" s="25" t="s">
        <v>190</v>
      </c>
      <c r="J676" s="25" t="s">
        <v>685</v>
      </c>
      <c r="K676" s="25" t="s">
        <v>298</v>
      </c>
      <c r="L676" s="25" t="s">
        <v>29</v>
      </c>
      <c r="M676" s="25" t="n">
        <v>609</v>
      </c>
      <c r="N676" s="25" t="n">
        <v>909</v>
      </c>
      <c r="O676" s="25"/>
      <c r="P676" s="26" t="n">
        <f aca="false">(M676*N676/1000000)*(INDEX(AreaRate_Vals,MATCH(C676,AreaRate_Keys,0))+IFERROR(INDEX(GlazingUpg_Vals,MATCH(H676,GlazingUpg_Keys,0)),0))+INDEX(Hardware_Vals,MATCH("Windows",Hardware_Keys,0))</f>
        <v>2104.49635</v>
      </c>
      <c r="Q676" s="27" t="n">
        <f aca="false">INDEX(Markup_Vals,MATCH("Windows",MarkupCat_Keys,0))</f>
        <v>0.42</v>
      </c>
      <c r="R676" s="28" t="n">
        <f aca="false">P676*(1+Q676)</f>
        <v>2988.384817</v>
      </c>
      <c r="S676" s="28" t="n">
        <f aca="false">R676*(1-TradeDiscount)</f>
        <v>2629.77863896</v>
      </c>
      <c r="T676" s="28" t="n">
        <f aca="false">R676*(1-VolumeDiscount)</f>
        <v>2390.7078536</v>
      </c>
    </row>
    <row r="677" customFormat="false" ht="15" hidden="false" customHeight="false" outlineLevel="0" collapsed="false">
      <c r="A677" s="29" t="s">
        <v>1571</v>
      </c>
      <c r="B677" s="29" t="s">
        <v>96</v>
      </c>
      <c r="C677" s="29" t="s">
        <v>47</v>
      </c>
      <c r="D677" s="29" t="s">
        <v>1572</v>
      </c>
      <c r="E677" s="29" t="s">
        <v>1570</v>
      </c>
      <c r="F677" s="29" t="s">
        <v>684</v>
      </c>
      <c r="G677" s="29" t="s">
        <v>36</v>
      </c>
      <c r="H677" s="29" t="s">
        <v>64</v>
      </c>
      <c r="I677" s="29" t="s">
        <v>190</v>
      </c>
      <c r="J677" s="29" t="s">
        <v>685</v>
      </c>
      <c r="K677" s="29" t="s">
        <v>298</v>
      </c>
      <c r="L677" s="29" t="s">
        <v>29</v>
      </c>
      <c r="M677" s="29" t="n">
        <v>609</v>
      </c>
      <c r="N677" s="29" t="n">
        <v>909</v>
      </c>
      <c r="O677" s="29"/>
      <c r="P677" s="30" t="n">
        <f aca="false">(M677*N677/1000000)*(INDEX(AreaRate_Vals,MATCH(C677,AreaRate_Keys,0))+IFERROR(INDEX(GlazingUpg_Vals,MATCH(H677,GlazingUpg_Keys,0)),0))+INDEX(Hardware_Vals,MATCH("Windows",Hardware_Keys,0))</f>
        <v>2104.49635</v>
      </c>
      <c r="Q677" s="31" t="n">
        <f aca="false">INDEX(Markup_Vals,MATCH("Windows",MarkupCat_Keys,0))</f>
        <v>0.42</v>
      </c>
      <c r="R677" s="32" t="n">
        <f aca="false">P677*(1+Q677)</f>
        <v>2988.384817</v>
      </c>
      <c r="S677" s="32" t="n">
        <f aca="false">R677*(1-TradeDiscount)</f>
        <v>2629.77863896</v>
      </c>
      <c r="T677" s="32" t="n">
        <f aca="false">R677*(1-VolumeDiscount)</f>
        <v>2390.7078536</v>
      </c>
    </row>
    <row r="678" customFormat="false" ht="15" hidden="false" customHeight="false" outlineLevel="0" collapsed="false">
      <c r="A678" s="25" t="s">
        <v>1573</v>
      </c>
      <c r="B678" s="25" t="s">
        <v>96</v>
      </c>
      <c r="C678" s="25" t="s">
        <v>47</v>
      </c>
      <c r="D678" s="25" t="s">
        <v>1574</v>
      </c>
      <c r="E678" s="25" t="s">
        <v>1570</v>
      </c>
      <c r="F678" s="25" t="s">
        <v>684</v>
      </c>
      <c r="G678" s="25" t="s">
        <v>37</v>
      </c>
      <c r="H678" s="25" t="s">
        <v>64</v>
      </c>
      <c r="I678" s="25" t="s">
        <v>190</v>
      </c>
      <c r="J678" s="25" t="s">
        <v>685</v>
      </c>
      <c r="K678" s="25" t="s">
        <v>298</v>
      </c>
      <c r="L678" s="25" t="s">
        <v>29</v>
      </c>
      <c r="M678" s="25" t="n">
        <v>609</v>
      </c>
      <c r="N678" s="25" t="n">
        <v>909</v>
      </c>
      <c r="O678" s="25"/>
      <c r="P678" s="26" t="n">
        <f aca="false">(M678*N678/1000000)*(INDEX(AreaRate_Vals,MATCH(C678,AreaRate_Keys,0))+IFERROR(INDEX(GlazingUpg_Vals,MATCH(H678,GlazingUpg_Keys,0)),0))+INDEX(Hardware_Vals,MATCH("Windows",Hardware_Keys,0))</f>
        <v>2104.49635</v>
      </c>
      <c r="Q678" s="27" t="n">
        <f aca="false">INDEX(Markup_Vals,MATCH("Windows",MarkupCat_Keys,0))</f>
        <v>0.42</v>
      </c>
      <c r="R678" s="28" t="n">
        <f aca="false">P678*(1+Q678)</f>
        <v>2988.384817</v>
      </c>
      <c r="S678" s="28" t="n">
        <f aca="false">R678*(1-TradeDiscount)</f>
        <v>2629.77863896</v>
      </c>
      <c r="T678" s="28" t="n">
        <f aca="false">R678*(1-VolumeDiscount)</f>
        <v>2390.7078536</v>
      </c>
    </row>
    <row r="679" customFormat="false" ht="15" hidden="false" customHeight="false" outlineLevel="0" collapsed="false">
      <c r="A679" s="29" t="s">
        <v>1575</v>
      </c>
      <c r="B679" s="29" t="s">
        <v>96</v>
      </c>
      <c r="C679" s="29" t="s">
        <v>47</v>
      </c>
      <c r="D679" s="29" t="s">
        <v>1576</v>
      </c>
      <c r="E679" s="29" t="s">
        <v>1570</v>
      </c>
      <c r="F679" s="29" t="s">
        <v>684</v>
      </c>
      <c r="G679" s="29" t="s">
        <v>39</v>
      </c>
      <c r="H679" s="29" t="s">
        <v>64</v>
      </c>
      <c r="I679" s="29" t="s">
        <v>190</v>
      </c>
      <c r="J679" s="29" t="s">
        <v>685</v>
      </c>
      <c r="K679" s="29" t="s">
        <v>298</v>
      </c>
      <c r="L679" s="29" t="s">
        <v>29</v>
      </c>
      <c r="M679" s="29" t="n">
        <v>609</v>
      </c>
      <c r="N679" s="29" t="n">
        <v>909</v>
      </c>
      <c r="O679" s="29"/>
      <c r="P679" s="30" t="n">
        <f aca="false">(M679*N679/1000000)*(INDEX(AreaRate_Vals,MATCH(C679,AreaRate_Keys,0))+IFERROR(INDEX(GlazingUpg_Vals,MATCH(H679,GlazingUpg_Keys,0)),0))+INDEX(Hardware_Vals,MATCH("Windows",Hardware_Keys,0))</f>
        <v>2104.49635</v>
      </c>
      <c r="Q679" s="31" t="n">
        <f aca="false">INDEX(Markup_Vals,MATCH("Windows",MarkupCat_Keys,0))</f>
        <v>0.42</v>
      </c>
      <c r="R679" s="32" t="n">
        <f aca="false">P679*(1+Q679)</f>
        <v>2988.384817</v>
      </c>
      <c r="S679" s="32" t="n">
        <f aca="false">R679*(1-TradeDiscount)</f>
        <v>2629.77863896</v>
      </c>
      <c r="T679" s="32" t="n">
        <f aca="false">R679*(1-VolumeDiscount)</f>
        <v>2390.7078536</v>
      </c>
    </row>
    <row r="680" customFormat="false" ht="15" hidden="false" customHeight="false" outlineLevel="0" collapsed="false">
      <c r="A680" s="25" t="s">
        <v>1577</v>
      </c>
      <c r="B680" s="25" t="s">
        <v>96</v>
      </c>
      <c r="C680" s="25" t="s">
        <v>47</v>
      </c>
      <c r="D680" s="25" t="s">
        <v>1578</v>
      </c>
      <c r="E680" s="25" t="s">
        <v>1570</v>
      </c>
      <c r="F680" s="25" t="s">
        <v>684</v>
      </c>
      <c r="G680" s="25" t="s">
        <v>38</v>
      </c>
      <c r="H680" s="25" t="s">
        <v>64</v>
      </c>
      <c r="I680" s="25" t="s">
        <v>190</v>
      </c>
      <c r="J680" s="25" t="s">
        <v>685</v>
      </c>
      <c r="K680" s="25" t="s">
        <v>298</v>
      </c>
      <c r="L680" s="25" t="s">
        <v>29</v>
      </c>
      <c r="M680" s="25" t="n">
        <v>609</v>
      </c>
      <c r="N680" s="25" t="n">
        <v>909</v>
      </c>
      <c r="O680" s="25"/>
      <c r="P680" s="26" t="n">
        <f aca="false">(M680*N680/1000000)*(INDEX(AreaRate_Vals,MATCH(C680,AreaRate_Keys,0))+IFERROR(INDEX(GlazingUpg_Vals,MATCH(H680,GlazingUpg_Keys,0)),0))+INDEX(Hardware_Vals,MATCH("Windows",Hardware_Keys,0))</f>
        <v>2104.49635</v>
      </c>
      <c r="Q680" s="27" t="n">
        <f aca="false">INDEX(Markup_Vals,MATCH("Windows",MarkupCat_Keys,0))</f>
        <v>0.42</v>
      </c>
      <c r="R680" s="28" t="n">
        <f aca="false">P680*(1+Q680)</f>
        <v>2988.384817</v>
      </c>
      <c r="S680" s="28" t="n">
        <f aca="false">R680*(1-TradeDiscount)</f>
        <v>2629.77863896</v>
      </c>
      <c r="T680" s="28" t="n">
        <f aca="false">R680*(1-VolumeDiscount)</f>
        <v>2390.7078536</v>
      </c>
    </row>
    <row r="681" customFormat="false" ht="15" hidden="false" customHeight="false" outlineLevel="0" collapsed="false">
      <c r="A681" s="29" t="s">
        <v>1579</v>
      </c>
      <c r="B681" s="29" t="s">
        <v>96</v>
      </c>
      <c r="C681" s="29" t="s">
        <v>47</v>
      </c>
      <c r="D681" s="29" t="s">
        <v>1580</v>
      </c>
      <c r="E681" s="29" t="s">
        <v>1570</v>
      </c>
      <c r="F681" s="29" t="s">
        <v>727</v>
      </c>
      <c r="G681" s="29" t="s">
        <v>35</v>
      </c>
      <c r="H681" s="29" t="s">
        <v>64</v>
      </c>
      <c r="I681" s="29" t="s">
        <v>190</v>
      </c>
      <c r="J681" s="29" t="s">
        <v>685</v>
      </c>
      <c r="K681" s="29" t="s">
        <v>298</v>
      </c>
      <c r="L681" s="29" t="s">
        <v>29</v>
      </c>
      <c r="M681" s="29" t="n">
        <v>909</v>
      </c>
      <c r="N681" s="29" t="n">
        <v>1209</v>
      </c>
      <c r="O681" s="29"/>
      <c r="P681" s="30" t="n">
        <f aca="false">(M681*N681/1000000)*(INDEX(AreaRate_Vals,MATCH(C681,AreaRate_Keys,0))+IFERROR(INDEX(GlazingUpg_Vals,MATCH(H681,GlazingUpg_Keys,0)),0))+INDEX(Hardware_Vals,MATCH("Windows",Hardware_Keys,0))</f>
        <v>3931.58635</v>
      </c>
      <c r="Q681" s="31" t="n">
        <f aca="false">INDEX(Markup_Vals,MATCH("Windows",MarkupCat_Keys,0))</f>
        <v>0.42</v>
      </c>
      <c r="R681" s="32" t="n">
        <f aca="false">P681*(1+Q681)</f>
        <v>5582.852617</v>
      </c>
      <c r="S681" s="32" t="n">
        <f aca="false">R681*(1-TradeDiscount)</f>
        <v>4912.91030296</v>
      </c>
      <c r="T681" s="32" t="n">
        <f aca="false">R681*(1-VolumeDiscount)</f>
        <v>4466.2820936</v>
      </c>
    </row>
    <row r="682" customFormat="false" ht="15" hidden="false" customHeight="false" outlineLevel="0" collapsed="false">
      <c r="A682" s="25" t="s">
        <v>1581</v>
      </c>
      <c r="B682" s="25" t="s">
        <v>96</v>
      </c>
      <c r="C682" s="25" t="s">
        <v>47</v>
      </c>
      <c r="D682" s="25" t="s">
        <v>1582</v>
      </c>
      <c r="E682" s="25" t="s">
        <v>1570</v>
      </c>
      <c r="F682" s="25" t="s">
        <v>727</v>
      </c>
      <c r="G682" s="25" t="s">
        <v>36</v>
      </c>
      <c r="H682" s="25" t="s">
        <v>64</v>
      </c>
      <c r="I682" s="25" t="s">
        <v>190</v>
      </c>
      <c r="J682" s="25" t="s">
        <v>685</v>
      </c>
      <c r="K682" s="25" t="s">
        <v>298</v>
      </c>
      <c r="L682" s="25" t="s">
        <v>29</v>
      </c>
      <c r="M682" s="25" t="n">
        <v>909</v>
      </c>
      <c r="N682" s="25" t="n">
        <v>1209</v>
      </c>
      <c r="O682" s="25"/>
      <c r="P682" s="26" t="n">
        <f aca="false">(M682*N682/1000000)*(INDEX(AreaRate_Vals,MATCH(C682,AreaRate_Keys,0))+IFERROR(INDEX(GlazingUpg_Vals,MATCH(H682,GlazingUpg_Keys,0)),0))+INDEX(Hardware_Vals,MATCH("Windows",Hardware_Keys,0))</f>
        <v>3931.58635</v>
      </c>
      <c r="Q682" s="27" t="n">
        <f aca="false">INDEX(Markup_Vals,MATCH("Windows",MarkupCat_Keys,0))</f>
        <v>0.42</v>
      </c>
      <c r="R682" s="28" t="n">
        <f aca="false">P682*(1+Q682)</f>
        <v>5582.852617</v>
      </c>
      <c r="S682" s="28" t="n">
        <f aca="false">R682*(1-TradeDiscount)</f>
        <v>4912.91030296</v>
      </c>
      <c r="T682" s="28" t="n">
        <f aca="false">R682*(1-VolumeDiscount)</f>
        <v>4466.2820936</v>
      </c>
    </row>
    <row r="683" customFormat="false" ht="15" hidden="false" customHeight="false" outlineLevel="0" collapsed="false">
      <c r="A683" s="29" t="s">
        <v>1583</v>
      </c>
      <c r="B683" s="29" t="s">
        <v>96</v>
      </c>
      <c r="C683" s="29" t="s">
        <v>47</v>
      </c>
      <c r="D683" s="29" t="s">
        <v>1584</v>
      </c>
      <c r="E683" s="29" t="s">
        <v>1570</v>
      </c>
      <c r="F683" s="29" t="s">
        <v>727</v>
      </c>
      <c r="G683" s="29" t="s">
        <v>37</v>
      </c>
      <c r="H683" s="29" t="s">
        <v>64</v>
      </c>
      <c r="I683" s="29" t="s">
        <v>190</v>
      </c>
      <c r="J683" s="29" t="s">
        <v>685</v>
      </c>
      <c r="K683" s="29" t="s">
        <v>298</v>
      </c>
      <c r="L683" s="29" t="s">
        <v>29</v>
      </c>
      <c r="M683" s="29" t="n">
        <v>909</v>
      </c>
      <c r="N683" s="29" t="n">
        <v>1209</v>
      </c>
      <c r="O683" s="29"/>
      <c r="P683" s="30" t="n">
        <f aca="false">(M683*N683/1000000)*(INDEX(AreaRate_Vals,MATCH(C683,AreaRate_Keys,0))+IFERROR(INDEX(GlazingUpg_Vals,MATCH(H683,GlazingUpg_Keys,0)),0))+INDEX(Hardware_Vals,MATCH("Windows",Hardware_Keys,0))</f>
        <v>3931.58635</v>
      </c>
      <c r="Q683" s="31" t="n">
        <f aca="false">INDEX(Markup_Vals,MATCH("Windows",MarkupCat_Keys,0))</f>
        <v>0.42</v>
      </c>
      <c r="R683" s="32" t="n">
        <f aca="false">P683*(1+Q683)</f>
        <v>5582.852617</v>
      </c>
      <c r="S683" s="32" t="n">
        <f aca="false">R683*(1-TradeDiscount)</f>
        <v>4912.91030296</v>
      </c>
      <c r="T683" s="32" t="n">
        <f aca="false">R683*(1-VolumeDiscount)</f>
        <v>4466.2820936</v>
      </c>
    </row>
    <row r="684" customFormat="false" ht="15" hidden="false" customHeight="false" outlineLevel="0" collapsed="false">
      <c r="A684" s="25" t="s">
        <v>1585</v>
      </c>
      <c r="B684" s="25" t="s">
        <v>96</v>
      </c>
      <c r="C684" s="25" t="s">
        <v>47</v>
      </c>
      <c r="D684" s="25" t="s">
        <v>1586</v>
      </c>
      <c r="E684" s="25" t="s">
        <v>1570</v>
      </c>
      <c r="F684" s="25" t="s">
        <v>727</v>
      </c>
      <c r="G684" s="25" t="s">
        <v>39</v>
      </c>
      <c r="H684" s="25" t="s">
        <v>64</v>
      </c>
      <c r="I684" s="25" t="s">
        <v>190</v>
      </c>
      <c r="J684" s="25" t="s">
        <v>685</v>
      </c>
      <c r="K684" s="25" t="s">
        <v>298</v>
      </c>
      <c r="L684" s="25" t="s">
        <v>29</v>
      </c>
      <c r="M684" s="25" t="n">
        <v>909</v>
      </c>
      <c r="N684" s="25" t="n">
        <v>1209</v>
      </c>
      <c r="O684" s="25"/>
      <c r="P684" s="26" t="n">
        <f aca="false">(M684*N684/1000000)*(INDEX(AreaRate_Vals,MATCH(C684,AreaRate_Keys,0))+IFERROR(INDEX(GlazingUpg_Vals,MATCH(H684,GlazingUpg_Keys,0)),0))+INDEX(Hardware_Vals,MATCH("Windows",Hardware_Keys,0))</f>
        <v>3931.58635</v>
      </c>
      <c r="Q684" s="27" t="n">
        <f aca="false">INDEX(Markup_Vals,MATCH("Windows",MarkupCat_Keys,0))</f>
        <v>0.42</v>
      </c>
      <c r="R684" s="28" t="n">
        <f aca="false">P684*(1+Q684)</f>
        <v>5582.852617</v>
      </c>
      <c r="S684" s="28" t="n">
        <f aca="false">R684*(1-TradeDiscount)</f>
        <v>4912.91030296</v>
      </c>
      <c r="T684" s="28" t="n">
        <f aca="false">R684*(1-VolumeDiscount)</f>
        <v>4466.2820936</v>
      </c>
    </row>
    <row r="685" customFormat="false" ht="15" hidden="false" customHeight="false" outlineLevel="0" collapsed="false">
      <c r="A685" s="29" t="s">
        <v>1587</v>
      </c>
      <c r="B685" s="29" t="s">
        <v>96</v>
      </c>
      <c r="C685" s="29" t="s">
        <v>47</v>
      </c>
      <c r="D685" s="29" t="s">
        <v>1588</v>
      </c>
      <c r="E685" s="29" t="s">
        <v>1570</v>
      </c>
      <c r="F685" s="29" t="s">
        <v>727</v>
      </c>
      <c r="G685" s="29" t="s">
        <v>38</v>
      </c>
      <c r="H685" s="29" t="s">
        <v>64</v>
      </c>
      <c r="I685" s="29" t="s">
        <v>190</v>
      </c>
      <c r="J685" s="29" t="s">
        <v>685</v>
      </c>
      <c r="K685" s="29" t="s">
        <v>298</v>
      </c>
      <c r="L685" s="29" t="s">
        <v>29</v>
      </c>
      <c r="M685" s="29" t="n">
        <v>909</v>
      </c>
      <c r="N685" s="29" t="n">
        <v>1209</v>
      </c>
      <c r="O685" s="29"/>
      <c r="P685" s="30" t="n">
        <f aca="false">(M685*N685/1000000)*(INDEX(AreaRate_Vals,MATCH(C685,AreaRate_Keys,0))+IFERROR(INDEX(GlazingUpg_Vals,MATCH(H685,GlazingUpg_Keys,0)),0))+INDEX(Hardware_Vals,MATCH("Windows",Hardware_Keys,0))</f>
        <v>3931.58635</v>
      </c>
      <c r="Q685" s="31" t="n">
        <f aca="false">INDEX(Markup_Vals,MATCH("Windows",MarkupCat_Keys,0))</f>
        <v>0.42</v>
      </c>
      <c r="R685" s="32" t="n">
        <f aca="false">P685*(1+Q685)</f>
        <v>5582.852617</v>
      </c>
      <c r="S685" s="32" t="n">
        <f aca="false">R685*(1-TradeDiscount)</f>
        <v>4912.91030296</v>
      </c>
      <c r="T685" s="32" t="n">
        <f aca="false">R685*(1-VolumeDiscount)</f>
        <v>4466.2820936</v>
      </c>
    </row>
    <row r="686" customFormat="false" ht="15" hidden="false" customHeight="false" outlineLevel="0" collapsed="false">
      <c r="A686" s="25" t="s">
        <v>1589</v>
      </c>
      <c r="B686" s="25" t="s">
        <v>96</v>
      </c>
      <c r="C686" s="25" t="s">
        <v>47</v>
      </c>
      <c r="D686" s="25" t="s">
        <v>1590</v>
      </c>
      <c r="E686" s="25" t="s">
        <v>1570</v>
      </c>
      <c r="F686" s="25" t="s">
        <v>748</v>
      </c>
      <c r="G686" s="25" t="s">
        <v>35</v>
      </c>
      <c r="H686" s="25" t="s">
        <v>64</v>
      </c>
      <c r="I686" s="25" t="s">
        <v>190</v>
      </c>
      <c r="J686" s="25" t="s">
        <v>685</v>
      </c>
      <c r="K686" s="25" t="s">
        <v>298</v>
      </c>
      <c r="L686" s="25" t="s">
        <v>29</v>
      </c>
      <c r="M686" s="25" t="n">
        <v>1209</v>
      </c>
      <c r="N686" s="25" t="n">
        <v>1209</v>
      </c>
      <c r="O686" s="25"/>
      <c r="P686" s="26" t="n">
        <f aca="false">(M686*N686/1000000)*(INDEX(AreaRate_Vals,MATCH(C686,AreaRate_Keys,0))+IFERROR(INDEX(GlazingUpg_Vals,MATCH(H686,GlazingUpg_Keys,0)),0))+INDEX(Hardware_Vals,MATCH("Windows",Hardware_Keys,0))</f>
        <v>5146.63135</v>
      </c>
      <c r="Q686" s="27" t="n">
        <f aca="false">INDEX(Markup_Vals,MATCH("Windows",MarkupCat_Keys,0))</f>
        <v>0.42</v>
      </c>
      <c r="R686" s="28" t="n">
        <f aca="false">P686*(1+Q686)</f>
        <v>7308.216517</v>
      </c>
      <c r="S686" s="28" t="n">
        <f aca="false">R686*(1-TradeDiscount)</f>
        <v>6431.23053496</v>
      </c>
      <c r="T686" s="28" t="n">
        <f aca="false">R686*(1-VolumeDiscount)</f>
        <v>5846.5732136</v>
      </c>
    </row>
    <row r="687" customFormat="false" ht="15" hidden="false" customHeight="false" outlineLevel="0" collapsed="false">
      <c r="A687" s="29" t="s">
        <v>1591</v>
      </c>
      <c r="B687" s="29" t="s">
        <v>96</v>
      </c>
      <c r="C687" s="29" t="s">
        <v>47</v>
      </c>
      <c r="D687" s="29" t="s">
        <v>1592</v>
      </c>
      <c r="E687" s="29" t="s">
        <v>1570</v>
      </c>
      <c r="F687" s="29" t="s">
        <v>748</v>
      </c>
      <c r="G687" s="29" t="s">
        <v>36</v>
      </c>
      <c r="H687" s="29" t="s">
        <v>64</v>
      </c>
      <c r="I687" s="29" t="s">
        <v>190</v>
      </c>
      <c r="J687" s="29" t="s">
        <v>685</v>
      </c>
      <c r="K687" s="29" t="s">
        <v>298</v>
      </c>
      <c r="L687" s="29" t="s">
        <v>29</v>
      </c>
      <c r="M687" s="29" t="n">
        <v>1209</v>
      </c>
      <c r="N687" s="29" t="n">
        <v>1209</v>
      </c>
      <c r="O687" s="29"/>
      <c r="P687" s="30" t="n">
        <f aca="false">(M687*N687/1000000)*(INDEX(AreaRate_Vals,MATCH(C687,AreaRate_Keys,0))+IFERROR(INDEX(GlazingUpg_Vals,MATCH(H687,GlazingUpg_Keys,0)),0))+INDEX(Hardware_Vals,MATCH("Windows",Hardware_Keys,0))</f>
        <v>5146.63135</v>
      </c>
      <c r="Q687" s="31" t="n">
        <f aca="false">INDEX(Markup_Vals,MATCH("Windows",MarkupCat_Keys,0))</f>
        <v>0.42</v>
      </c>
      <c r="R687" s="32" t="n">
        <f aca="false">P687*(1+Q687)</f>
        <v>7308.216517</v>
      </c>
      <c r="S687" s="32" t="n">
        <f aca="false">R687*(1-TradeDiscount)</f>
        <v>6431.23053496</v>
      </c>
      <c r="T687" s="32" t="n">
        <f aca="false">R687*(1-VolumeDiscount)</f>
        <v>5846.5732136</v>
      </c>
    </row>
    <row r="688" customFormat="false" ht="15" hidden="false" customHeight="false" outlineLevel="0" collapsed="false">
      <c r="A688" s="25" t="s">
        <v>1593</v>
      </c>
      <c r="B688" s="25" t="s">
        <v>96</v>
      </c>
      <c r="C688" s="25" t="s">
        <v>47</v>
      </c>
      <c r="D688" s="25" t="s">
        <v>1594</v>
      </c>
      <c r="E688" s="25" t="s">
        <v>1570</v>
      </c>
      <c r="F688" s="25" t="s">
        <v>748</v>
      </c>
      <c r="G688" s="25" t="s">
        <v>37</v>
      </c>
      <c r="H688" s="25" t="s">
        <v>64</v>
      </c>
      <c r="I688" s="25" t="s">
        <v>190</v>
      </c>
      <c r="J688" s="25" t="s">
        <v>685</v>
      </c>
      <c r="K688" s="25" t="s">
        <v>298</v>
      </c>
      <c r="L688" s="25" t="s">
        <v>29</v>
      </c>
      <c r="M688" s="25" t="n">
        <v>1209</v>
      </c>
      <c r="N688" s="25" t="n">
        <v>1209</v>
      </c>
      <c r="O688" s="25"/>
      <c r="P688" s="26" t="n">
        <f aca="false">(M688*N688/1000000)*(INDEX(AreaRate_Vals,MATCH(C688,AreaRate_Keys,0))+IFERROR(INDEX(GlazingUpg_Vals,MATCH(H688,GlazingUpg_Keys,0)),0))+INDEX(Hardware_Vals,MATCH("Windows",Hardware_Keys,0))</f>
        <v>5146.63135</v>
      </c>
      <c r="Q688" s="27" t="n">
        <f aca="false">INDEX(Markup_Vals,MATCH("Windows",MarkupCat_Keys,0))</f>
        <v>0.42</v>
      </c>
      <c r="R688" s="28" t="n">
        <f aca="false">P688*(1+Q688)</f>
        <v>7308.216517</v>
      </c>
      <c r="S688" s="28" t="n">
        <f aca="false">R688*(1-TradeDiscount)</f>
        <v>6431.23053496</v>
      </c>
      <c r="T688" s="28" t="n">
        <f aca="false">R688*(1-VolumeDiscount)</f>
        <v>5846.5732136</v>
      </c>
    </row>
    <row r="689" customFormat="false" ht="15" hidden="false" customHeight="false" outlineLevel="0" collapsed="false">
      <c r="A689" s="29" t="s">
        <v>1595</v>
      </c>
      <c r="B689" s="29" t="s">
        <v>96</v>
      </c>
      <c r="C689" s="29" t="s">
        <v>47</v>
      </c>
      <c r="D689" s="29" t="s">
        <v>1596</v>
      </c>
      <c r="E689" s="29" t="s">
        <v>1570</v>
      </c>
      <c r="F689" s="29" t="s">
        <v>748</v>
      </c>
      <c r="G689" s="29" t="s">
        <v>39</v>
      </c>
      <c r="H689" s="29" t="s">
        <v>64</v>
      </c>
      <c r="I689" s="29" t="s">
        <v>190</v>
      </c>
      <c r="J689" s="29" t="s">
        <v>685</v>
      </c>
      <c r="K689" s="29" t="s">
        <v>298</v>
      </c>
      <c r="L689" s="29" t="s">
        <v>29</v>
      </c>
      <c r="M689" s="29" t="n">
        <v>1209</v>
      </c>
      <c r="N689" s="29" t="n">
        <v>1209</v>
      </c>
      <c r="O689" s="29"/>
      <c r="P689" s="30" t="n">
        <f aca="false">(M689*N689/1000000)*(INDEX(AreaRate_Vals,MATCH(C689,AreaRate_Keys,0))+IFERROR(INDEX(GlazingUpg_Vals,MATCH(H689,GlazingUpg_Keys,0)),0))+INDEX(Hardware_Vals,MATCH("Windows",Hardware_Keys,0))</f>
        <v>5146.63135</v>
      </c>
      <c r="Q689" s="31" t="n">
        <f aca="false">INDEX(Markup_Vals,MATCH("Windows",MarkupCat_Keys,0))</f>
        <v>0.42</v>
      </c>
      <c r="R689" s="32" t="n">
        <f aca="false">P689*(1+Q689)</f>
        <v>7308.216517</v>
      </c>
      <c r="S689" s="32" t="n">
        <f aca="false">R689*(1-TradeDiscount)</f>
        <v>6431.23053496</v>
      </c>
      <c r="T689" s="32" t="n">
        <f aca="false">R689*(1-VolumeDiscount)</f>
        <v>5846.5732136</v>
      </c>
    </row>
    <row r="690" customFormat="false" ht="15" hidden="false" customHeight="false" outlineLevel="0" collapsed="false">
      <c r="A690" s="25" t="s">
        <v>1597</v>
      </c>
      <c r="B690" s="25" t="s">
        <v>96</v>
      </c>
      <c r="C690" s="25" t="s">
        <v>47</v>
      </c>
      <c r="D690" s="25" t="s">
        <v>1598</v>
      </c>
      <c r="E690" s="25" t="s">
        <v>1570</v>
      </c>
      <c r="F690" s="25" t="s">
        <v>748</v>
      </c>
      <c r="G690" s="25" t="s">
        <v>38</v>
      </c>
      <c r="H690" s="25" t="s">
        <v>64</v>
      </c>
      <c r="I690" s="25" t="s">
        <v>190</v>
      </c>
      <c r="J690" s="25" t="s">
        <v>685</v>
      </c>
      <c r="K690" s="25" t="s">
        <v>298</v>
      </c>
      <c r="L690" s="25" t="s">
        <v>29</v>
      </c>
      <c r="M690" s="25" t="n">
        <v>1209</v>
      </c>
      <c r="N690" s="25" t="n">
        <v>1209</v>
      </c>
      <c r="O690" s="25"/>
      <c r="P690" s="26" t="n">
        <f aca="false">(M690*N690/1000000)*(INDEX(AreaRate_Vals,MATCH(C690,AreaRate_Keys,0))+IFERROR(INDEX(GlazingUpg_Vals,MATCH(H690,GlazingUpg_Keys,0)),0))+INDEX(Hardware_Vals,MATCH("Windows",Hardware_Keys,0))</f>
        <v>5146.63135</v>
      </c>
      <c r="Q690" s="27" t="n">
        <f aca="false">INDEX(Markup_Vals,MATCH("Windows",MarkupCat_Keys,0))</f>
        <v>0.42</v>
      </c>
      <c r="R690" s="28" t="n">
        <f aca="false">P690*(1+Q690)</f>
        <v>7308.216517</v>
      </c>
      <c r="S690" s="28" t="n">
        <f aca="false">R690*(1-TradeDiscount)</f>
        <v>6431.23053496</v>
      </c>
      <c r="T690" s="28" t="n">
        <f aca="false">R690*(1-VolumeDiscount)</f>
        <v>5846.5732136</v>
      </c>
    </row>
    <row r="691" customFormat="false" ht="15" hidden="false" customHeight="false" outlineLevel="0" collapsed="false">
      <c r="A691" s="29" t="s">
        <v>1599</v>
      </c>
      <c r="B691" s="29" t="s">
        <v>96</v>
      </c>
      <c r="C691" s="29" t="s">
        <v>47</v>
      </c>
      <c r="D691" s="29" t="s">
        <v>1600</v>
      </c>
      <c r="E691" s="29" t="s">
        <v>1570</v>
      </c>
      <c r="F691" s="29" t="s">
        <v>769</v>
      </c>
      <c r="G691" s="29" t="s">
        <v>35</v>
      </c>
      <c r="H691" s="29" t="s">
        <v>64</v>
      </c>
      <c r="I691" s="29" t="s">
        <v>190</v>
      </c>
      <c r="J691" s="29" t="s">
        <v>685</v>
      </c>
      <c r="K691" s="29" t="s">
        <v>298</v>
      </c>
      <c r="L691" s="29" t="s">
        <v>29</v>
      </c>
      <c r="M691" s="29" t="n">
        <v>1209</v>
      </c>
      <c r="N691" s="29" t="n">
        <v>1509</v>
      </c>
      <c r="O691" s="29"/>
      <c r="P691" s="30" t="n">
        <f aca="false">(M691*N691/1000000)*(INDEX(AreaRate_Vals,MATCH(C691,AreaRate_Keys,0))+IFERROR(INDEX(GlazingUpg_Vals,MATCH(H691,GlazingUpg_Keys,0)),0))+INDEX(Hardware_Vals,MATCH("Windows",Hardware_Keys,0))</f>
        <v>6361.67635</v>
      </c>
      <c r="Q691" s="31" t="n">
        <f aca="false">INDEX(Markup_Vals,MATCH("Windows",MarkupCat_Keys,0))</f>
        <v>0.42</v>
      </c>
      <c r="R691" s="32" t="n">
        <f aca="false">P691*(1+Q691)</f>
        <v>9033.580417</v>
      </c>
      <c r="S691" s="32" t="n">
        <f aca="false">R691*(1-TradeDiscount)</f>
        <v>7949.55076696</v>
      </c>
      <c r="T691" s="32" t="n">
        <f aca="false">R691*(1-VolumeDiscount)</f>
        <v>7226.8643336</v>
      </c>
    </row>
    <row r="692" customFormat="false" ht="15" hidden="false" customHeight="false" outlineLevel="0" collapsed="false">
      <c r="A692" s="25" t="s">
        <v>1601</v>
      </c>
      <c r="B692" s="25" t="s">
        <v>96</v>
      </c>
      <c r="C692" s="25" t="s">
        <v>47</v>
      </c>
      <c r="D692" s="25" t="s">
        <v>1602</v>
      </c>
      <c r="E692" s="25" t="s">
        <v>1570</v>
      </c>
      <c r="F692" s="25" t="s">
        <v>769</v>
      </c>
      <c r="G692" s="25" t="s">
        <v>36</v>
      </c>
      <c r="H692" s="25" t="s">
        <v>64</v>
      </c>
      <c r="I692" s="25" t="s">
        <v>190</v>
      </c>
      <c r="J692" s="25" t="s">
        <v>685</v>
      </c>
      <c r="K692" s="25" t="s">
        <v>298</v>
      </c>
      <c r="L692" s="25" t="s">
        <v>29</v>
      </c>
      <c r="M692" s="25" t="n">
        <v>1209</v>
      </c>
      <c r="N692" s="25" t="n">
        <v>1509</v>
      </c>
      <c r="O692" s="25"/>
      <c r="P692" s="26" t="n">
        <f aca="false">(M692*N692/1000000)*(INDEX(AreaRate_Vals,MATCH(C692,AreaRate_Keys,0))+IFERROR(INDEX(GlazingUpg_Vals,MATCH(H692,GlazingUpg_Keys,0)),0))+INDEX(Hardware_Vals,MATCH("Windows",Hardware_Keys,0))</f>
        <v>6361.67635</v>
      </c>
      <c r="Q692" s="27" t="n">
        <f aca="false">INDEX(Markup_Vals,MATCH("Windows",MarkupCat_Keys,0))</f>
        <v>0.42</v>
      </c>
      <c r="R692" s="28" t="n">
        <f aca="false">P692*(1+Q692)</f>
        <v>9033.580417</v>
      </c>
      <c r="S692" s="28" t="n">
        <f aca="false">R692*(1-TradeDiscount)</f>
        <v>7949.55076696</v>
      </c>
      <c r="T692" s="28" t="n">
        <f aca="false">R692*(1-VolumeDiscount)</f>
        <v>7226.8643336</v>
      </c>
    </row>
    <row r="693" customFormat="false" ht="15" hidden="false" customHeight="false" outlineLevel="0" collapsed="false">
      <c r="A693" s="29" t="s">
        <v>1603</v>
      </c>
      <c r="B693" s="29" t="s">
        <v>96</v>
      </c>
      <c r="C693" s="29" t="s">
        <v>47</v>
      </c>
      <c r="D693" s="29" t="s">
        <v>1604</v>
      </c>
      <c r="E693" s="29" t="s">
        <v>1570</v>
      </c>
      <c r="F693" s="29" t="s">
        <v>769</v>
      </c>
      <c r="G693" s="29" t="s">
        <v>37</v>
      </c>
      <c r="H693" s="29" t="s">
        <v>64</v>
      </c>
      <c r="I693" s="29" t="s">
        <v>190</v>
      </c>
      <c r="J693" s="29" t="s">
        <v>685</v>
      </c>
      <c r="K693" s="29" t="s">
        <v>298</v>
      </c>
      <c r="L693" s="29" t="s">
        <v>29</v>
      </c>
      <c r="M693" s="29" t="n">
        <v>1209</v>
      </c>
      <c r="N693" s="29" t="n">
        <v>1509</v>
      </c>
      <c r="O693" s="29"/>
      <c r="P693" s="30" t="n">
        <f aca="false">(M693*N693/1000000)*(INDEX(AreaRate_Vals,MATCH(C693,AreaRate_Keys,0))+IFERROR(INDEX(GlazingUpg_Vals,MATCH(H693,GlazingUpg_Keys,0)),0))+INDEX(Hardware_Vals,MATCH("Windows",Hardware_Keys,0))</f>
        <v>6361.67635</v>
      </c>
      <c r="Q693" s="31" t="n">
        <f aca="false">INDEX(Markup_Vals,MATCH("Windows",MarkupCat_Keys,0))</f>
        <v>0.42</v>
      </c>
      <c r="R693" s="32" t="n">
        <f aca="false">P693*(1+Q693)</f>
        <v>9033.580417</v>
      </c>
      <c r="S693" s="32" t="n">
        <f aca="false">R693*(1-TradeDiscount)</f>
        <v>7949.55076696</v>
      </c>
      <c r="T693" s="32" t="n">
        <f aca="false">R693*(1-VolumeDiscount)</f>
        <v>7226.8643336</v>
      </c>
    </row>
    <row r="694" customFormat="false" ht="15" hidden="false" customHeight="false" outlineLevel="0" collapsed="false">
      <c r="A694" s="25" t="s">
        <v>1605</v>
      </c>
      <c r="B694" s="25" t="s">
        <v>96</v>
      </c>
      <c r="C694" s="25" t="s">
        <v>47</v>
      </c>
      <c r="D694" s="25" t="s">
        <v>1606</v>
      </c>
      <c r="E694" s="25" t="s">
        <v>1570</v>
      </c>
      <c r="F694" s="25" t="s">
        <v>769</v>
      </c>
      <c r="G694" s="25" t="s">
        <v>39</v>
      </c>
      <c r="H694" s="25" t="s">
        <v>64</v>
      </c>
      <c r="I694" s="25" t="s">
        <v>190</v>
      </c>
      <c r="J694" s="25" t="s">
        <v>685</v>
      </c>
      <c r="K694" s="25" t="s">
        <v>298</v>
      </c>
      <c r="L694" s="25" t="s">
        <v>29</v>
      </c>
      <c r="M694" s="25" t="n">
        <v>1209</v>
      </c>
      <c r="N694" s="25" t="n">
        <v>1509</v>
      </c>
      <c r="O694" s="25"/>
      <c r="P694" s="26" t="n">
        <f aca="false">(M694*N694/1000000)*(INDEX(AreaRate_Vals,MATCH(C694,AreaRate_Keys,0))+IFERROR(INDEX(GlazingUpg_Vals,MATCH(H694,GlazingUpg_Keys,0)),0))+INDEX(Hardware_Vals,MATCH("Windows",Hardware_Keys,0))</f>
        <v>6361.67635</v>
      </c>
      <c r="Q694" s="27" t="n">
        <f aca="false">INDEX(Markup_Vals,MATCH("Windows",MarkupCat_Keys,0))</f>
        <v>0.42</v>
      </c>
      <c r="R694" s="28" t="n">
        <f aca="false">P694*(1+Q694)</f>
        <v>9033.580417</v>
      </c>
      <c r="S694" s="28" t="n">
        <f aca="false">R694*(1-TradeDiscount)</f>
        <v>7949.55076696</v>
      </c>
      <c r="T694" s="28" t="n">
        <f aca="false">R694*(1-VolumeDiscount)</f>
        <v>7226.8643336</v>
      </c>
    </row>
    <row r="695" customFormat="false" ht="15" hidden="false" customHeight="false" outlineLevel="0" collapsed="false">
      <c r="A695" s="29" t="s">
        <v>1607</v>
      </c>
      <c r="B695" s="29" t="s">
        <v>96</v>
      </c>
      <c r="C695" s="29" t="s">
        <v>47</v>
      </c>
      <c r="D695" s="29" t="s">
        <v>1608</v>
      </c>
      <c r="E695" s="29" t="s">
        <v>1570</v>
      </c>
      <c r="F695" s="29" t="s">
        <v>769</v>
      </c>
      <c r="G695" s="29" t="s">
        <v>38</v>
      </c>
      <c r="H695" s="29" t="s">
        <v>64</v>
      </c>
      <c r="I695" s="29" t="s">
        <v>190</v>
      </c>
      <c r="J695" s="29" t="s">
        <v>685</v>
      </c>
      <c r="K695" s="29" t="s">
        <v>298</v>
      </c>
      <c r="L695" s="29" t="s">
        <v>29</v>
      </c>
      <c r="M695" s="29" t="n">
        <v>1209</v>
      </c>
      <c r="N695" s="29" t="n">
        <v>1509</v>
      </c>
      <c r="O695" s="29"/>
      <c r="P695" s="30" t="n">
        <f aca="false">(M695*N695/1000000)*(INDEX(AreaRate_Vals,MATCH(C695,AreaRate_Keys,0))+IFERROR(INDEX(GlazingUpg_Vals,MATCH(H695,GlazingUpg_Keys,0)),0))+INDEX(Hardware_Vals,MATCH("Windows",Hardware_Keys,0))</f>
        <v>6361.67635</v>
      </c>
      <c r="Q695" s="31" t="n">
        <f aca="false">INDEX(Markup_Vals,MATCH("Windows",MarkupCat_Keys,0))</f>
        <v>0.42</v>
      </c>
      <c r="R695" s="32" t="n">
        <f aca="false">P695*(1+Q695)</f>
        <v>9033.580417</v>
      </c>
      <c r="S695" s="32" t="n">
        <f aca="false">R695*(1-TradeDiscount)</f>
        <v>7949.55076696</v>
      </c>
      <c r="T695" s="32" t="n">
        <f aca="false">R695*(1-VolumeDiscount)</f>
        <v>7226.8643336</v>
      </c>
    </row>
    <row r="696" customFormat="false" ht="15" hidden="false" customHeight="false" outlineLevel="0" collapsed="false">
      <c r="A696" s="25" t="s">
        <v>1609</v>
      </c>
      <c r="B696" s="25" t="s">
        <v>96</v>
      </c>
      <c r="C696" s="25" t="s">
        <v>47</v>
      </c>
      <c r="D696" s="25" t="s">
        <v>1610</v>
      </c>
      <c r="E696" s="25" t="s">
        <v>1570</v>
      </c>
      <c r="F696" s="25" t="s">
        <v>1611</v>
      </c>
      <c r="G696" s="25" t="s">
        <v>35</v>
      </c>
      <c r="H696" s="25" t="s">
        <v>64</v>
      </c>
      <c r="I696" s="25" t="s">
        <v>190</v>
      </c>
      <c r="J696" s="25" t="s">
        <v>685</v>
      </c>
      <c r="K696" s="25" t="s">
        <v>298</v>
      </c>
      <c r="L696" s="25" t="s">
        <v>29</v>
      </c>
      <c r="M696" s="25" t="n">
        <v>1509</v>
      </c>
      <c r="N696" s="25" t="n">
        <v>1509</v>
      </c>
      <c r="O696" s="25"/>
      <c r="P696" s="26" t="n">
        <f aca="false">(M696*N696/1000000)*(INDEX(AreaRate_Vals,MATCH(C696,AreaRate_Keys,0))+IFERROR(INDEX(GlazingUpg_Vals,MATCH(H696,GlazingUpg_Keys,0)),0))+INDEX(Hardware_Vals,MATCH("Windows",Hardware_Keys,0))</f>
        <v>7878.22135</v>
      </c>
      <c r="Q696" s="27" t="n">
        <f aca="false">INDEX(Markup_Vals,MATCH("Windows",MarkupCat_Keys,0))</f>
        <v>0.42</v>
      </c>
      <c r="R696" s="28" t="n">
        <f aca="false">P696*(1+Q696)</f>
        <v>11187.074317</v>
      </c>
      <c r="S696" s="28" t="n">
        <f aca="false">R696*(1-TradeDiscount)</f>
        <v>9844.62539896</v>
      </c>
      <c r="T696" s="28" t="n">
        <f aca="false">R696*(1-VolumeDiscount)</f>
        <v>8949.6594536</v>
      </c>
    </row>
    <row r="697" customFormat="false" ht="15" hidden="false" customHeight="false" outlineLevel="0" collapsed="false">
      <c r="A697" s="29" t="s">
        <v>1612</v>
      </c>
      <c r="B697" s="29" t="s">
        <v>96</v>
      </c>
      <c r="C697" s="29" t="s">
        <v>47</v>
      </c>
      <c r="D697" s="29" t="s">
        <v>1613</v>
      </c>
      <c r="E697" s="29" t="s">
        <v>1570</v>
      </c>
      <c r="F697" s="29" t="s">
        <v>1611</v>
      </c>
      <c r="G697" s="29" t="s">
        <v>36</v>
      </c>
      <c r="H697" s="29" t="s">
        <v>64</v>
      </c>
      <c r="I697" s="29" t="s">
        <v>190</v>
      </c>
      <c r="J697" s="29" t="s">
        <v>685</v>
      </c>
      <c r="K697" s="29" t="s">
        <v>298</v>
      </c>
      <c r="L697" s="29" t="s">
        <v>29</v>
      </c>
      <c r="M697" s="29" t="n">
        <v>1509</v>
      </c>
      <c r="N697" s="29" t="n">
        <v>1509</v>
      </c>
      <c r="O697" s="29"/>
      <c r="P697" s="30" t="n">
        <f aca="false">(M697*N697/1000000)*(INDEX(AreaRate_Vals,MATCH(C697,AreaRate_Keys,0))+IFERROR(INDEX(GlazingUpg_Vals,MATCH(H697,GlazingUpg_Keys,0)),0))+INDEX(Hardware_Vals,MATCH("Windows",Hardware_Keys,0))</f>
        <v>7878.22135</v>
      </c>
      <c r="Q697" s="31" t="n">
        <f aca="false">INDEX(Markup_Vals,MATCH("Windows",MarkupCat_Keys,0))</f>
        <v>0.42</v>
      </c>
      <c r="R697" s="32" t="n">
        <f aca="false">P697*(1+Q697)</f>
        <v>11187.074317</v>
      </c>
      <c r="S697" s="32" t="n">
        <f aca="false">R697*(1-TradeDiscount)</f>
        <v>9844.62539896</v>
      </c>
      <c r="T697" s="32" t="n">
        <f aca="false">R697*(1-VolumeDiscount)</f>
        <v>8949.6594536</v>
      </c>
    </row>
    <row r="698" customFormat="false" ht="15" hidden="false" customHeight="false" outlineLevel="0" collapsed="false">
      <c r="A698" s="25" t="s">
        <v>1614</v>
      </c>
      <c r="B698" s="25" t="s">
        <v>96</v>
      </c>
      <c r="C698" s="25" t="s">
        <v>47</v>
      </c>
      <c r="D698" s="25" t="s">
        <v>1615</v>
      </c>
      <c r="E698" s="25" t="s">
        <v>1570</v>
      </c>
      <c r="F698" s="25" t="s">
        <v>1611</v>
      </c>
      <c r="G698" s="25" t="s">
        <v>37</v>
      </c>
      <c r="H698" s="25" t="s">
        <v>64</v>
      </c>
      <c r="I698" s="25" t="s">
        <v>190</v>
      </c>
      <c r="J698" s="25" t="s">
        <v>685</v>
      </c>
      <c r="K698" s="25" t="s">
        <v>298</v>
      </c>
      <c r="L698" s="25" t="s">
        <v>29</v>
      </c>
      <c r="M698" s="25" t="n">
        <v>1509</v>
      </c>
      <c r="N698" s="25" t="n">
        <v>1509</v>
      </c>
      <c r="O698" s="25"/>
      <c r="P698" s="26" t="n">
        <f aca="false">(M698*N698/1000000)*(INDEX(AreaRate_Vals,MATCH(C698,AreaRate_Keys,0))+IFERROR(INDEX(GlazingUpg_Vals,MATCH(H698,GlazingUpg_Keys,0)),0))+INDEX(Hardware_Vals,MATCH("Windows",Hardware_Keys,0))</f>
        <v>7878.22135</v>
      </c>
      <c r="Q698" s="27" t="n">
        <f aca="false">INDEX(Markup_Vals,MATCH("Windows",MarkupCat_Keys,0))</f>
        <v>0.42</v>
      </c>
      <c r="R698" s="28" t="n">
        <f aca="false">P698*(1+Q698)</f>
        <v>11187.074317</v>
      </c>
      <c r="S698" s="28" t="n">
        <f aca="false">R698*(1-TradeDiscount)</f>
        <v>9844.62539896</v>
      </c>
      <c r="T698" s="28" t="n">
        <f aca="false">R698*(1-VolumeDiscount)</f>
        <v>8949.6594536</v>
      </c>
    </row>
    <row r="699" customFormat="false" ht="15" hidden="false" customHeight="false" outlineLevel="0" collapsed="false">
      <c r="A699" s="29" t="s">
        <v>1616</v>
      </c>
      <c r="B699" s="29" t="s">
        <v>96</v>
      </c>
      <c r="C699" s="29" t="s">
        <v>47</v>
      </c>
      <c r="D699" s="29" t="s">
        <v>1617</v>
      </c>
      <c r="E699" s="29" t="s">
        <v>1570</v>
      </c>
      <c r="F699" s="29" t="s">
        <v>1611</v>
      </c>
      <c r="G699" s="29" t="s">
        <v>39</v>
      </c>
      <c r="H699" s="29" t="s">
        <v>64</v>
      </c>
      <c r="I699" s="29" t="s">
        <v>190</v>
      </c>
      <c r="J699" s="29" t="s">
        <v>685</v>
      </c>
      <c r="K699" s="29" t="s">
        <v>298</v>
      </c>
      <c r="L699" s="29" t="s">
        <v>29</v>
      </c>
      <c r="M699" s="29" t="n">
        <v>1509</v>
      </c>
      <c r="N699" s="29" t="n">
        <v>1509</v>
      </c>
      <c r="O699" s="29"/>
      <c r="P699" s="30" t="n">
        <f aca="false">(M699*N699/1000000)*(INDEX(AreaRate_Vals,MATCH(C699,AreaRate_Keys,0))+IFERROR(INDEX(GlazingUpg_Vals,MATCH(H699,GlazingUpg_Keys,0)),0))+INDEX(Hardware_Vals,MATCH("Windows",Hardware_Keys,0))</f>
        <v>7878.22135</v>
      </c>
      <c r="Q699" s="31" t="n">
        <f aca="false">INDEX(Markup_Vals,MATCH("Windows",MarkupCat_Keys,0))</f>
        <v>0.42</v>
      </c>
      <c r="R699" s="32" t="n">
        <f aca="false">P699*(1+Q699)</f>
        <v>11187.074317</v>
      </c>
      <c r="S699" s="32" t="n">
        <f aca="false">R699*(1-TradeDiscount)</f>
        <v>9844.62539896</v>
      </c>
      <c r="T699" s="32" t="n">
        <f aca="false">R699*(1-VolumeDiscount)</f>
        <v>8949.6594536</v>
      </c>
    </row>
    <row r="700" customFormat="false" ht="15" hidden="false" customHeight="false" outlineLevel="0" collapsed="false">
      <c r="A700" s="25" t="s">
        <v>1618</v>
      </c>
      <c r="B700" s="25" t="s">
        <v>96</v>
      </c>
      <c r="C700" s="25" t="s">
        <v>47</v>
      </c>
      <c r="D700" s="25" t="s">
        <v>1619</v>
      </c>
      <c r="E700" s="25" t="s">
        <v>1570</v>
      </c>
      <c r="F700" s="25" t="s">
        <v>1611</v>
      </c>
      <c r="G700" s="25" t="s">
        <v>38</v>
      </c>
      <c r="H700" s="25" t="s">
        <v>64</v>
      </c>
      <c r="I700" s="25" t="s">
        <v>190</v>
      </c>
      <c r="J700" s="25" t="s">
        <v>685</v>
      </c>
      <c r="K700" s="25" t="s">
        <v>298</v>
      </c>
      <c r="L700" s="25" t="s">
        <v>29</v>
      </c>
      <c r="M700" s="25" t="n">
        <v>1509</v>
      </c>
      <c r="N700" s="25" t="n">
        <v>1509</v>
      </c>
      <c r="O700" s="25"/>
      <c r="P700" s="26" t="n">
        <f aca="false">(M700*N700/1000000)*(INDEX(AreaRate_Vals,MATCH(C700,AreaRate_Keys,0))+IFERROR(INDEX(GlazingUpg_Vals,MATCH(H700,GlazingUpg_Keys,0)),0))+INDEX(Hardware_Vals,MATCH("Windows",Hardware_Keys,0))</f>
        <v>7878.22135</v>
      </c>
      <c r="Q700" s="27" t="n">
        <f aca="false">INDEX(Markup_Vals,MATCH("Windows",MarkupCat_Keys,0))</f>
        <v>0.42</v>
      </c>
      <c r="R700" s="28" t="n">
        <f aca="false">P700*(1+Q700)</f>
        <v>11187.074317</v>
      </c>
      <c r="S700" s="28" t="n">
        <f aca="false">R700*(1-TradeDiscount)</f>
        <v>9844.62539896</v>
      </c>
      <c r="T700" s="28" t="n">
        <f aca="false">R700*(1-VolumeDiscount)</f>
        <v>8949.6594536</v>
      </c>
    </row>
    <row r="701" customFormat="false" ht="15" hidden="false" customHeight="false" outlineLevel="0" collapsed="false">
      <c r="A701" s="29" t="s">
        <v>1620</v>
      </c>
      <c r="B701" s="29" t="s">
        <v>96</v>
      </c>
      <c r="C701" s="29" t="s">
        <v>47</v>
      </c>
      <c r="D701" s="29" t="s">
        <v>1621</v>
      </c>
      <c r="E701" s="29" t="s">
        <v>1570</v>
      </c>
      <c r="F701" s="29" t="s">
        <v>810</v>
      </c>
      <c r="G701" s="29" t="s">
        <v>35</v>
      </c>
      <c r="H701" s="29" t="s">
        <v>64</v>
      </c>
      <c r="I701" s="29" t="s">
        <v>190</v>
      </c>
      <c r="J701" s="29" t="s">
        <v>685</v>
      </c>
      <c r="K701" s="29" t="s">
        <v>298</v>
      </c>
      <c r="L701" s="29" t="s">
        <v>29</v>
      </c>
      <c r="M701" s="29" t="n">
        <v>1809</v>
      </c>
      <c r="N701" s="29" t="n">
        <v>1509</v>
      </c>
      <c r="O701" s="29"/>
      <c r="P701" s="30" t="n">
        <f aca="false">(M701*N701/1000000)*(INDEX(AreaRate_Vals,MATCH(C701,AreaRate_Keys,0))+IFERROR(INDEX(GlazingUpg_Vals,MATCH(H701,GlazingUpg_Keys,0)),0))+INDEX(Hardware_Vals,MATCH("Windows",Hardware_Keys,0))</f>
        <v>9394.76635</v>
      </c>
      <c r="Q701" s="31" t="n">
        <f aca="false">INDEX(Markup_Vals,MATCH("Windows",MarkupCat_Keys,0))</f>
        <v>0.42</v>
      </c>
      <c r="R701" s="32" t="n">
        <f aca="false">P701*(1+Q701)</f>
        <v>13340.568217</v>
      </c>
      <c r="S701" s="32" t="n">
        <f aca="false">R701*(1-TradeDiscount)</f>
        <v>11739.70003096</v>
      </c>
      <c r="T701" s="32" t="n">
        <f aca="false">R701*(1-VolumeDiscount)</f>
        <v>10672.4545736</v>
      </c>
    </row>
    <row r="702" customFormat="false" ht="15" hidden="false" customHeight="false" outlineLevel="0" collapsed="false">
      <c r="A702" s="25" t="s">
        <v>1622</v>
      </c>
      <c r="B702" s="25" t="s">
        <v>96</v>
      </c>
      <c r="C702" s="25" t="s">
        <v>47</v>
      </c>
      <c r="D702" s="25" t="s">
        <v>1623</v>
      </c>
      <c r="E702" s="25" t="s">
        <v>1570</v>
      </c>
      <c r="F702" s="25" t="s">
        <v>810</v>
      </c>
      <c r="G702" s="25" t="s">
        <v>36</v>
      </c>
      <c r="H702" s="25" t="s">
        <v>64</v>
      </c>
      <c r="I702" s="25" t="s">
        <v>190</v>
      </c>
      <c r="J702" s="25" t="s">
        <v>685</v>
      </c>
      <c r="K702" s="25" t="s">
        <v>298</v>
      </c>
      <c r="L702" s="25" t="s">
        <v>29</v>
      </c>
      <c r="M702" s="25" t="n">
        <v>1809</v>
      </c>
      <c r="N702" s="25" t="n">
        <v>1509</v>
      </c>
      <c r="O702" s="25"/>
      <c r="P702" s="26" t="n">
        <f aca="false">(M702*N702/1000000)*(INDEX(AreaRate_Vals,MATCH(C702,AreaRate_Keys,0))+IFERROR(INDEX(GlazingUpg_Vals,MATCH(H702,GlazingUpg_Keys,0)),0))+INDEX(Hardware_Vals,MATCH("Windows",Hardware_Keys,0))</f>
        <v>9394.76635</v>
      </c>
      <c r="Q702" s="27" t="n">
        <f aca="false">INDEX(Markup_Vals,MATCH("Windows",MarkupCat_Keys,0))</f>
        <v>0.42</v>
      </c>
      <c r="R702" s="28" t="n">
        <f aca="false">P702*(1+Q702)</f>
        <v>13340.568217</v>
      </c>
      <c r="S702" s="28" t="n">
        <f aca="false">R702*(1-TradeDiscount)</f>
        <v>11739.70003096</v>
      </c>
      <c r="T702" s="28" t="n">
        <f aca="false">R702*(1-VolumeDiscount)</f>
        <v>10672.4545736</v>
      </c>
    </row>
    <row r="703" customFormat="false" ht="15" hidden="false" customHeight="false" outlineLevel="0" collapsed="false">
      <c r="A703" s="29" t="s">
        <v>1624</v>
      </c>
      <c r="B703" s="29" t="s">
        <v>96</v>
      </c>
      <c r="C703" s="29" t="s">
        <v>47</v>
      </c>
      <c r="D703" s="29" t="s">
        <v>1625</v>
      </c>
      <c r="E703" s="29" t="s">
        <v>1570</v>
      </c>
      <c r="F703" s="29" t="s">
        <v>810</v>
      </c>
      <c r="G703" s="29" t="s">
        <v>37</v>
      </c>
      <c r="H703" s="29" t="s">
        <v>64</v>
      </c>
      <c r="I703" s="29" t="s">
        <v>190</v>
      </c>
      <c r="J703" s="29" t="s">
        <v>685</v>
      </c>
      <c r="K703" s="29" t="s">
        <v>298</v>
      </c>
      <c r="L703" s="29" t="s">
        <v>29</v>
      </c>
      <c r="M703" s="29" t="n">
        <v>1809</v>
      </c>
      <c r="N703" s="29" t="n">
        <v>1509</v>
      </c>
      <c r="O703" s="29"/>
      <c r="P703" s="30" t="n">
        <f aca="false">(M703*N703/1000000)*(INDEX(AreaRate_Vals,MATCH(C703,AreaRate_Keys,0))+IFERROR(INDEX(GlazingUpg_Vals,MATCH(H703,GlazingUpg_Keys,0)),0))+INDEX(Hardware_Vals,MATCH("Windows",Hardware_Keys,0))</f>
        <v>9394.76635</v>
      </c>
      <c r="Q703" s="31" t="n">
        <f aca="false">INDEX(Markup_Vals,MATCH("Windows",MarkupCat_Keys,0))</f>
        <v>0.42</v>
      </c>
      <c r="R703" s="32" t="n">
        <f aca="false">P703*(1+Q703)</f>
        <v>13340.568217</v>
      </c>
      <c r="S703" s="32" t="n">
        <f aca="false">R703*(1-TradeDiscount)</f>
        <v>11739.70003096</v>
      </c>
      <c r="T703" s="32" t="n">
        <f aca="false">R703*(1-VolumeDiscount)</f>
        <v>10672.4545736</v>
      </c>
    </row>
    <row r="704" customFormat="false" ht="15" hidden="false" customHeight="false" outlineLevel="0" collapsed="false">
      <c r="A704" s="25" t="s">
        <v>1626</v>
      </c>
      <c r="B704" s="25" t="s">
        <v>96</v>
      </c>
      <c r="C704" s="25" t="s">
        <v>47</v>
      </c>
      <c r="D704" s="25" t="s">
        <v>1627</v>
      </c>
      <c r="E704" s="25" t="s">
        <v>1570</v>
      </c>
      <c r="F704" s="25" t="s">
        <v>810</v>
      </c>
      <c r="G704" s="25" t="s">
        <v>39</v>
      </c>
      <c r="H704" s="25" t="s">
        <v>64</v>
      </c>
      <c r="I704" s="25" t="s">
        <v>190</v>
      </c>
      <c r="J704" s="25" t="s">
        <v>685</v>
      </c>
      <c r="K704" s="25" t="s">
        <v>298</v>
      </c>
      <c r="L704" s="25" t="s">
        <v>29</v>
      </c>
      <c r="M704" s="25" t="n">
        <v>1809</v>
      </c>
      <c r="N704" s="25" t="n">
        <v>1509</v>
      </c>
      <c r="O704" s="25"/>
      <c r="P704" s="26" t="n">
        <f aca="false">(M704*N704/1000000)*(INDEX(AreaRate_Vals,MATCH(C704,AreaRate_Keys,0))+IFERROR(INDEX(GlazingUpg_Vals,MATCH(H704,GlazingUpg_Keys,0)),0))+INDEX(Hardware_Vals,MATCH("Windows",Hardware_Keys,0))</f>
        <v>9394.76635</v>
      </c>
      <c r="Q704" s="27" t="n">
        <f aca="false">INDEX(Markup_Vals,MATCH("Windows",MarkupCat_Keys,0))</f>
        <v>0.42</v>
      </c>
      <c r="R704" s="28" t="n">
        <f aca="false">P704*(1+Q704)</f>
        <v>13340.568217</v>
      </c>
      <c r="S704" s="28" t="n">
        <f aca="false">R704*(1-TradeDiscount)</f>
        <v>11739.70003096</v>
      </c>
      <c r="T704" s="28" t="n">
        <f aca="false">R704*(1-VolumeDiscount)</f>
        <v>10672.4545736</v>
      </c>
    </row>
    <row r="705" customFormat="false" ht="15" hidden="false" customHeight="false" outlineLevel="0" collapsed="false">
      <c r="A705" s="29" t="s">
        <v>1628</v>
      </c>
      <c r="B705" s="29" t="s">
        <v>96</v>
      </c>
      <c r="C705" s="29" t="s">
        <v>47</v>
      </c>
      <c r="D705" s="29" t="s">
        <v>1629</v>
      </c>
      <c r="E705" s="29" t="s">
        <v>1570</v>
      </c>
      <c r="F705" s="29" t="s">
        <v>810</v>
      </c>
      <c r="G705" s="29" t="s">
        <v>38</v>
      </c>
      <c r="H705" s="29" t="s">
        <v>64</v>
      </c>
      <c r="I705" s="29" t="s">
        <v>190</v>
      </c>
      <c r="J705" s="29" t="s">
        <v>685</v>
      </c>
      <c r="K705" s="29" t="s">
        <v>298</v>
      </c>
      <c r="L705" s="29" t="s">
        <v>29</v>
      </c>
      <c r="M705" s="29" t="n">
        <v>1809</v>
      </c>
      <c r="N705" s="29" t="n">
        <v>1509</v>
      </c>
      <c r="O705" s="29"/>
      <c r="P705" s="30" t="n">
        <f aca="false">(M705*N705/1000000)*(INDEX(AreaRate_Vals,MATCH(C705,AreaRate_Keys,0))+IFERROR(INDEX(GlazingUpg_Vals,MATCH(H705,GlazingUpg_Keys,0)),0))+INDEX(Hardware_Vals,MATCH("Windows",Hardware_Keys,0))</f>
        <v>9394.76635</v>
      </c>
      <c r="Q705" s="31" t="n">
        <f aca="false">INDEX(Markup_Vals,MATCH("Windows",MarkupCat_Keys,0))</f>
        <v>0.42</v>
      </c>
      <c r="R705" s="32" t="n">
        <f aca="false">P705*(1+Q705)</f>
        <v>13340.568217</v>
      </c>
      <c r="S705" s="32" t="n">
        <f aca="false">R705*(1-TradeDiscount)</f>
        <v>11739.70003096</v>
      </c>
      <c r="T705" s="32" t="n">
        <f aca="false">R705*(1-VolumeDiscount)</f>
        <v>10672.4545736</v>
      </c>
    </row>
    <row r="706" customFormat="false" ht="15" hidden="false" customHeight="false" outlineLevel="0" collapsed="false">
      <c r="A706" s="25" t="s">
        <v>1630</v>
      </c>
      <c r="B706" s="25" t="s">
        <v>96</v>
      </c>
      <c r="C706" s="25" t="s">
        <v>47</v>
      </c>
      <c r="D706" s="25" t="s">
        <v>1631</v>
      </c>
      <c r="E706" s="25" t="s">
        <v>1570</v>
      </c>
      <c r="F706" s="25" t="s">
        <v>1632</v>
      </c>
      <c r="G706" s="25" t="s">
        <v>35</v>
      </c>
      <c r="H706" s="25" t="s">
        <v>64</v>
      </c>
      <c r="I706" s="25" t="s">
        <v>190</v>
      </c>
      <c r="J706" s="25" t="s">
        <v>685</v>
      </c>
      <c r="K706" s="25" t="s">
        <v>298</v>
      </c>
      <c r="L706" s="25" t="s">
        <v>29</v>
      </c>
      <c r="M706" s="25" t="n">
        <v>1809</v>
      </c>
      <c r="N706" s="25" t="n">
        <v>2009</v>
      </c>
      <c r="O706" s="25"/>
      <c r="P706" s="26" t="n">
        <f aca="false">(M706*N706/1000000)*(INDEX(AreaRate_Vals,MATCH(C706,AreaRate_Keys,0))+IFERROR(INDEX(GlazingUpg_Vals,MATCH(H706,GlazingUpg_Keys,0)),0))+INDEX(Hardware_Vals,MATCH("Windows",Hardware_Keys,0))</f>
        <v>12424.84135</v>
      </c>
      <c r="Q706" s="27" t="n">
        <f aca="false">INDEX(Markup_Vals,MATCH("Windows",MarkupCat_Keys,0))</f>
        <v>0.42</v>
      </c>
      <c r="R706" s="28" t="n">
        <f aca="false">P706*(1+Q706)</f>
        <v>17643.274717</v>
      </c>
      <c r="S706" s="28" t="n">
        <f aca="false">R706*(1-TradeDiscount)</f>
        <v>15526.08175096</v>
      </c>
      <c r="T706" s="28" t="n">
        <f aca="false">R706*(1-VolumeDiscount)</f>
        <v>14114.6197736</v>
      </c>
    </row>
    <row r="707" customFormat="false" ht="15" hidden="false" customHeight="false" outlineLevel="0" collapsed="false">
      <c r="A707" s="29" t="s">
        <v>1633</v>
      </c>
      <c r="B707" s="29" t="s">
        <v>96</v>
      </c>
      <c r="C707" s="29" t="s">
        <v>47</v>
      </c>
      <c r="D707" s="29" t="s">
        <v>1634</v>
      </c>
      <c r="E707" s="29" t="s">
        <v>1570</v>
      </c>
      <c r="F707" s="29" t="s">
        <v>1632</v>
      </c>
      <c r="G707" s="29" t="s">
        <v>36</v>
      </c>
      <c r="H707" s="29" t="s">
        <v>64</v>
      </c>
      <c r="I707" s="29" t="s">
        <v>190</v>
      </c>
      <c r="J707" s="29" t="s">
        <v>685</v>
      </c>
      <c r="K707" s="29" t="s">
        <v>298</v>
      </c>
      <c r="L707" s="29" t="s">
        <v>29</v>
      </c>
      <c r="M707" s="29" t="n">
        <v>1809</v>
      </c>
      <c r="N707" s="29" t="n">
        <v>2009</v>
      </c>
      <c r="O707" s="29"/>
      <c r="P707" s="30" t="n">
        <f aca="false">(M707*N707/1000000)*(INDEX(AreaRate_Vals,MATCH(C707,AreaRate_Keys,0))+IFERROR(INDEX(GlazingUpg_Vals,MATCH(H707,GlazingUpg_Keys,0)),0))+INDEX(Hardware_Vals,MATCH("Windows",Hardware_Keys,0))</f>
        <v>12424.84135</v>
      </c>
      <c r="Q707" s="31" t="n">
        <f aca="false">INDEX(Markup_Vals,MATCH("Windows",MarkupCat_Keys,0))</f>
        <v>0.42</v>
      </c>
      <c r="R707" s="32" t="n">
        <f aca="false">P707*(1+Q707)</f>
        <v>17643.274717</v>
      </c>
      <c r="S707" s="32" t="n">
        <f aca="false">R707*(1-TradeDiscount)</f>
        <v>15526.08175096</v>
      </c>
      <c r="T707" s="32" t="n">
        <f aca="false">R707*(1-VolumeDiscount)</f>
        <v>14114.6197736</v>
      </c>
    </row>
    <row r="708" customFormat="false" ht="15" hidden="false" customHeight="false" outlineLevel="0" collapsed="false">
      <c r="A708" s="25" t="s">
        <v>1635</v>
      </c>
      <c r="B708" s="25" t="s">
        <v>96</v>
      </c>
      <c r="C708" s="25" t="s">
        <v>47</v>
      </c>
      <c r="D708" s="25" t="s">
        <v>1636</v>
      </c>
      <c r="E708" s="25" t="s">
        <v>1570</v>
      </c>
      <c r="F708" s="25" t="s">
        <v>1632</v>
      </c>
      <c r="G708" s="25" t="s">
        <v>37</v>
      </c>
      <c r="H708" s="25" t="s">
        <v>64</v>
      </c>
      <c r="I708" s="25" t="s">
        <v>190</v>
      </c>
      <c r="J708" s="25" t="s">
        <v>685</v>
      </c>
      <c r="K708" s="25" t="s">
        <v>298</v>
      </c>
      <c r="L708" s="25" t="s">
        <v>29</v>
      </c>
      <c r="M708" s="25" t="n">
        <v>1809</v>
      </c>
      <c r="N708" s="25" t="n">
        <v>2009</v>
      </c>
      <c r="O708" s="25"/>
      <c r="P708" s="26" t="n">
        <f aca="false">(M708*N708/1000000)*(INDEX(AreaRate_Vals,MATCH(C708,AreaRate_Keys,0))+IFERROR(INDEX(GlazingUpg_Vals,MATCH(H708,GlazingUpg_Keys,0)),0))+INDEX(Hardware_Vals,MATCH("Windows",Hardware_Keys,0))</f>
        <v>12424.84135</v>
      </c>
      <c r="Q708" s="27" t="n">
        <f aca="false">INDEX(Markup_Vals,MATCH("Windows",MarkupCat_Keys,0))</f>
        <v>0.42</v>
      </c>
      <c r="R708" s="28" t="n">
        <f aca="false">P708*(1+Q708)</f>
        <v>17643.274717</v>
      </c>
      <c r="S708" s="28" t="n">
        <f aca="false">R708*(1-TradeDiscount)</f>
        <v>15526.08175096</v>
      </c>
      <c r="T708" s="28" t="n">
        <f aca="false">R708*(1-VolumeDiscount)</f>
        <v>14114.6197736</v>
      </c>
    </row>
    <row r="709" customFormat="false" ht="15" hidden="false" customHeight="false" outlineLevel="0" collapsed="false">
      <c r="A709" s="29" t="s">
        <v>1637</v>
      </c>
      <c r="B709" s="29" t="s">
        <v>96</v>
      </c>
      <c r="C709" s="29" t="s">
        <v>47</v>
      </c>
      <c r="D709" s="29" t="s">
        <v>1638</v>
      </c>
      <c r="E709" s="29" t="s">
        <v>1570</v>
      </c>
      <c r="F709" s="29" t="s">
        <v>1632</v>
      </c>
      <c r="G709" s="29" t="s">
        <v>39</v>
      </c>
      <c r="H709" s="29" t="s">
        <v>64</v>
      </c>
      <c r="I709" s="29" t="s">
        <v>190</v>
      </c>
      <c r="J709" s="29" t="s">
        <v>685</v>
      </c>
      <c r="K709" s="29" t="s">
        <v>298</v>
      </c>
      <c r="L709" s="29" t="s">
        <v>29</v>
      </c>
      <c r="M709" s="29" t="n">
        <v>1809</v>
      </c>
      <c r="N709" s="29" t="n">
        <v>2009</v>
      </c>
      <c r="O709" s="29"/>
      <c r="P709" s="30" t="n">
        <f aca="false">(M709*N709/1000000)*(INDEX(AreaRate_Vals,MATCH(C709,AreaRate_Keys,0))+IFERROR(INDEX(GlazingUpg_Vals,MATCH(H709,GlazingUpg_Keys,0)),0))+INDEX(Hardware_Vals,MATCH("Windows",Hardware_Keys,0))</f>
        <v>12424.84135</v>
      </c>
      <c r="Q709" s="31" t="n">
        <f aca="false">INDEX(Markup_Vals,MATCH("Windows",MarkupCat_Keys,0))</f>
        <v>0.42</v>
      </c>
      <c r="R709" s="32" t="n">
        <f aca="false">P709*(1+Q709)</f>
        <v>17643.274717</v>
      </c>
      <c r="S709" s="32" t="n">
        <f aca="false">R709*(1-TradeDiscount)</f>
        <v>15526.08175096</v>
      </c>
      <c r="T709" s="32" t="n">
        <f aca="false">R709*(1-VolumeDiscount)</f>
        <v>14114.6197736</v>
      </c>
    </row>
    <row r="710" customFormat="false" ht="15" hidden="false" customHeight="false" outlineLevel="0" collapsed="false">
      <c r="A710" s="25" t="s">
        <v>1639</v>
      </c>
      <c r="B710" s="25" t="s">
        <v>96</v>
      </c>
      <c r="C710" s="25" t="s">
        <v>47</v>
      </c>
      <c r="D710" s="25" t="s">
        <v>1640</v>
      </c>
      <c r="E710" s="25" t="s">
        <v>1570</v>
      </c>
      <c r="F710" s="25" t="s">
        <v>1632</v>
      </c>
      <c r="G710" s="25" t="s">
        <v>38</v>
      </c>
      <c r="H710" s="25" t="s">
        <v>64</v>
      </c>
      <c r="I710" s="25" t="s">
        <v>190</v>
      </c>
      <c r="J710" s="25" t="s">
        <v>685</v>
      </c>
      <c r="K710" s="25" t="s">
        <v>298</v>
      </c>
      <c r="L710" s="25" t="s">
        <v>29</v>
      </c>
      <c r="M710" s="25" t="n">
        <v>1809</v>
      </c>
      <c r="N710" s="25" t="n">
        <v>2009</v>
      </c>
      <c r="O710" s="25"/>
      <c r="P710" s="26" t="n">
        <f aca="false">(M710*N710/1000000)*(INDEX(AreaRate_Vals,MATCH(C710,AreaRate_Keys,0))+IFERROR(INDEX(GlazingUpg_Vals,MATCH(H710,GlazingUpg_Keys,0)),0))+INDEX(Hardware_Vals,MATCH("Windows",Hardware_Keys,0))</f>
        <v>12424.84135</v>
      </c>
      <c r="Q710" s="27" t="n">
        <f aca="false">INDEX(Markup_Vals,MATCH("Windows",MarkupCat_Keys,0))</f>
        <v>0.42</v>
      </c>
      <c r="R710" s="28" t="n">
        <f aca="false">P710*(1+Q710)</f>
        <v>17643.274717</v>
      </c>
      <c r="S710" s="28" t="n">
        <f aca="false">R710*(1-TradeDiscount)</f>
        <v>15526.08175096</v>
      </c>
      <c r="T710" s="28" t="n">
        <f aca="false">R710*(1-VolumeDiscount)</f>
        <v>14114.6197736</v>
      </c>
    </row>
    <row r="711" customFormat="false" ht="15" hidden="false" customHeight="false" outlineLevel="0" collapsed="false">
      <c r="A711" s="29" t="s">
        <v>1641</v>
      </c>
      <c r="B711" s="29" t="s">
        <v>96</v>
      </c>
      <c r="C711" s="29" t="s">
        <v>47</v>
      </c>
      <c r="D711" s="29" t="s">
        <v>1642</v>
      </c>
      <c r="E711" s="29" t="s">
        <v>1570</v>
      </c>
      <c r="F711" s="29" t="s">
        <v>319</v>
      </c>
      <c r="G711" s="29" t="s">
        <v>35</v>
      </c>
      <c r="H711" s="29" t="s">
        <v>64</v>
      </c>
      <c r="I711" s="29" t="s">
        <v>190</v>
      </c>
      <c r="J711" s="29" t="s">
        <v>685</v>
      </c>
      <c r="K711" s="29" t="s">
        <v>298</v>
      </c>
      <c r="L711" s="29" t="s">
        <v>29</v>
      </c>
      <c r="M711" s="29" t="n">
        <v>2409</v>
      </c>
      <c r="N711" s="29" t="n">
        <v>1509</v>
      </c>
      <c r="O711" s="29"/>
      <c r="P711" s="30" t="n">
        <f aca="false">(M711*N711/1000000)*(INDEX(AreaRate_Vals,MATCH(C711,AreaRate_Keys,0))+IFERROR(INDEX(GlazingUpg_Vals,MATCH(H711,GlazingUpg_Keys,0)),0))+INDEX(Hardware_Vals,MATCH("Windows",Hardware_Keys,0))</f>
        <v>12427.85635</v>
      </c>
      <c r="Q711" s="31" t="n">
        <f aca="false">INDEX(Markup_Vals,MATCH("Windows",MarkupCat_Keys,0))</f>
        <v>0.42</v>
      </c>
      <c r="R711" s="32" t="n">
        <f aca="false">P711*(1+Q711)</f>
        <v>17647.556017</v>
      </c>
      <c r="S711" s="32" t="n">
        <f aca="false">R711*(1-TradeDiscount)</f>
        <v>15529.84929496</v>
      </c>
      <c r="T711" s="32" t="n">
        <f aca="false">R711*(1-VolumeDiscount)</f>
        <v>14118.0448136</v>
      </c>
    </row>
    <row r="712" customFormat="false" ht="15" hidden="false" customHeight="false" outlineLevel="0" collapsed="false">
      <c r="A712" s="25" t="s">
        <v>1643</v>
      </c>
      <c r="B712" s="25" t="s">
        <v>96</v>
      </c>
      <c r="C712" s="25" t="s">
        <v>47</v>
      </c>
      <c r="D712" s="25" t="s">
        <v>1644</v>
      </c>
      <c r="E712" s="25" t="s">
        <v>1570</v>
      </c>
      <c r="F712" s="25" t="s">
        <v>319</v>
      </c>
      <c r="G712" s="25" t="s">
        <v>36</v>
      </c>
      <c r="H712" s="25" t="s">
        <v>64</v>
      </c>
      <c r="I712" s="25" t="s">
        <v>190</v>
      </c>
      <c r="J712" s="25" t="s">
        <v>685</v>
      </c>
      <c r="K712" s="25" t="s">
        <v>298</v>
      </c>
      <c r="L712" s="25" t="s">
        <v>29</v>
      </c>
      <c r="M712" s="25" t="n">
        <v>2409</v>
      </c>
      <c r="N712" s="25" t="n">
        <v>1509</v>
      </c>
      <c r="O712" s="25"/>
      <c r="P712" s="26" t="n">
        <f aca="false">(M712*N712/1000000)*(INDEX(AreaRate_Vals,MATCH(C712,AreaRate_Keys,0))+IFERROR(INDEX(GlazingUpg_Vals,MATCH(H712,GlazingUpg_Keys,0)),0))+INDEX(Hardware_Vals,MATCH("Windows",Hardware_Keys,0))</f>
        <v>12427.85635</v>
      </c>
      <c r="Q712" s="27" t="n">
        <f aca="false">INDEX(Markup_Vals,MATCH("Windows",MarkupCat_Keys,0))</f>
        <v>0.42</v>
      </c>
      <c r="R712" s="28" t="n">
        <f aca="false">P712*(1+Q712)</f>
        <v>17647.556017</v>
      </c>
      <c r="S712" s="28" t="n">
        <f aca="false">R712*(1-TradeDiscount)</f>
        <v>15529.84929496</v>
      </c>
      <c r="T712" s="28" t="n">
        <f aca="false">R712*(1-VolumeDiscount)</f>
        <v>14118.0448136</v>
      </c>
    </row>
    <row r="713" customFormat="false" ht="15" hidden="false" customHeight="false" outlineLevel="0" collapsed="false">
      <c r="A713" s="29" t="s">
        <v>1645</v>
      </c>
      <c r="B713" s="29" t="s">
        <v>96</v>
      </c>
      <c r="C713" s="29" t="s">
        <v>47</v>
      </c>
      <c r="D713" s="29" t="s">
        <v>1646</v>
      </c>
      <c r="E713" s="29" t="s">
        <v>1570</v>
      </c>
      <c r="F713" s="29" t="s">
        <v>319</v>
      </c>
      <c r="G713" s="29" t="s">
        <v>37</v>
      </c>
      <c r="H713" s="29" t="s">
        <v>64</v>
      </c>
      <c r="I713" s="29" t="s">
        <v>190</v>
      </c>
      <c r="J713" s="29" t="s">
        <v>685</v>
      </c>
      <c r="K713" s="29" t="s">
        <v>298</v>
      </c>
      <c r="L713" s="29" t="s">
        <v>29</v>
      </c>
      <c r="M713" s="29" t="n">
        <v>2409</v>
      </c>
      <c r="N713" s="29" t="n">
        <v>1509</v>
      </c>
      <c r="O713" s="29"/>
      <c r="P713" s="30" t="n">
        <f aca="false">(M713*N713/1000000)*(INDEX(AreaRate_Vals,MATCH(C713,AreaRate_Keys,0))+IFERROR(INDEX(GlazingUpg_Vals,MATCH(H713,GlazingUpg_Keys,0)),0))+INDEX(Hardware_Vals,MATCH("Windows",Hardware_Keys,0))</f>
        <v>12427.85635</v>
      </c>
      <c r="Q713" s="31" t="n">
        <f aca="false">INDEX(Markup_Vals,MATCH("Windows",MarkupCat_Keys,0))</f>
        <v>0.42</v>
      </c>
      <c r="R713" s="32" t="n">
        <f aca="false">P713*(1+Q713)</f>
        <v>17647.556017</v>
      </c>
      <c r="S713" s="32" t="n">
        <f aca="false">R713*(1-TradeDiscount)</f>
        <v>15529.84929496</v>
      </c>
      <c r="T713" s="32" t="n">
        <f aca="false">R713*(1-VolumeDiscount)</f>
        <v>14118.0448136</v>
      </c>
    </row>
    <row r="714" customFormat="false" ht="15" hidden="false" customHeight="false" outlineLevel="0" collapsed="false">
      <c r="A714" s="25" t="s">
        <v>1647</v>
      </c>
      <c r="B714" s="25" t="s">
        <v>96</v>
      </c>
      <c r="C714" s="25" t="s">
        <v>47</v>
      </c>
      <c r="D714" s="25" t="s">
        <v>1648</v>
      </c>
      <c r="E714" s="25" t="s">
        <v>1570</v>
      </c>
      <c r="F714" s="25" t="s">
        <v>319</v>
      </c>
      <c r="G714" s="25" t="s">
        <v>39</v>
      </c>
      <c r="H714" s="25" t="s">
        <v>64</v>
      </c>
      <c r="I714" s="25" t="s">
        <v>190</v>
      </c>
      <c r="J714" s="25" t="s">
        <v>685</v>
      </c>
      <c r="K714" s="25" t="s">
        <v>298</v>
      </c>
      <c r="L714" s="25" t="s">
        <v>29</v>
      </c>
      <c r="M714" s="25" t="n">
        <v>2409</v>
      </c>
      <c r="N714" s="25" t="n">
        <v>1509</v>
      </c>
      <c r="O714" s="25"/>
      <c r="P714" s="26" t="n">
        <f aca="false">(M714*N714/1000000)*(INDEX(AreaRate_Vals,MATCH(C714,AreaRate_Keys,0))+IFERROR(INDEX(GlazingUpg_Vals,MATCH(H714,GlazingUpg_Keys,0)),0))+INDEX(Hardware_Vals,MATCH("Windows",Hardware_Keys,0))</f>
        <v>12427.85635</v>
      </c>
      <c r="Q714" s="27" t="n">
        <f aca="false">INDEX(Markup_Vals,MATCH("Windows",MarkupCat_Keys,0))</f>
        <v>0.42</v>
      </c>
      <c r="R714" s="28" t="n">
        <f aca="false">P714*(1+Q714)</f>
        <v>17647.556017</v>
      </c>
      <c r="S714" s="28" t="n">
        <f aca="false">R714*(1-TradeDiscount)</f>
        <v>15529.84929496</v>
      </c>
      <c r="T714" s="28" t="n">
        <f aca="false">R714*(1-VolumeDiscount)</f>
        <v>14118.0448136</v>
      </c>
    </row>
    <row r="715" customFormat="false" ht="15" hidden="false" customHeight="false" outlineLevel="0" collapsed="false">
      <c r="A715" s="29" t="s">
        <v>1649</v>
      </c>
      <c r="B715" s="29" t="s">
        <v>96</v>
      </c>
      <c r="C715" s="29" t="s">
        <v>47</v>
      </c>
      <c r="D715" s="29" t="s">
        <v>1650</v>
      </c>
      <c r="E715" s="29" t="s">
        <v>1570</v>
      </c>
      <c r="F715" s="29" t="s">
        <v>319</v>
      </c>
      <c r="G715" s="29" t="s">
        <v>38</v>
      </c>
      <c r="H715" s="29" t="s">
        <v>64</v>
      </c>
      <c r="I715" s="29" t="s">
        <v>190</v>
      </c>
      <c r="J715" s="29" t="s">
        <v>685</v>
      </c>
      <c r="K715" s="29" t="s">
        <v>298</v>
      </c>
      <c r="L715" s="29" t="s">
        <v>29</v>
      </c>
      <c r="M715" s="29" t="n">
        <v>2409</v>
      </c>
      <c r="N715" s="29" t="n">
        <v>1509</v>
      </c>
      <c r="O715" s="29"/>
      <c r="P715" s="30" t="n">
        <f aca="false">(M715*N715/1000000)*(INDEX(AreaRate_Vals,MATCH(C715,AreaRate_Keys,0))+IFERROR(INDEX(GlazingUpg_Vals,MATCH(H715,GlazingUpg_Keys,0)),0))+INDEX(Hardware_Vals,MATCH("Windows",Hardware_Keys,0))</f>
        <v>12427.85635</v>
      </c>
      <c r="Q715" s="31" t="n">
        <f aca="false">INDEX(Markup_Vals,MATCH("Windows",MarkupCat_Keys,0))</f>
        <v>0.42</v>
      </c>
      <c r="R715" s="32" t="n">
        <f aca="false">P715*(1+Q715)</f>
        <v>17647.556017</v>
      </c>
      <c r="S715" s="32" t="n">
        <f aca="false">R715*(1-TradeDiscount)</f>
        <v>15529.84929496</v>
      </c>
      <c r="T715" s="32" t="n">
        <f aca="false">R715*(1-VolumeDiscount)</f>
        <v>14118.0448136</v>
      </c>
    </row>
    <row r="716" customFormat="false" ht="15" hidden="false" customHeight="false" outlineLevel="0" collapsed="false">
      <c r="A716" s="25" t="s">
        <v>1651</v>
      </c>
      <c r="B716" s="25" t="s">
        <v>96</v>
      </c>
      <c r="C716" s="25" t="s">
        <v>48</v>
      </c>
      <c r="D716" s="25" t="s">
        <v>1652</v>
      </c>
      <c r="E716" s="25" t="s">
        <v>1653</v>
      </c>
      <c r="F716" s="25" t="s">
        <v>810</v>
      </c>
      <c r="G716" s="25" t="s">
        <v>35</v>
      </c>
      <c r="H716" s="25" t="s">
        <v>67</v>
      </c>
      <c r="I716" s="25" t="s">
        <v>190</v>
      </c>
      <c r="J716" s="25" t="s">
        <v>1654</v>
      </c>
      <c r="K716" s="25" t="s">
        <v>298</v>
      </c>
      <c r="L716" s="25" t="s">
        <v>29</v>
      </c>
      <c r="M716" s="25" t="n">
        <v>1809</v>
      </c>
      <c r="N716" s="25" t="n">
        <v>1509</v>
      </c>
      <c r="O716" s="25"/>
      <c r="P716" s="26" t="n">
        <f aca="false">(M716*N716/1000000)*(INDEX(AreaRate_Vals,MATCH(C716,AreaRate_Keys,0))+IFERROR(INDEX(GlazingUpg_Vals,MATCH(H716,GlazingUpg_Keys,0)),0))+INDEX(Hardware_Vals,MATCH("Windows",Hardware_Keys,0))</f>
        <v>7347.4306</v>
      </c>
      <c r="Q716" s="27" t="n">
        <f aca="false">INDEX(Markup_Vals,MATCH("Windows",MarkupCat_Keys,0))</f>
        <v>0.42</v>
      </c>
      <c r="R716" s="28" t="n">
        <f aca="false">P716*(1+Q716)</f>
        <v>10433.351452</v>
      </c>
      <c r="S716" s="28" t="n">
        <f aca="false">R716*(1-TradeDiscount)</f>
        <v>9181.34927776</v>
      </c>
      <c r="T716" s="28" t="n">
        <f aca="false">R716*(1-VolumeDiscount)</f>
        <v>8346.6811616</v>
      </c>
    </row>
    <row r="717" customFormat="false" ht="15" hidden="false" customHeight="false" outlineLevel="0" collapsed="false">
      <c r="A717" s="29" t="s">
        <v>1655</v>
      </c>
      <c r="B717" s="29" t="s">
        <v>96</v>
      </c>
      <c r="C717" s="29" t="s">
        <v>48</v>
      </c>
      <c r="D717" s="29" t="s">
        <v>1656</v>
      </c>
      <c r="E717" s="29" t="s">
        <v>1653</v>
      </c>
      <c r="F717" s="29" t="s">
        <v>810</v>
      </c>
      <c r="G717" s="29" t="s">
        <v>36</v>
      </c>
      <c r="H717" s="29" t="s">
        <v>67</v>
      </c>
      <c r="I717" s="29" t="s">
        <v>190</v>
      </c>
      <c r="J717" s="29" t="s">
        <v>1654</v>
      </c>
      <c r="K717" s="29" t="s">
        <v>298</v>
      </c>
      <c r="L717" s="29" t="s">
        <v>29</v>
      </c>
      <c r="M717" s="29" t="n">
        <v>1809</v>
      </c>
      <c r="N717" s="29" t="n">
        <v>1509</v>
      </c>
      <c r="O717" s="29"/>
      <c r="P717" s="30" t="n">
        <f aca="false">(M717*N717/1000000)*(INDEX(AreaRate_Vals,MATCH(C717,AreaRate_Keys,0))+IFERROR(INDEX(GlazingUpg_Vals,MATCH(H717,GlazingUpg_Keys,0)),0))+INDEX(Hardware_Vals,MATCH("Windows",Hardware_Keys,0))</f>
        <v>7347.4306</v>
      </c>
      <c r="Q717" s="31" t="n">
        <f aca="false">INDEX(Markup_Vals,MATCH("Windows",MarkupCat_Keys,0))</f>
        <v>0.42</v>
      </c>
      <c r="R717" s="32" t="n">
        <f aca="false">P717*(1+Q717)</f>
        <v>10433.351452</v>
      </c>
      <c r="S717" s="32" t="n">
        <f aca="false">R717*(1-TradeDiscount)</f>
        <v>9181.34927776</v>
      </c>
      <c r="T717" s="32" t="n">
        <f aca="false">R717*(1-VolumeDiscount)</f>
        <v>8346.6811616</v>
      </c>
    </row>
    <row r="718" customFormat="false" ht="15" hidden="false" customHeight="false" outlineLevel="0" collapsed="false">
      <c r="A718" s="25" t="s">
        <v>1657</v>
      </c>
      <c r="B718" s="25" t="s">
        <v>96</v>
      </c>
      <c r="C718" s="25" t="s">
        <v>48</v>
      </c>
      <c r="D718" s="25" t="s">
        <v>1658</v>
      </c>
      <c r="E718" s="25" t="s">
        <v>1653</v>
      </c>
      <c r="F718" s="25" t="s">
        <v>810</v>
      </c>
      <c r="G718" s="25" t="s">
        <v>37</v>
      </c>
      <c r="H718" s="25" t="s">
        <v>67</v>
      </c>
      <c r="I718" s="25" t="s">
        <v>190</v>
      </c>
      <c r="J718" s="25" t="s">
        <v>1654</v>
      </c>
      <c r="K718" s="25" t="s">
        <v>298</v>
      </c>
      <c r="L718" s="25" t="s">
        <v>29</v>
      </c>
      <c r="M718" s="25" t="n">
        <v>1809</v>
      </c>
      <c r="N718" s="25" t="n">
        <v>1509</v>
      </c>
      <c r="O718" s="25"/>
      <c r="P718" s="26" t="n">
        <f aca="false">(M718*N718/1000000)*(INDEX(AreaRate_Vals,MATCH(C718,AreaRate_Keys,0))+IFERROR(INDEX(GlazingUpg_Vals,MATCH(H718,GlazingUpg_Keys,0)),0))+INDEX(Hardware_Vals,MATCH("Windows",Hardware_Keys,0))</f>
        <v>7347.4306</v>
      </c>
      <c r="Q718" s="27" t="n">
        <f aca="false">INDEX(Markup_Vals,MATCH("Windows",MarkupCat_Keys,0))</f>
        <v>0.42</v>
      </c>
      <c r="R718" s="28" t="n">
        <f aca="false">P718*(1+Q718)</f>
        <v>10433.351452</v>
      </c>
      <c r="S718" s="28" t="n">
        <f aca="false">R718*(1-TradeDiscount)</f>
        <v>9181.34927776</v>
      </c>
      <c r="T718" s="28" t="n">
        <f aca="false">R718*(1-VolumeDiscount)</f>
        <v>8346.6811616</v>
      </c>
    </row>
    <row r="719" customFormat="false" ht="15" hidden="false" customHeight="false" outlineLevel="0" collapsed="false">
      <c r="A719" s="29" t="s">
        <v>1659</v>
      </c>
      <c r="B719" s="29" t="s">
        <v>96</v>
      </c>
      <c r="C719" s="29" t="s">
        <v>48</v>
      </c>
      <c r="D719" s="29" t="s">
        <v>1660</v>
      </c>
      <c r="E719" s="29" t="s">
        <v>1653</v>
      </c>
      <c r="F719" s="29" t="s">
        <v>810</v>
      </c>
      <c r="G719" s="29" t="s">
        <v>39</v>
      </c>
      <c r="H719" s="29" t="s">
        <v>67</v>
      </c>
      <c r="I719" s="29" t="s">
        <v>190</v>
      </c>
      <c r="J719" s="29" t="s">
        <v>1654</v>
      </c>
      <c r="K719" s="29" t="s">
        <v>298</v>
      </c>
      <c r="L719" s="29" t="s">
        <v>29</v>
      </c>
      <c r="M719" s="29" t="n">
        <v>1809</v>
      </c>
      <c r="N719" s="29" t="n">
        <v>1509</v>
      </c>
      <c r="O719" s="29"/>
      <c r="P719" s="30" t="n">
        <f aca="false">(M719*N719/1000000)*(INDEX(AreaRate_Vals,MATCH(C719,AreaRate_Keys,0))+IFERROR(INDEX(GlazingUpg_Vals,MATCH(H719,GlazingUpg_Keys,0)),0))+INDEX(Hardware_Vals,MATCH("Windows",Hardware_Keys,0))</f>
        <v>7347.4306</v>
      </c>
      <c r="Q719" s="31" t="n">
        <f aca="false">INDEX(Markup_Vals,MATCH("Windows",MarkupCat_Keys,0))</f>
        <v>0.42</v>
      </c>
      <c r="R719" s="32" t="n">
        <f aca="false">P719*(1+Q719)</f>
        <v>10433.351452</v>
      </c>
      <c r="S719" s="32" t="n">
        <f aca="false">R719*(1-TradeDiscount)</f>
        <v>9181.34927776</v>
      </c>
      <c r="T719" s="32" t="n">
        <f aca="false">R719*(1-VolumeDiscount)</f>
        <v>8346.6811616</v>
      </c>
    </row>
    <row r="720" customFormat="false" ht="15" hidden="false" customHeight="false" outlineLevel="0" collapsed="false">
      <c r="A720" s="25" t="s">
        <v>1661</v>
      </c>
      <c r="B720" s="25" t="s">
        <v>96</v>
      </c>
      <c r="C720" s="25" t="s">
        <v>48</v>
      </c>
      <c r="D720" s="25" t="s">
        <v>1662</v>
      </c>
      <c r="E720" s="25" t="s">
        <v>1653</v>
      </c>
      <c r="F720" s="25" t="s">
        <v>319</v>
      </c>
      <c r="G720" s="25" t="s">
        <v>35</v>
      </c>
      <c r="H720" s="25" t="s">
        <v>67</v>
      </c>
      <c r="I720" s="25" t="s">
        <v>190</v>
      </c>
      <c r="J720" s="25" t="s">
        <v>1654</v>
      </c>
      <c r="K720" s="25" t="s">
        <v>298</v>
      </c>
      <c r="L720" s="25" t="s">
        <v>29</v>
      </c>
      <c r="M720" s="25" t="n">
        <v>2409</v>
      </c>
      <c r="N720" s="25" t="n">
        <v>1509</v>
      </c>
      <c r="O720" s="25"/>
      <c r="P720" s="26" t="n">
        <f aca="false">(M720*N720/1000000)*(INDEX(AreaRate_Vals,MATCH(C720,AreaRate_Keys,0))+IFERROR(INDEX(GlazingUpg_Vals,MATCH(H720,GlazingUpg_Keys,0)),0))+INDEX(Hardware_Vals,MATCH("Windows",Hardware_Keys,0))</f>
        <v>9701.4706</v>
      </c>
      <c r="Q720" s="27" t="n">
        <f aca="false">INDEX(Markup_Vals,MATCH("Windows",MarkupCat_Keys,0))</f>
        <v>0.42</v>
      </c>
      <c r="R720" s="28" t="n">
        <f aca="false">P720*(1+Q720)</f>
        <v>13776.088252</v>
      </c>
      <c r="S720" s="28" t="n">
        <f aca="false">R720*(1-TradeDiscount)</f>
        <v>12122.95766176</v>
      </c>
      <c r="T720" s="28" t="n">
        <f aca="false">R720*(1-VolumeDiscount)</f>
        <v>11020.8706016</v>
      </c>
    </row>
    <row r="721" customFormat="false" ht="15" hidden="false" customHeight="false" outlineLevel="0" collapsed="false">
      <c r="A721" s="29" t="s">
        <v>1663</v>
      </c>
      <c r="B721" s="29" t="s">
        <v>96</v>
      </c>
      <c r="C721" s="29" t="s">
        <v>48</v>
      </c>
      <c r="D721" s="29" t="s">
        <v>1664</v>
      </c>
      <c r="E721" s="29" t="s">
        <v>1653</v>
      </c>
      <c r="F721" s="29" t="s">
        <v>319</v>
      </c>
      <c r="G721" s="29" t="s">
        <v>36</v>
      </c>
      <c r="H721" s="29" t="s">
        <v>67</v>
      </c>
      <c r="I721" s="29" t="s">
        <v>190</v>
      </c>
      <c r="J721" s="29" t="s">
        <v>1654</v>
      </c>
      <c r="K721" s="29" t="s">
        <v>298</v>
      </c>
      <c r="L721" s="29" t="s">
        <v>29</v>
      </c>
      <c r="M721" s="29" t="n">
        <v>2409</v>
      </c>
      <c r="N721" s="29" t="n">
        <v>1509</v>
      </c>
      <c r="O721" s="29"/>
      <c r="P721" s="30" t="n">
        <f aca="false">(M721*N721/1000000)*(INDEX(AreaRate_Vals,MATCH(C721,AreaRate_Keys,0))+IFERROR(INDEX(GlazingUpg_Vals,MATCH(H721,GlazingUpg_Keys,0)),0))+INDEX(Hardware_Vals,MATCH("Windows",Hardware_Keys,0))</f>
        <v>9701.4706</v>
      </c>
      <c r="Q721" s="31" t="n">
        <f aca="false">INDEX(Markup_Vals,MATCH("Windows",MarkupCat_Keys,0))</f>
        <v>0.42</v>
      </c>
      <c r="R721" s="32" t="n">
        <f aca="false">P721*(1+Q721)</f>
        <v>13776.088252</v>
      </c>
      <c r="S721" s="32" t="n">
        <f aca="false">R721*(1-TradeDiscount)</f>
        <v>12122.95766176</v>
      </c>
      <c r="T721" s="32" t="n">
        <f aca="false">R721*(1-VolumeDiscount)</f>
        <v>11020.8706016</v>
      </c>
    </row>
    <row r="722" customFormat="false" ht="15" hidden="false" customHeight="false" outlineLevel="0" collapsed="false">
      <c r="A722" s="25" t="s">
        <v>1665</v>
      </c>
      <c r="B722" s="25" t="s">
        <v>96</v>
      </c>
      <c r="C722" s="25" t="s">
        <v>48</v>
      </c>
      <c r="D722" s="25" t="s">
        <v>1666</v>
      </c>
      <c r="E722" s="25" t="s">
        <v>1653</v>
      </c>
      <c r="F722" s="25" t="s">
        <v>319</v>
      </c>
      <c r="G722" s="25" t="s">
        <v>37</v>
      </c>
      <c r="H722" s="25" t="s">
        <v>67</v>
      </c>
      <c r="I722" s="25" t="s">
        <v>190</v>
      </c>
      <c r="J722" s="25" t="s">
        <v>1654</v>
      </c>
      <c r="K722" s="25" t="s">
        <v>298</v>
      </c>
      <c r="L722" s="25" t="s">
        <v>29</v>
      </c>
      <c r="M722" s="25" t="n">
        <v>2409</v>
      </c>
      <c r="N722" s="25" t="n">
        <v>1509</v>
      </c>
      <c r="O722" s="25"/>
      <c r="P722" s="26" t="n">
        <f aca="false">(M722*N722/1000000)*(INDEX(AreaRate_Vals,MATCH(C722,AreaRate_Keys,0))+IFERROR(INDEX(GlazingUpg_Vals,MATCH(H722,GlazingUpg_Keys,0)),0))+INDEX(Hardware_Vals,MATCH("Windows",Hardware_Keys,0))</f>
        <v>9701.4706</v>
      </c>
      <c r="Q722" s="27" t="n">
        <f aca="false">INDEX(Markup_Vals,MATCH("Windows",MarkupCat_Keys,0))</f>
        <v>0.42</v>
      </c>
      <c r="R722" s="28" t="n">
        <f aca="false">P722*(1+Q722)</f>
        <v>13776.088252</v>
      </c>
      <c r="S722" s="28" t="n">
        <f aca="false">R722*(1-TradeDiscount)</f>
        <v>12122.95766176</v>
      </c>
      <c r="T722" s="28" t="n">
        <f aca="false">R722*(1-VolumeDiscount)</f>
        <v>11020.8706016</v>
      </c>
    </row>
    <row r="723" customFormat="false" ht="15" hidden="false" customHeight="false" outlineLevel="0" collapsed="false">
      <c r="A723" s="29" t="s">
        <v>1667</v>
      </c>
      <c r="B723" s="29" t="s">
        <v>96</v>
      </c>
      <c r="C723" s="29" t="s">
        <v>48</v>
      </c>
      <c r="D723" s="29" t="s">
        <v>1668</v>
      </c>
      <c r="E723" s="29" t="s">
        <v>1653</v>
      </c>
      <c r="F723" s="29" t="s">
        <v>319</v>
      </c>
      <c r="G723" s="29" t="s">
        <v>39</v>
      </c>
      <c r="H723" s="29" t="s">
        <v>67</v>
      </c>
      <c r="I723" s="29" t="s">
        <v>190</v>
      </c>
      <c r="J723" s="29" t="s">
        <v>1654</v>
      </c>
      <c r="K723" s="29" t="s">
        <v>298</v>
      </c>
      <c r="L723" s="29" t="s">
        <v>29</v>
      </c>
      <c r="M723" s="29" t="n">
        <v>2409</v>
      </c>
      <c r="N723" s="29" t="n">
        <v>1509</v>
      </c>
      <c r="O723" s="29"/>
      <c r="P723" s="30" t="n">
        <f aca="false">(M723*N723/1000000)*(INDEX(AreaRate_Vals,MATCH(C723,AreaRate_Keys,0))+IFERROR(INDEX(GlazingUpg_Vals,MATCH(H723,GlazingUpg_Keys,0)),0))+INDEX(Hardware_Vals,MATCH("Windows",Hardware_Keys,0))</f>
        <v>9701.4706</v>
      </c>
      <c r="Q723" s="31" t="n">
        <f aca="false">INDEX(Markup_Vals,MATCH("Windows",MarkupCat_Keys,0))</f>
        <v>0.42</v>
      </c>
      <c r="R723" s="32" t="n">
        <f aca="false">P723*(1+Q723)</f>
        <v>13776.088252</v>
      </c>
      <c r="S723" s="32" t="n">
        <f aca="false">R723*(1-TradeDiscount)</f>
        <v>12122.95766176</v>
      </c>
      <c r="T723" s="32" t="n">
        <f aca="false">R723*(1-VolumeDiscount)</f>
        <v>11020.8706016</v>
      </c>
    </row>
    <row r="724" customFormat="false" ht="15" hidden="false" customHeight="false" outlineLevel="0" collapsed="false">
      <c r="A724" s="25" t="s">
        <v>1669</v>
      </c>
      <c r="B724" s="25" t="s">
        <v>96</v>
      </c>
      <c r="C724" s="25" t="s">
        <v>48</v>
      </c>
      <c r="D724" s="25" t="s">
        <v>1670</v>
      </c>
      <c r="E724" s="25" t="s">
        <v>1653</v>
      </c>
      <c r="F724" s="25" t="s">
        <v>1671</v>
      </c>
      <c r="G724" s="25" t="s">
        <v>35</v>
      </c>
      <c r="H724" s="25" t="s">
        <v>67</v>
      </c>
      <c r="I724" s="25" t="s">
        <v>190</v>
      </c>
      <c r="J724" s="25" t="s">
        <v>1654</v>
      </c>
      <c r="K724" s="25" t="s">
        <v>298</v>
      </c>
      <c r="L724" s="25" t="s">
        <v>29</v>
      </c>
      <c r="M724" s="25" t="n">
        <v>2409</v>
      </c>
      <c r="N724" s="25" t="n">
        <v>1809</v>
      </c>
      <c r="O724" s="25"/>
      <c r="P724" s="26" t="n">
        <f aca="false">(M724*N724/1000000)*(INDEX(AreaRate_Vals,MATCH(C724,AreaRate_Keys,0))+IFERROR(INDEX(GlazingUpg_Vals,MATCH(H724,GlazingUpg_Keys,0)),0))+INDEX(Hardware_Vals,MATCH("Windows",Hardware_Keys,0))</f>
        <v>11580.4906</v>
      </c>
      <c r="Q724" s="27" t="n">
        <f aca="false">INDEX(Markup_Vals,MATCH("Windows",MarkupCat_Keys,0))</f>
        <v>0.42</v>
      </c>
      <c r="R724" s="28" t="n">
        <f aca="false">P724*(1+Q724)</f>
        <v>16444.296652</v>
      </c>
      <c r="S724" s="28" t="n">
        <f aca="false">R724*(1-TradeDiscount)</f>
        <v>14470.98105376</v>
      </c>
      <c r="T724" s="28" t="n">
        <f aca="false">R724*(1-VolumeDiscount)</f>
        <v>13155.4373216</v>
      </c>
    </row>
    <row r="725" customFormat="false" ht="15" hidden="false" customHeight="false" outlineLevel="0" collapsed="false">
      <c r="A725" s="29" t="s">
        <v>1672</v>
      </c>
      <c r="B725" s="29" t="s">
        <v>96</v>
      </c>
      <c r="C725" s="29" t="s">
        <v>48</v>
      </c>
      <c r="D725" s="29" t="s">
        <v>1673</v>
      </c>
      <c r="E725" s="29" t="s">
        <v>1653</v>
      </c>
      <c r="F725" s="29" t="s">
        <v>1671</v>
      </c>
      <c r="G725" s="29" t="s">
        <v>36</v>
      </c>
      <c r="H725" s="29" t="s">
        <v>67</v>
      </c>
      <c r="I725" s="29" t="s">
        <v>190</v>
      </c>
      <c r="J725" s="29" t="s">
        <v>1654</v>
      </c>
      <c r="K725" s="29" t="s">
        <v>298</v>
      </c>
      <c r="L725" s="29" t="s">
        <v>29</v>
      </c>
      <c r="M725" s="29" t="n">
        <v>2409</v>
      </c>
      <c r="N725" s="29" t="n">
        <v>1809</v>
      </c>
      <c r="O725" s="29"/>
      <c r="P725" s="30" t="n">
        <f aca="false">(M725*N725/1000000)*(INDEX(AreaRate_Vals,MATCH(C725,AreaRate_Keys,0))+IFERROR(INDEX(GlazingUpg_Vals,MATCH(H725,GlazingUpg_Keys,0)),0))+INDEX(Hardware_Vals,MATCH("Windows",Hardware_Keys,0))</f>
        <v>11580.4906</v>
      </c>
      <c r="Q725" s="31" t="n">
        <f aca="false">INDEX(Markup_Vals,MATCH("Windows",MarkupCat_Keys,0))</f>
        <v>0.42</v>
      </c>
      <c r="R725" s="32" t="n">
        <f aca="false">P725*(1+Q725)</f>
        <v>16444.296652</v>
      </c>
      <c r="S725" s="32" t="n">
        <f aca="false">R725*(1-TradeDiscount)</f>
        <v>14470.98105376</v>
      </c>
      <c r="T725" s="32" t="n">
        <f aca="false">R725*(1-VolumeDiscount)</f>
        <v>13155.4373216</v>
      </c>
    </row>
    <row r="726" customFormat="false" ht="15" hidden="false" customHeight="false" outlineLevel="0" collapsed="false">
      <c r="A726" s="25" t="s">
        <v>1674</v>
      </c>
      <c r="B726" s="25" t="s">
        <v>96</v>
      </c>
      <c r="C726" s="25" t="s">
        <v>48</v>
      </c>
      <c r="D726" s="25" t="s">
        <v>1675</v>
      </c>
      <c r="E726" s="25" t="s">
        <v>1653</v>
      </c>
      <c r="F726" s="25" t="s">
        <v>1671</v>
      </c>
      <c r="G726" s="25" t="s">
        <v>37</v>
      </c>
      <c r="H726" s="25" t="s">
        <v>67</v>
      </c>
      <c r="I726" s="25" t="s">
        <v>190</v>
      </c>
      <c r="J726" s="25" t="s">
        <v>1654</v>
      </c>
      <c r="K726" s="25" t="s">
        <v>298</v>
      </c>
      <c r="L726" s="25" t="s">
        <v>29</v>
      </c>
      <c r="M726" s="25" t="n">
        <v>2409</v>
      </c>
      <c r="N726" s="25" t="n">
        <v>1809</v>
      </c>
      <c r="O726" s="25"/>
      <c r="P726" s="26" t="n">
        <f aca="false">(M726*N726/1000000)*(INDEX(AreaRate_Vals,MATCH(C726,AreaRate_Keys,0))+IFERROR(INDEX(GlazingUpg_Vals,MATCH(H726,GlazingUpg_Keys,0)),0))+INDEX(Hardware_Vals,MATCH("Windows",Hardware_Keys,0))</f>
        <v>11580.4906</v>
      </c>
      <c r="Q726" s="27" t="n">
        <f aca="false">INDEX(Markup_Vals,MATCH("Windows",MarkupCat_Keys,0))</f>
        <v>0.42</v>
      </c>
      <c r="R726" s="28" t="n">
        <f aca="false">P726*(1+Q726)</f>
        <v>16444.296652</v>
      </c>
      <c r="S726" s="28" t="n">
        <f aca="false">R726*(1-TradeDiscount)</f>
        <v>14470.98105376</v>
      </c>
      <c r="T726" s="28" t="n">
        <f aca="false">R726*(1-VolumeDiscount)</f>
        <v>13155.4373216</v>
      </c>
    </row>
    <row r="727" customFormat="false" ht="15" hidden="false" customHeight="false" outlineLevel="0" collapsed="false">
      <c r="A727" s="29" t="s">
        <v>1676</v>
      </c>
      <c r="B727" s="29" t="s">
        <v>96</v>
      </c>
      <c r="C727" s="29" t="s">
        <v>48</v>
      </c>
      <c r="D727" s="29" t="s">
        <v>1677</v>
      </c>
      <c r="E727" s="29" t="s">
        <v>1653</v>
      </c>
      <c r="F727" s="29" t="s">
        <v>1671</v>
      </c>
      <c r="G727" s="29" t="s">
        <v>39</v>
      </c>
      <c r="H727" s="29" t="s">
        <v>67</v>
      </c>
      <c r="I727" s="29" t="s">
        <v>190</v>
      </c>
      <c r="J727" s="29" t="s">
        <v>1654</v>
      </c>
      <c r="K727" s="29" t="s">
        <v>298</v>
      </c>
      <c r="L727" s="29" t="s">
        <v>29</v>
      </c>
      <c r="M727" s="29" t="n">
        <v>2409</v>
      </c>
      <c r="N727" s="29" t="n">
        <v>1809</v>
      </c>
      <c r="O727" s="29"/>
      <c r="P727" s="30" t="n">
        <f aca="false">(M727*N727/1000000)*(INDEX(AreaRate_Vals,MATCH(C727,AreaRate_Keys,0))+IFERROR(INDEX(GlazingUpg_Vals,MATCH(H727,GlazingUpg_Keys,0)),0))+INDEX(Hardware_Vals,MATCH("Windows",Hardware_Keys,0))</f>
        <v>11580.4906</v>
      </c>
      <c r="Q727" s="31" t="n">
        <f aca="false">INDEX(Markup_Vals,MATCH("Windows",MarkupCat_Keys,0))</f>
        <v>0.42</v>
      </c>
      <c r="R727" s="32" t="n">
        <f aca="false">P727*(1+Q727)</f>
        <v>16444.296652</v>
      </c>
      <c r="S727" s="32" t="n">
        <f aca="false">R727*(1-TradeDiscount)</f>
        <v>14470.98105376</v>
      </c>
      <c r="T727" s="32" t="n">
        <f aca="false">R727*(1-VolumeDiscount)</f>
        <v>13155.4373216</v>
      </c>
    </row>
    <row r="728" customFormat="false" ht="15" hidden="false" customHeight="false" outlineLevel="0" collapsed="false">
      <c r="A728" s="25" t="s">
        <v>1678</v>
      </c>
      <c r="B728" s="25" t="s">
        <v>96</v>
      </c>
      <c r="C728" s="25" t="s">
        <v>48</v>
      </c>
      <c r="D728" s="25" t="s">
        <v>1679</v>
      </c>
      <c r="E728" s="25" t="s">
        <v>1653</v>
      </c>
      <c r="F728" s="25" t="s">
        <v>1549</v>
      </c>
      <c r="G728" s="25" t="s">
        <v>35</v>
      </c>
      <c r="H728" s="25" t="s">
        <v>67</v>
      </c>
      <c r="I728" s="25" t="s">
        <v>190</v>
      </c>
      <c r="J728" s="25" t="s">
        <v>1654</v>
      </c>
      <c r="K728" s="25" t="s">
        <v>298</v>
      </c>
      <c r="L728" s="25" t="s">
        <v>29</v>
      </c>
      <c r="M728" s="25" t="n">
        <v>3009</v>
      </c>
      <c r="N728" s="25" t="n">
        <v>1809</v>
      </c>
      <c r="O728" s="25"/>
      <c r="P728" s="26" t="n">
        <f aca="false">(M728*N728/1000000)*(INDEX(AreaRate_Vals,MATCH(C728,AreaRate_Keys,0))+IFERROR(INDEX(GlazingUpg_Vals,MATCH(H728,GlazingUpg_Keys,0)),0))+INDEX(Hardware_Vals,MATCH("Windows",Hardware_Keys,0))</f>
        <v>14402.5306</v>
      </c>
      <c r="Q728" s="27" t="n">
        <f aca="false">INDEX(Markup_Vals,MATCH("Windows",MarkupCat_Keys,0))</f>
        <v>0.42</v>
      </c>
      <c r="R728" s="28" t="n">
        <f aca="false">P728*(1+Q728)</f>
        <v>20451.593452</v>
      </c>
      <c r="S728" s="28" t="n">
        <f aca="false">R728*(1-TradeDiscount)</f>
        <v>17997.40223776</v>
      </c>
      <c r="T728" s="28" t="n">
        <f aca="false">R728*(1-VolumeDiscount)</f>
        <v>16361.2747616</v>
      </c>
    </row>
    <row r="729" customFormat="false" ht="15" hidden="false" customHeight="false" outlineLevel="0" collapsed="false">
      <c r="A729" s="29" t="s">
        <v>1680</v>
      </c>
      <c r="B729" s="29" t="s">
        <v>96</v>
      </c>
      <c r="C729" s="29" t="s">
        <v>48</v>
      </c>
      <c r="D729" s="29" t="s">
        <v>1681</v>
      </c>
      <c r="E729" s="29" t="s">
        <v>1653</v>
      </c>
      <c r="F729" s="29" t="s">
        <v>1549</v>
      </c>
      <c r="G729" s="29" t="s">
        <v>36</v>
      </c>
      <c r="H729" s="29" t="s">
        <v>67</v>
      </c>
      <c r="I729" s="29" t="s">
        <v>190</v>
      </c>
      <c r="J729" s="29" t="s">
        <v>1654</v>
      </c>
      <c r="K729" s="29" t="s">
        <v>298</v>
      </c>
      <c r="L729" s="29" t="s">
        <v>29</v>
      </c>
      <c r="M729" s="29" t="n">
        <v>3009</v>
      </c>
      <c r="N729" s="29" t="n">
        <v>1809</v>
      </c>
      <c r="O729" s="29"/>
      <c r="P729" s="30" t="n">
        <f aca="false">(M729*N729/1000000)*(INDEX(AreaRate_Vals,MATCH(C729,AreaRate_Keys,0))+IFERROR(INDEX(GlazingUpg_Vals,MATCH(H729,GlazingUpg_Keys,0)),0))+INDEX(Hardware_Vals,MATCH("Windows",Hardware_Keys,0))</f>
        <v>14402.5306</v>
      </c>
      <c r="Q729" s="31" t="n">
        <f aca="false">INDEX(Markup_Vals,MATCH("Windows",MarkupCat_Keys,0))</f>
        <v>0.42</v>
      </c>
      <c r="R729" s="32" t="n">
        <f aca="false">P729*(1+Q729)</f>
        <v>20451.593452</v>
      </c>
      <c r="S729" s="32" t="n">
        <f aca="false">R729*(1-TradeDiscount)</f>
        <v>17997.40223776</v>
      </c>
      <c r="T729" s="32" t="n">
        <f aca="false">R729*(1-VolumeDiscount)</f>
        <v>16361.2747616</v>
      </c>
    </row>
    <row r="730" customFormat="false" ht="15" hidden="false" customHeight="false" outlineLevel="0" collapsed="false">
      <c r="A730" s="25" t="s">
        <v>1682</v>
      </c>
      <c r="B730" s="25" t="s">
        <v>96</v>
      </c>
      <c r="C730" s="25" t="s">
        <v>48</v>
      </c>
      <c r="D730" s="25" t="s">
        <v>1683</v>
      </c>
      <c r="E730" s="25" t="s">
        <v>1653</v>
      </c>
      <c r="F730" s="25" t="s">
        <v>1549</v>
      </c>
      <c r="G730" s="25" t="s">
        <v>37</v>
      </c>
      <c r="H730" s="25" t="s">
        <v>67</v>
      </c>
      <c r="I730" s="25" t="s">
        <v>190</v>
      </c>
      <c r="J730" s="25" t="s">
        <v>1654</v>
      </c>
      <c r="K730" s="25" t="s">
        <v>298</v>
      </c>
      <c r="L730" s="25" t="s">
        <v>29</v>
      </c>
      <c r="M730" s="25" t="n">
        <v>3009</v>
      </c>
      <c r="N730" s="25" t="n">
        <v>1809</v>
      </c>
      <c r="O730" s="25"/>
      <c r="P730" s="26" t="n">
        <f aca="false">(M730*N730/1000000)*(INDEX(AreaRate_Vals,MATCH(C730,AreaRate_Keys,0))+IFERROR(INDEX(GlazingUpg_Vals,MATCH(H730,GlazingUpg_Keys,0)),0))+INDEX(Hardware_Vals,MATCH("Windows",Hardware_Keys,0))</f>
        <v>14402.5306</v>
      </c>
      <c r="Q730" s="27" t="n">
        <f aca="false">INDEX(Markup_Vals,MATCH("Windows",MarkupCat_Keys,0))</f>
        <v>0.42</v>
      </c>
      <c r="R730" s="28" t="n">
        <f aca="false">P730*(1+Q730)</f>
        <v>20451.593452</v>
      </c>
      <c r="S730" s="28" t="n">
        <f aca="false">R730*(1-TradeDiscount)</f>
        <v>17997.40223776</v>
      </c>
      <c r="T730" s="28" t="n">
        <f aca="false">R730*(1-VolumeDiscount)</f>
        <v>16361.2747616</v>
      </c>
    </row>
    <row r="731" customFormat="false" ht="15" hidden="false" customHeight="false" outlineLevel="0" collapsed="false">
      <c r="A731" s="29" t="s">
        <v>1684</v>
      </c>
      <c r="B731" s="29" t="s">
        <v>96</v>
      </c>
      <c r="C731" s="29" t="s">
        <v>48</v>
      </c>
      <c r="D731" s="29" t="s">
        <v>1685</v>
      </c>
      <c r="E731" s="29" t="s">
        <v>1653</v>
      </c>
      <c r="F731" s="29" t="s">
        <v>1549</v>
      </c>
      <c r="G731" s="29" t="s">
        <v>39</v>
      </c>
      <c r="H731" s="29" t="s">
        <v>67</v>
      </c>
      <c r="I731" s="29" t="s">
        <v>190</v>
      </c>
      <c r="J731" s="29" t="s">
        <v>1654</v>
      </c>
      <c r="K731" s="29" t="s">
        <v>298</v>
      </c>
      <c r="L731" s="29" t="s">
        <v>29</v>
      </c>
      <c r="M731" s="29" t="n">
        <v>3009</v>
      </c>
      <c r="N731" s="29" t="n">
        <v>1809</v>
      </c>
      <c r="O731" s="29"/>
      <c r="P731" s="30" t="n">
        <f aca="false">(M731*N731/1000000)*(INDEX(AreaRate_Vals,MATCH(C731,AreaRate_Keys,0))+IFERROR(INDEX(GlazingUpg_Vals,MATCH(H731,GlazingUpg_Keys,0)),0))+INDEX(Hardware_Vals,MATCH("Windows",Hardware_Keys,0))</f>
        <v>14402.5306</v>
      </c>
      <c r="Q731" s="31" t="n">
        <f aca="false">INDEX(Markup_Vals,MATCH("Windows",MarkupCat_Keys,0))</f>
        <v>0.42</v>
      </c>
      <c r="R731" s="32" t="n">
        <f aca="false">P731*(1+Q731)</f>
        <v>20451.593452</v>
      </c>
      <c r="S731" s="32" t="n">
        <f aca="false">R731*(1-TradeDiscount)</f>
        <v>17997.40223776</v>
      </c>
      <c r="T731" s="32" t="n">
        <f aca="false">R731*(1-VolumeDiscount)</f>
        <v>16361.2747616</v>
      </c>
    </row>
    <row r="732" customFormat="false" ht="15" hidden="false" customHeight="false" outlineLevel="0" collapsed="false">
      <c r="A732" s="25" t="s">
        <v>1686</v>
      </c>
      <c r="B732" s="25" t="s">
        <v>96</v>
      </c>
      <c r="C732" s="25" t="s">
        <v>48</v>
      </c>
      <c r="D732" s="25" t="s">
        <v>1687</v>
      </c>
      <c r="E732" s="25" t="s">
        <v>1688</v>
      </c>
      <c r="F732" s="25" t="s">
        <v>810</v>
      </c>
      <c r="G732" s="25" t="s">
        <v>35</v>
      </c>
      <c r="H732" s="25" t="s">
        <v>67</v>
      </c>
      <c r="I732" s="25" t="s">
        <v>190</v>
      </c>
      <c r="J732" s="25" t="s">
        <v>1654</v>
      </c>
      <c r="K732" s="25" t="s">
        <v>298</v>
      </c>
      <c r="L732" s="25" t="s">
        <v>29</v>
      </c>
      <c r="M732" s="25" t="n">
        <v>1809</v>
      </c>
      <c r="N732" s="25" t="n">
        <v>1509</v>
      </c>
      <c r="O732" s="25"/>
      <c r="P732" s="26" t="n">
        <f aca="false">(M732*N732/1000000)*(INDEX(AreaRate_Vals,MATCH(C732,AreaRate_Keys,0))+IFERROR(INDEX(GlazingUpg_Vals,MATCH(H732,GlazingUpg_Keys,0)),0))+INDEX(Hardware_Vals,MATCH("Windows",Hardware_Keys,0))</f>
        <v>7347.4306</v>
      </c>
      <c r="Q732" s="27" t="n">
        <f aca="false">INDEX(Markup_Vals,MATCH("Windows",MarkupCat_Keys,0))</f>
        <v>0.42</v>
      </c>
      <c r="R732" s="28" t="n">
        <f aca="false">P732*(1+Q732)</f>
        <v>10433.351452</v>
      </c>
      <c r="S732" s="28" t="n">
        <f aca="false">R732*(1-TradeDiscount)</f>
        <v>9181.34927776</v>
      </c>
      <c r="T732" s="28" t="n">
        <f aca="false">R732*(1-VolumeDiscount)</f>
        <v>8346.6811616</v>
      </c>
    </row>
    <row r="733" customFormat="false" ht="15" hidden="false" customHeight="false" outlineLevel="0" collapsed="false">
      <c r="A733" s="29" t="s">
        <v>1689</v>
      </c>
      <c r="B733" s="29" t="s">
        <v>96</v>
      </c>
      <c r="C733" s="29" t="s">
        <v>48</v>
      </c>
      <c r="D733" s="29" t="s">
        <v>1690</v>
      </c>
      <c r="E733" s="29" t="s">
        <v>1688</v>
      </c>
      <c r="F733" s="29" t="s">
        <v>810</v>
      </c>
      <c r="G733" s="29" t="s">
        <v>36</v>
      </c>
      <c r="H733" s="29" t="s">
        <v>67</v>
      </c>
      <c r="I733" s="29" t="s">
        <v>190</v>
      </c>
      <c r="J733" s="29" t="s">
        <v>1654</v>
      </c>
      <c r="K733" s="29" t="s">
        <v>298</v>
      </c>
      <c r="L733" s="29" t="s">
        <v>29</v>
      </c>
      <c r="M733" s="29" t="n">
        <v>1809</v>
      </c>
      <c r="N733" s="29" t="n">
        <v>1509</v>
      </c>
      <c r="O733" s="29"/>
      <c r="P733" s="30" t="n">
        <f aca="false">(M733*N733/1000000)*(INDEX(AreaRate_Vals,MATCH(C733,AreaRate_Keys,0))+IFERROR(INDEX(GlazingUpg_Vals,MATCH(H733,GlazingUpg_Keys,0)),0))+INDEX(Hardware_Vals,MATCH("Windows",Hardware_Keys,0))</f>
        <v>7347.4306</v>
      </c>
      <c r="Q733" s="31" t="n">
        <f aca="false">INDEX(Markup_Vals,MATCH("Windows",MarkupCat_Keys,0))</f>
        <v>0.42</v>
      </c>
      <c r="R733" s="32" t="n">
        <f aca="false">P733*(1+Q733)</f>
        <v>10433.351452</v>
      </c>
      <c r="S733" s="32" t="n">
        <f aca="false">R733*(1-TradeDiscount)</f>
        <v>9181.34927776</v>
      </c>
      <c r="T733" s="32" t="n">
        <f aca="false">R733*(1-VolumeDiscount)</f>
        <v>8346.6811616</v>
      </c>
    </row>
    <row r="734" customFormat="false" ht="15" hidden="false" customHeight="false" outlineLevel="0" collapsed="false">
      <c r="A734" s="25" t="s">
        <v>1691</v>
      </c>
      <c r="B734" s="25" t="s">
        <v>96</v>
      </c>
      <c r="C734" s="25" t="s">
        <v>48</v>
      </c>
      <c r="D734" s="25" t="s">
        <v>1692</v>
      </c>
      <c r="E734" s="25" t="s">
        <v>1688</v>
      </c>
      <c r="F734" s="25" t="s">
        <v>810</v>
      </c>
      <c r="G734" s="25" t="s">
        <v>37</v>
      </c>
      <c r="H734" s="25" t="s">
        <v>67</v>
      </c>
      <c r="I734" s="25" t="s">
        <v>190</v>
      </c>
      <c r="J734" s="25" t="s">
        <v>1654</v>
      </c>
      <c r="K734" s="25" t="s">
        <v>298</v>
      </c>
      <c r="L734" s="25" t="s">
        <v>29</v>
      </c>
      <c r="M734" s="25" t="n">
        <v>1809</v>
      </c>
      <c r="N734" s="25" t="n">
        <v>1509</v>
      </c>
      <c r="O734" s="25"/>
      <c r="P734" s="26" t="n">
        <f aca="false">(M734*N734/1000000)*(INDEX(AreaRate_Vals,MATCH(C734,AreaRate_Keys,0))+IFERROR(INDEX(GlazingUpg_Vals,MATCH(H734,GlazingUpg_Keys,0)),0))+INDEX(Hardware_Vals,MATCH("Windows",Hardware_Keys,0))</f>
        <v>7347.4306</v>
      </c>
      <c r="Q734" s="27" t="n">
        <f aca="false">INDEX(Markup_Vals,MATCH("Windows",MarkupCat_Keys,0))</f>
        <v>0.42</v>
      </c>
      <c r="R734" s="28" t="n">
        <f aca="false">P734*(1+Q734)</f>
        <v>10433.351452</v>
      </c>
      <c r="S734" s="28" t="n">
        <f aca="false">R734*(1-TradeDiscount)</f>
        <v>9181.34927776</v>
      </c>
      <c r="T734" s="28" t="n">
        <f aca="false">R734*(1-VolumeDiscount)</f>
        <v>8346.6811616</v>
      </c>
    </row>
    <row r="735" customFormat="false" ht="15" hidden="false" customHeight="false" outlineLevel="0" collapsed="false">
      <c r="A735" s="29" t="s">
        <v>1693</v>
      </c>
      <c r="B735" s="29" t="s">
        <v>96</v>
      </c>
      <c r="C735" s="29" t="s">
        <v>48</v>
      </c>
      <c r="D735" s="29" t="s">
        <v>1694</v>
      </c>
      <c r="E735" s="29" t="s">
        <v>1688</v>
      </c>
      <c r="F735" s="29" t="s">
        <v>810</v>
      </c>
      <c r="G735" s="29" t="s">
        <v>39</v>
      </c>
      <c r="H735" s="29" t="s">
        <v>67</v>
      </c>
      <c r="I735" s="29" t="s">
        <v>190</v>
      </c>
      <c r="J735" s="29" t="s">
        <v>1654</v>
      </c>
      <c r="K735" s="29" t="s">
        <v>298</v>
      </c>
      <c r="L735" s="29" t="s">
        <v>29</v>
      </c>
      <c r="M735" s="29" t="n">
        <v>1809</v>
      </c>
      <c r="N735" s="29" t="n">
        <v>1509</v>
      </c>
      <c r="O735" s="29"/>
      <c r="P735" s="30" t="n">
        <f aca="false">(M735*N735/1000000)*(INDEX(AreaRate_Vals,MATCH(C735,AreaRate_Keys,0))+IFERROR(INDEX(GlazingUpg_Vals,MATCH(H735,GlazingUpg_Keys,0)),0))+INDEX(Hardware_Vals,MATCH("Windows",Hardware_Keys,0))</f>
        <v>7347.4306</v>
      </c>
      <c r="Q735" s="31" t="n">
        <f aca="false">INDEX(Markup_Vals,MATCH("Windows",MarkupCat_Keys,0))</f>
        <v>0.42</v>
      </c>
      <c r="R735" s="32" t="n">
        <f aca="false">P735*(1+Q735)</f>
        <v>10433.351452</v>
      </c>
      <c r="S735" s="32" t="n">
        <f aca="false">R735*(1-TradeDiscount)</f>
        <v>9181.34927776</v>
      </c>
      <c r="T735" s="32" t="n">
        <f aca="false">R735*(1-VolumeDiscount)</f>
        <v>8346.6811616</v>
      </c>
    </row>
    <row r="736" customFormat="false" ht="15" hidden="false" customHeight="false" outlineLevel="0" collapsed="false">
      <c r="A736" s="25" t="s">
        <v>1695</v>
      </c>
      <c r="B736" s="25" t="s">
        <v>96</v>
      </c>
      <c r="C736" s="25" t="s">
        <v>48</v>
      </c>
      <c r="D736" s="25" t="s">
        <v>1696</v>
      </c>
      <c r="E736" s="25" t="s">
        <v>1688</v>
      </c>
      <c r="F736" s="25" t="s">
        <v>319</v>
      </c>
      <c r="G736" s="25" t="s">
        <v>35</v>
      </c>
      <c r="H736" s="25" t="s">
        <v>67</v>
      </c>
      <c r="I736" s="25" t="s">
        <v>190</v>
      </c>
      <c r="J736" s="25" t="s">
        <v>1654</v>
      </c>
      <c r="K736" s="25" t="s">
        <v>298</v>
      </c>
      <c r="L736" s="25" t="s">
        <v>29</v>
      </c>
      <c r="M736" s="25" t="n">
        <v>2409</v>
      </c>
      <c r="N736" s="25" t="n">
        <v>1509</v>
      </c>
      <c r="O736" s="25"/>
      <c r="P736" s="26" t="n">
        <f aca="false">(M736*N736/1000000)*(INDEX(AreaRate_Vals,MATCH(C736,AreaRate_Keys,0))+IFERROR(INDEX(GlazingUpg_Vals,MATCH(H736,GlazingUpg_Keys,0)),0))+INDEX(Hardware_Vals,MATCH("Windows",Hardware_Keys,0))</f>
        <v>9701.4706</v>
      </c>
      <c r="Q736" s="27" t="n">
        <f aca="false">INDEX(Markup_Vals,MATCH("Windows",MarkupCat_Keys,0))</f>
        <v>0.42</v>
      </c>
      <c r="R736" s="28" t="n">
        <f aca="false">P736*(1+Q736)</f>
        <v>13776.088252</v>
      </c>
      <c r="S736" s="28" t="n">
        <f aca="false">R736*(1-TradeDiscount)</f>
        <v>12122.95766176</v>
      </c>
      <c r="T736" s="28" t="n">
        <f aca="false">R736*(1-VolumeDiscount)</f>
        <v>11020.8706016</v>
      </c>
    </row>
    <row r="737" customFormat="false" ht="15" hidden="false" customHeight="false" outlineLevel="0" collapsed="false">
      <c r="A737" s="29" t="s">
        <v>1697</v>
      </c>
      <c r="B737" s="29" t="s">
        <v>96</v>
      </c>
      <c r="C737" s="29" t="s">
        <v>48</v>
      </c>
      <c r="D737" s="29" t="s">
        <v>1698</v>
      </c>
      <c r="E737" s="29" t="s">
        <v>1688</v>
      </c>
      <c r="F737" s="29" t="s">
        <v>319</v>
      </c>
      <c r="G737" s="29" t="s">
        <v>36</v>
      </c>
      <c r="H737" s="29" t="s">
        <v>67</v>
      </c>
      <c r="I737" s="29" t="s">
        <v>190</v>
      </c>
      <c r="J737" s="29" t="s">
        <v>1654</v>
      </c>
      <c r="K737" s="29" t="s">
        <v>298</v>
      </c>
      <c r="L737" s="29" t="s">
        <v>29</v>
      </c>
      <c r="M737" s="29" t="n">
        <v>2409</v>
      </c>
      <c r="N737" s="29" t="n">
        <v>1509</v>
      </c>
      <c r="O737" s="29"/>
      <c r="P737" s="30" t="n">
        <f aca="false">(M737*N737/1000000)*(INDEX(AreaRate_Vals,MATCH(C737,AreaRate_Keys,0))+IFERROR(INDEX(GlazingUpg_Vals,MATCH(H737,GlazingUpg_Keys,0)),0))+INDEX(Hardware_Vals,MATCH("Windows",Hardware_Keys,0))</f>
        <v>9701.4706</v>
      </c>
      <c r="Q737" s="31" t="n">
        <f aca="false">INDEX(Markup_Vals,MATCH("Windows",MarkupCat_Keys,0))</f>
        <v>0.42</v>
      </c>
      <c r="R737" s="32" t="n">
        <f aca="false">P737*(1+Q737)</f>
        <v>13776.088252</v>
      </c>
      <c r="S737" s="32" t="n">
        <f aca="false">R737*(1-TradeDiscount)</f>
        <v>12122.95766176</v>
      </c>
      <c r="T737" s="32" t="n">
        <f aca="false">R737*(1-VolumeDiscount)</f>
        <v>11020.8706016</v>
      </c>
    </row>
    <row r="738" customFormat="false" ht="15" hidden="false" customHeight="false" outlineLevel="0" collapsed="false">
      <c r="A738" s="25" t="s">
        <v>1699</v>
      </c>
      <c r="B738" s="25" t="s">
        <v>96</v>
      </c>
      <c r="C738" s="25" t="s">
        <v>48</v>
      </c>
      <c r="D738" s="25" t="s">
        <v>1700</v>
      </c>
      <c r="E738" s="25" t="s">
        <v>1688</v>
      </c>
      <c r="F738" s="25" t="s">
        <v>319</v>
      </c>
      <c r="G738" s="25" t="s">
        <v>37</v>
      </c>
      <c r="H738" s="25" t="s">
        <v>67</v>
      </c>
      <c r="I738" s="25" t="s">
        <v>190</v>
      </c>
      <c r="J738" s="25" t="s">
        <v>1654</v>
      </c>
      <c r="K738" s="25" t="s">
        <v>298</v>
      </c>
      <c r="L738" s="25" t="s">
        <v>29</v>
      </c>
      <c r="M738" s="25" t="n">
        <v>2409</v>
      </c>
      <c r="N738" s="25" t="n">
        <v>1509</v>
      </c>
      <c r="O738" s="25"/>
      <c r="P738" s="26" t="n">
        <f aca="false">(M738*N738/1000000)*(INDEX(AreaRate_Vals,MATCH(C738,AreaRate_Keys,0))+IFERROR(INDEX(GlazingUpg_Vals,MATCH(H738,GlazingUpg_Keys,0)),0))+INDEX(Hardware_Vals,MATCH("Windows",Hardware_Keys,0))</f>
        <v>9701.4706</v>
      </c>
      <c r="Q738" s="27" t="n">
        <f aca="false">INDEX(Markup_Vals,MATCH("Windows",MarkupCat_Keys,0))</f>
        <v>0.42</v>
      </c>
      <c r="R738" s="28" t="n">
        <f aca="false">P738*(1+Q738)</f>
        <v>13776.088252</v>
      </c>
      <c r="S738" s="28" t="n">
        <f aca="false">R738*(1-TradeDiscount)</f>
        <v>12122.95766176</v>
      </c>
      <c r="T738" s="28" t="n">
        <f aca="false">R738*(1-VolumeDiscount)</f>
        <v>11020.8706016</v>
      </c>
    </row>
    <row r="739" customFormat="false" ht="15" hidden="false" customHeight="false" outlineLevel="0" collapsed="false">
      <c r="A739" s="29" t="s">
        <v>1701</v>
      </c>
      <c r="B739" s="29" t="s">
        <v>96</v>
      </c>
      <c r="C739" s="29" t="s">
        <v>48</v>
      </c>
      <c r="D739" s="29" t="s">
        <v>1702</v>
      </c>
      <c r="E739" s="29" t="s">
        <v>1688</v>
      </c>
      <c r="F739" s="29" t="s">
        <v>319</v>
      </c>
      <c r="G739" s="29" t="s">
        <v>39</v>
      </c>
      <c r="H739" s="29" t="s">
        <v>67</v>
      </c>
      <c r="I739" s="29" t="s">
        <v>190</v>
      </c>
      <c r="J739" s="29" t="s">
        <v>1654</v>
      </c>
      <c r="K739" s="29" t="s">
        <v>298</v>
      </c>
      <c r="L739" s="29" t="s">
        <v>29</v>
      </c>
      <c r="M739" s="29" t="n">
        <v>2409</v>
      </c>
      <c r="N739" s="29" t="n">
        <v>1509</v>
      </c>
      <c r="O739" s="29"/>
      <c r="P739" s="30" t="n">
        <f aca="false">(M739*N739/1000000)*(INDEX(AreaRate_Vals,MATCH(C739,AreaRate_Keys,0))+IFERROR(INDEX(GlazingUpg_Vals,MATCH(H739,GlazingUpg_Keys,0)),0))+INDEX(Hardware_Vals,MATCH("Windows",Hardware_Keys,0))</f>
        <v>9701.4706</v>
      </c>
      <c r="Q739" s="31" t="n">
        <f aca="false">INDEX(Markup_Vals,MATCH("Windows",MarkupCat_Keys,0))</f>
        <v>0.42</v>
      </c>
      <c r="R739" s="32" t="n">
        <f aca="false">P739*(1+Q739)</f>
        <v>13776.088252</v>
      </c>
      <c r="S739" s="32" t="n">
        <f aca="false">R739*(1-TradeDiscount)</f>
        <v>12122.95766176</v>
      </c>
      <c r="T739" s="32" t="n">
        <f aca="false">R739*(1-VolumeDiscount)</f>
        <v>11020.8706016</v>
      </c>
    </row>
    <row r="740" customFormat="false" ht="15" hidden="false" customHeight="false" outlineLevel="0" collapsed="false">
      <c r="A740" s="25" t="s">
        <v>1703</v>
      </c>
      <c r="B740" s="25" t="s">
        <v>96</v>
      </c>
      <c r="C740" s="25" t="s">
        <v>48</v>
      </c>
      <c r="D740" s="25" t="s">
        <v>1704</v>
      </c>
      <c r="E740" s="25" t="s">
        <v>1688</v>
      </c>
      <c r="F740" s="25" t="s">
        <v>1671</v>
      </c>
      <c r="G740" s="25" t="s">
        <v>35</v>
      </c>
      <c r="H740" s="25" t="s">
        <v>67</v>
      </c>
      <c r="I740" s="25" t="s">
        <v>190</v>
      </c>
      <c r="J740" s="25" t="s">
        <v>1654</v>
      </c>
      <c r="K740" s="25" t="s">
        <v>298</v>
      </c>
      <c r="L740" s="25" t="s">
        <v>29</v>
      </c>
      <c r="M740" s="25" t="n">
        <v>2409</v>
      </c>
      <c r="N740" s="25" t="n">
        <v>1809</v>
      </c>
      <c r="O740" s="25"/>
      <c r="P740" s="26" t="n">
        <f aca="false">(M740*N740/1000000)*(INDEX(AreaRate_Vals,MATCH(C740,AreaRate_Keys,0))+IFERROR(INDEX(GlazingUpg_Vals,MATCH(H740,GlazingUpg_Keys,0)),0))+INDEX(Hardware_Vals,MATCH("Windows",Hardware_Keys,0))</f>
        <v>11580.4906</v>
      </c>
      <c r="Q740" s="27" t="n">
        <f aca="false">INDEX(Markup_Vals,MATCH("Windows",MarkupCat_Keys,0))</f>
        <v>0.42</v>
      </c>
      <c r="R740" s="28" t="n">
        <f aca="false">P740*(1+Q740)</f>
        <v>16444.296652</v>
      </c>
      <c r="S740" s="28" t="n">
        <f aca="false">R740*(1-TradeDiscount)</f>
        <v>14470.98105376</v>
      </c>
      <c r="T740" s="28" t="n">
        <f aca="false">R740*(1-VolumeDiscount)</f>
        <v>13155.4373216</v>
      </c>
    </row>
    <row r="741" customFormat="false" ht="15" hidden="false" customHeight="false" outlineLevel="0" collapsed="false">
      <c r="A741" s="29" t="s">
        <v>1705</v>
      </c>
      <c r="B741" s="29" t="s">
        <v>96</v>
      </c>
      <c r="C741" s="29" t="s">
        <v>48</v>
      </c>
      <c r="D741" s="29" t="s">
        <v>1706</v>
      </c>
      <c r="E741" s="29" t="s">
        <v>1688</v>
      </c>
      <c r="F741" s="29" t="s">
        <v>1671</v>
      </c>
      <c r="G741" s="29" t="s">
        <v>36</v>
      </c>
      <c r="H741" s="29" t="s">
        <v>67</v>
      </c>
      <c r="I741" s="29" t="s">
        <v>190</v>
      </c>
      <c r="J741" s="29" t="s">
        <v>1654</v>
      </c>
      <c r="K741" s="29" t="s">
        <v>298</v>
      </c>
      <c r="L741" s="29" t="s">
        <v>29</v>
      </c>
      <c r="M741" s="29" t="n">
        <v>2409</v>
      </c>
      <c r="N741" s="29" t="n">
        <v>1809</v>
      </c>
      <c r="O741" s="29"/>
      <c r="P741" s="30" t="n">
        <f aca="false">(M741*N741/1000000)*(INDEX(AreaRate_Vals,MATCH(C741,AreaRate_Keys,0))+IFERROR(INDEX(GlazingUpg_Vals,MATCH(H741,GlazingUpg_Keys,0)),0))+INDEX(Hardware_Vals,MATCH("Windows",Hardware_Keys,0))</f>
        <v>11580.4906</v>
      </c>
      <c r="Q741" s="31" t="n">
        <f aca="false">INDEX(Markup_Vals,MATCH("Windows",MarkupCat_Keys,0))</f>
        <v>0.42</v>
      </c>
      <c r="R741" s="32" t="n">
        <f aca="false">P741*(1+Q741)</f>
        <v>16444.296652</v>
      </c>
      <c r="S741" s="32" t="n">
        <f aca="false">R741*(1-TradeDiscount)</f>
        <v>14470.98105376</v>
      </c>
      <c r="T741" s="32" t="n">
        <f aca="false">R741*(1-VolumeDiscount)</f>
        <v>13155.4373216</v>
      </c>
    </row>
    <row r="742" customFormat="false" ht="15" hidden="false" customHeight="false" outlineLevel="0" collapsed="false">
      <c r="A742" s="25" t="s">
        <v>1707</v>
      </c>
      <c r="B742" s="25" t="s">
        <v>96</v>
      </c>
      <c r="C742" s="25" t="s">
        <v>48</v>
      </c>
      <c r="D742" s="25" t="s">
        <v>1708</v>
      </c>
      <c r="E742" s="25" t="s">
        <v>1688</v>
      </c>
      <c r="F742" s="25" t="s">
        <v>1671</v>
      </c>
      <c r="G742" s="25" t="s">
        <v>37</v>
      </c>
      <c r="H742" s="25" t="s">
        <v>67</v>
      </c>
      <c r="I742" s="25" t="s">
        <v>190</v>
      </c>
      <c r="J742" s="25" t="s">
        <v>1654</v>
      </c>
      <c r="K742" s="25" t="s">
        <v>298</v>
      </c>
      <c r="L742" s="25" t="s">
        <v>29</v>
      </c>
      <c r="M742" s="25" t="n">
        <v>2409</v>
      </c>
      <c r="N742" s="25" t="n">
        <v>1809</v>
      </c>
      <c r="O742" s="25"/>
      <c r="P742" s="26" t="n">
        <f aca="false">(M742*N742/1000000)*(INDEX(AreaRate_Vals,MATCH(C742,AreaRate_Keys,0))+IFERROR(INDEX(GlazingUpg_Vals,MATCH(H742,GlazingUpg_Keys,0)),0))+INDEX(Hardware_Vals,MATCH("Windows",Hardware_Keys,0))</f>
        <v>11580.4906</v>
      </c>
      <c r="Q742" s="27" t="n">
        <f aca="false">INDEX(Markup_Vals,MATCH("Windows",MarkupCat_Keys,0))</f>
        <v>0.42</v>
      </c>
      <c r="R742" s="28" t="n">
        <f aca="false">P742*(1+Q742)</f>
        <v>16444.296652</v>
      </c>
      <c r="S742" s="28" t="n">
        <f aca="false">R742*(1-TradeDiscount)</f>
        <v>14470.98105376</v>
      </c>
      <c r="T742" s="28" t="n">
        <f aca="false">R742*(1-VolumeDiscount)</f>
        <v>13155.4373216</v>
      </c>
    </row>
    <row r="743" customFormat="false" ht="15" hidden="false" customHeight="false" outlineLevel="0" collapsed="false">
      <c r="A743" s="29" t="s">
        <v>1709</v>
      </c>
      <c r="B743" s="29" t="s">
        <v>96</v>
      </c>
      <c r="C743" s="29" t="s">
        <v>48</v>
      </c>
      <c r="D743" s="29" t="s">
        <v>1710</v>
      </c>
      <c r="E743" s="29" t="s">
        <v>1688</v>
      </c>
      <c r="F743" s="29" t="s">
        <v>1671</v>
      </c>
      <c r="G743" s="29" t="s">
        <v>39</v>
      </c>
      <c r="H743" s="29" t="s">
        <v>67</v>
      </c>
      <c r="I743" s="29" t="s">
        <v>190</v>
      </c>
      <c r="J743" s="29" t="s">
        <v>1654</v>
      </c>
      <c r="K743" s="29" t="s">
        <v>298</v>
      </c>
      <c r="L743" s="29" t="s">
        <v>29</v>
      </c>
      <c r="M743" s="29" t="n">
        <v>2409</v>
      </c>
      <c r="N743" s="29" t="n">
        <v>1809</v>
      </c>
      <c r="O743" s="29"/>
      <c r="P743" s="30" t="n">
        <f aca="false">(M743*N743/1000000)*(INDEX(AreaRate_Vals,MATCH(C743,AreaRate_Keys,0))+IFERROR(INDEX(GlazingUpg_Vals,MATCH(H743,GlazingUpg_Keys,0)),0))+INDEX(Hardware_Vals,MATCH("Windows",Hardware_Keys,0))</f>
        <v>11580.4906</v>
      </c>
      <c r="Q743" s="31" t="n">
        <f aca="false">INDEX(Markup_Vals,MATCH("Windows",MarkupCat_Keys,0))</f>
        <v>0.42</v>
      </c>
      <c r="R743" s="32" t="n">
        <f aca="false">P743*(1+Q743)</f>
        <v>16444.296652</v>
      </c>
      <c r="S743" s="32" t="n">
        <f aca="false">R743*(1-TradeDiscount)</f>
        <v>14470.98105376</v>
      </c>
      <c r="T743" s="32" t="n">
        <f aca="false">R743*(1-VolumeDiscount)</f>
        <v>13155.4373216</v>
      </c>
    </row>
    <row r="744" customFormat="false" ht="15" hidden="false" customHeight="false" outlineLevel="0" collapsed="false">
      <c r="A744" s="25" t="s">
        <v>1711</v>
      </c>
      <c r="B744" s="25" t="s">
        <v>96</v>
      </c>
      <c r="C744" s="25" t="s">
        <v>48</v>
      </c>
      <c r="D744" s="25" t="s">
        <v>1712</v>
      </c>
      <c r="E744" s="25" t="s">
        <v>1688</v>
      </c>
      <c r="F744" s="25" t="s">
        <v>1549</v>
      </c>
      <c r="G744" s="25" t="s">
        <v>35</v>
      </c>
      <c r="H744" s="25" t="s">
        <v>67</v>
      </c>
      <c r="I744" s="25" t="s">
        <v>190</v>
      </c>
      <c r="J744" s="25" t="s">
        <v>1654</v>
      </c>
      <c r="K744" s="25" t="s">
        <v>298</v>
      </c>
      <c r="L744" s="25" t="s">
        <v>29</v>
      </c>
      <c r="M744" s="25" t="n">
        <v>3009</v>
      </c>
      <c r="N744" s="25" t="n">
        <v>1809</v>
      </c>
      <c r="O744" s="25"/>
      <c r="P744" s="26" t="n">
        <f aca="false">(M744*N744/1000000)*(INDEX(AreaRate_Vals,MATCH(C744,AreaRate_Keys,0))+IFERROR(INDEX(GlazingUpg_Vals,MATCH(H744,GlazingUpg_Keys,0)),0))+INDEX(Hardware_Vals,MATCH("Windows",Hardware_Keys,0))</f>
        <v>14402.5306</v>
      </c>
      <c r="Q744" s="27" t="n">
        <f aca="false">INDEX(Markup_Vals,MATCH("Windows",MarkupCat_Keys,0))</f>
        <v>0.42</v>
      </c>
      <c r="R744" s="28" t="n">
        <f aca="false">P744*(1+Q744)</f>
        <v>20451.593452</v>
      </c>
      <c r="S744" s="28" t="n">
        <f aca="false">R744*(1-TradeDiscount)</f>
        <v>17997.40223776</v>
      </c>
      <c r="T744" s="28" t="n">
        <f aca="false">R744*(1-VolumeDiscount)</f>
        <v>16361.2747616</v>
      </c>
    </row>
    <row r="745" customFormat="false" ht="15" hidden="false" customHeight="false" outlineLevel="0" collapsed="false">
      <c r="A745" s="29" t="s">
        <v>1713</v>
      </c>
      <c r="B745" s="29" t="s">
        <v>96</v>
      </c>
      <c r="C745" s="29" t="s">
        <v>48</v>
      </c>
      <c r="D745" s="29" t="s">
        <v>1714</v>
      </c>
      <c r="E745" s="29" t="s">
        <v>1688</v>
      </c>
      <c r="F745" s="29" t="s">
        <v>1549</v>
      </c>
      <c r="G745" s="29" t="s">
        <v>36</v>
      </c>
      <c r="H745" s="29" t="s">
        <v>67</v>
      </c>
      <c r="I745" s="29" t="s">
        <v>190</v>
      </c>
      <c r="J745" s="29" t="s">
        <v>1654</v>
      </c>
      <c r="K745" s="29" t="s">
        <v>298</v>
      </c>
      <c r="L745" s="29" t="s">
        <v>29</v>
      </c>
      <c r="M745" s="29" t="n">
        <v>3009</v>
      </c>
      <c r="N745" s="29" t="n">
        <v>1809</v>
      </c>
      <c r="O745" s="29"/>
      <c r="P745" s="30" t="n">
        <f aca="false">(M745*N745/1000000)*(INDEX(AreaRate_Vals,MATCH(C745,AreaRate_Keys,0))+IFERROR(INDEX(GlazingUpg_Vals,MATCH(H745,GlazingUpg_Keys,0)),0))+INDEX(Hardware_Vals,MATCH("Windows",Hardware_Keys,0))</f>
        <v>14402.5306</v>
      </c>
      <c r="Q745" s="31" t="n">
        <f aca="false">INDEX(Markup_Vals,MATCH("Windows",MarkupCat_Keys,0))</f>
        <v>0.42</v>
      </c>
      <c r="R745" s="32" t="n">
        <f aca="false">P745*(1+Q745)</f>
        <v>20451.593452</v>
      </c>
      <c r="S745" s="32" t="n">
        <f aca="false">R745*(1-TradeDiscount)</f>
        <v>17997.40223776</v>
      </c>
      <c r="T745" s="32" t="n">
        <f aca="false">R745*(1-VolumeDiscount)</f>
        <v>16361.2747616</v>
      </c>
    </row>
    <row r="746" customFormat="false" ht="15" hidden="false" customHeight="false" outlineLevel="0" collapsed="false">
      <c r="A746" s="25" t="s">
        <v>1715</v>
      </c>
      <c r="B746" s="25" t="s">
        <v>96</v>
      </c>
      <c r="C746" s="25" t="s">
        <v>48</v>
      </c>
      <c r="D746" s="25" t="s">
        <v>1716</v>
      </c>
      <c r="E746" s="25" t="s">
        <v>1688</v>
      </c>
      <c r="F746" s="25" t="s">
        <v>1549</v>
      </c>
      <c r="G746" s="25" t="s">
        <v>37</v>
      </c>
      <c r="H746" s="25" t="s">
        <v>67</v>
      </c>
      <c r="I746" s="25" t="s">
        <v>190</v>
      </c>
      <c r="J746" s="25" t="s">
        <v>1654</v>
      </c>
      <c r="K746" s="25" t="s">
        <v>298</v>
      </c>
      <c r="L746" s="25" t="s">
        <v>29</v>
      </c>
      <c r="M746" s="25" t="n">
        <v>3009</v>
      </c>
      <c r="N746" s="25" t="n">
        <v>1809</v>
      </c>
      <c r="O746" s="25"/>
      <c r="P746" s="26" t="n">
        <f aca="false">(M746*N746/1000000)*(INDEX(AreaRate_Vals,MATCH(C746,AreaRate_Keys,0))+IFERROR(INDEX(GlazingUpg_Vals,MATCH(H746,GlazingUpg_Keys,0)),0))+INDEX(Hardware_Vals,MATCH("Windows",Hardware_Keys,0))</f>
        <v>14402.5306</v>
      </c>
      <c r="Q746" s="27" t="n">
        <f aca="false">INDEX(Markup_Vals,MATCH("Windows",MarkupCat_Keys,0))</f>
        <v>0.42</v>
      </c>
      <c r="R746" s="28" t="n">
        <f aca="false">P746*(1+Q746)</f>
        <v>20451.593452</v>
      </c>
      <c r="S746" s="28" t="n">
        <f aca="false">R746*(1-TradeDiscount)</f>
        <v>17997.40223776</v>
      </c>
      <c r="T746" s="28" t="n">
        <f aca="false">R746*(1-VolumeDiscount)</f>
        <v>16361.2747616</v>
      </c>
    </row>
    <row r="747" customFormat="false" ht="15" hidden="false" customHeight="false" outlineLevel="0" collapsed="false">
      <c r="A747" s="29" t="s">
        <v>1717</v>
      </c>
      <c r="B747" s="29" t="s">
        <v>96</v>
      </c>
      <c r="C747" s="29" t="s">
        <v>48</v>
      </c>
      <c r="D747" s="29" t="s">
        <v>1718</v>
      </c>
      <c r="E747" s="29" t="s">
        <v>1688</v>
      </c>
      <c r="F747" s="29" t="s">
        <v>1549</v>
      </c>
      <c r="G747" s="29" t="s">
        <v>39</v>
      </c>
      <c r="H747" s="29" t="s">
        <v>67</v>
      </c>
      <c r="I747" s="29" t="s">
        <v>190</v>
      </c>
      <c r="J747" s="29" t="s">
        <v>1654</v>
      </c>
      <c r="K747" s="29" t="s">
        <v>298</v>
      </c>
      <c r="L747" s="29" t="s">
        <v>29</v>
      </c>
      <c r="M747" s="29" t="n">
        <v>3009</v>
      </c>
      <c r="N747" s="29" t="n">
        <v>1809</v>
      </c>
      <c r="O747" s="29"/>
      <c r="P747" s="30" t="n">
        <f aca="false">(M747*N747/1000000)*(INDEX(AreaRate_Vals,MATCH(C747,AreaRate_Keys,0))+IFERROR(INDEX(GlazingUpg_Vals,MATCH(H747,GlazingUpg_Keys,0)),0))+INDEX(Hardware_Vals,MATCH("Windows",Hardware_Keys,0))</f>
        <v>14402.5306</v>
      </c>
      <c r="Q747" s="31" t="n">
        <f aca="false">INDEX(Markup_Vals,MATCH("Windows",MarkupCat_Keys,0))</f>
        <v>0.42</v>
      </c>
      <c r="R747" s="32" t="n">
        <f aca="false">P747*(1+Q747)</f>
        <v>20451.593452</v>
      </c>
      <c r="S747" s="32" t="n">
        <f aca="false">R747*(1-TradeDiscount)</f>
        <v>17997.40223776</v>
      </c>
      <c r="T747" s="32" t="n">
        <f aca="false">R747*(1-VolumeDiscount)</f>
        <v>16361.2747616</v>
      </c>
    </row>
    <row r="748" customFormat="false" ht="15" hidden="false" customHeight="false" outlineLevel="0" collapsed="false">
      <c r="A748" s="25" t="s">
        <v>1719</v>
      </c>
      <c r="B748" s="25" t="s">
        <v>96</v>
      </c>
      <c r="C748" s="25" t="s">
        <v>48</v>
      </c>
      <c r="D748" s="25" t="s">
        <v>1720</v>
      </c>
      <c r="E748" s="25" t="s">
        <v>1721</v>
      </c>
      <c r="F748" s="25" t="s">
        <v>810</v>
      </c>
      <c r="G748" s="25" t="s">
        <v>35</v>
      </c>
      <c r="H748" s="25" t="s">
        <v>67</v>
      </c>
      <c r="I748" s="25" t="s">
        <v>190</v>
      </c>
      <c r="J748" s="25" t="s">
        <v>1654</v>
      </c>
      <c r="K748" s="25" t="s">
        <v>298</v>
      </c>
      <c r="L748" s="25" t="s">
        <v>29</v>
      </c>
      <c r="M748" s="25" t="n">
        <v>1809</v>
      </c>
      <c r="N748" s="25" t="n">
        <v>1509</v>
      </c>
      <c r="O748" s="25"/>
      <c r="P748" s="26" t="n">
        <f aca="false">(M748*N748/1000000)*(INDEX(AreaRate_Vals,MATCH(C748,AreaRate_Keys,0))+IFERROR(INDEX(GlazingUpg_Vals,MATCH(H748,GlazingUpg_Keys,0)),0))+INDEX(Hardware_Vals,MATCH("Windows",Hardware_Keys,0))</f>
        <v>7347.4306</v>
      </c>
      <c r="Q748" s="27" t="n">
        <f aca="false">INDEX(Markup_Vals,MATCH("Windows",MarkupCat_Keys,0))</f>
        <v>0.42</v>
      </c>
      <c r="R748" s="28" t="n">
        <f aca="false">P748*(1+Q748)</f>
        <v>10433.351452</v>
      </c>
      <c r="S748" s="28" t="n">
        <f aca="false">R748*(1-TradeDiscount)</f>
        <v>9181.34927776</v>
      </c>
      <c r="T748" s="28" t="n">
        <f aca="false">R748*(1-VolumeDiscount)</f>
        <v>8346.6811616</v>
      </c>
    </row>
    <row r="749" customFormat="false" ht="15" hidden="false" customHeight="false" outlineLevel="0" collapsed="false">
      <c r="A749" s="29" t="s">
        <v>1722</v>
      </c>
      <c r="B749" s="29" t="s">
        <v>96</v>
      </c>
      <c r="C749" s="29" t="s">
        <v>48</v>
      </c>
      <c r="D749" s="29" t="s">
        <v>1723</v>
      </c>
      <c r="E749" s="29" t="s">
        <v>1721</v>
      </c>
      <c r="F749" s="29" t="s">
        <v>810</v>
      </c>
      <c r="G749" s="29" t="s">
        <v>36</v>
      </c>
      <c r="H749" s="29" t="s">
        <v>67</v>
      </c>
      <c r="I749" s="29" t="s">
        <v>190</v>
      </c>
      <c r="J749" s="29" t="s">
        <v>1654</v>
      </c>
      <c r="K749" s="29" t="s">
        <v>298</v>
      </c>
      <c r="L749" s="29" t="s">
        <v>29</v>
      </c>
      <c r="M749" s="29" t="n">
        <v>1809</v>
      </c>
      <c r="N749" s="29" t="n">
        <v>1509</v>
      </c>
      <c r="O749" s="29"/>
      <c r="P749" s="30" t="n">
        <f aca="false">(M749*N749/1000000)*(INDEX(AreaRate_Vals,MATCH(C749,AreaRate_Keys,0))+IFERROR(INDEX(GlazingUpg_Vals,MATCH(H749,GlazingUpg_Keys,0)),0))+INDEX(Hardware_Vals,MATCH("Windows",Hardware_Keys,0))</f>
        <v>7347.4306</v>
      </c>
      <c r="Q749" s="31" t="n">
        <f aca="false">INDEX(Markup_Vals,MATCH("Windows",MarkupCat_Keys,0))</f>
        <v>0.42</v>
      </c>
      <c r="R749" s="32" t="n">
        <f aca="false">P749*(1+Q749)</f>
        <v>10433.351452</v>
      </c>
      <c r="S749" s="32" t="n">
        <f aca="false">R749*(1-TradeDiscount)</f>
        <v>9181.34927776</v>
      </c>
      <c r="T749" s="32" t="n">
        <f aca="false">R749*(1-VolumeDiscount)</f>
        <v>8346.6811616</v>
      </c>
    </row>
    <row r="750" customFormat="false" ht="15" hidden="false" customHeight="false" outlineLevel="0" collapsed="false">
      <c r="A750" s="25" t="s">
        <v>1724</v>
      </c>
      <c r="B750" s="25" t="s">
        <v>96</v>
      </c>
      <c r="C750" s="25" t="s">
        <v>48</v>
      </c>
      <c r="D750" s="25" t="s">
        <v>1725</v>
      </c>
      <c r="E750" s="25" t="s">
        <v>1721</v>
      </c>
      <c r="F750" s="25" t="s">
        <v>810</v>
      </c>
      <c r="G750" s="25" t="s">
        <v>37</v>
      </c>
      <c r="H750" s="25" t="s">
        <v>67</v>
      </c>
      <c r="I750" s="25" t="s">
        <v>190</v>
      </c>
      <c r="J750" s="25" t="s">
        <v>1654</v>
      </c>
      <c r="K750" s="25" t="s">
        <v>298</v>
      </c>
      <c r="L750" s="25" t="s">
        <v>29</v>
      </c>
      <c r="M750" s="25" t="n">
        <v>1809</v>
      </c>
      <c r="N750" s="25" t="n">
        <v>1509</v>
      </c>
      <c r="O750" s="25"/>
      <c r="P750" s="26" t="n">
        <f aca="false">(M750*N750/1000000)*(INDEX(AreaRate_Vals,MATCH(C750,AreaRate_Keys,0))+IFERROR(INDEX(GlazingUpg_Vals,MATCH(H750,GlazingUpg_Keys,0)),0))+INDEX(Hardware_Vals,MATCH("Windows",Hardware_Keys,0))</f>
        <v>7347.4306</v>
      </c>
      <c r="Q750" s="27" t="n">
        <f aca="false">INDEX(Markup_Vals,MATCH("Windows",MarkupCat_Keys,0))</f>
        <v>0.42</v>
      </c>
      <c r="R750" s="28" t="n">
        <f aca="false">P750*(1+Q750)</f>
        <v>10433.351452</v>
      </c>
      <c r="S750" s="28" t="n">
        <f aca="false">R750*(1-TradeDiscount)</f>
        <v>9181.34927776</v>
      </c>
      <c r="T750" s="28" t="n">
        <f aca="false">R750*(1-VolumeDiscount)</f>
        <v>8346.6811616</v>
      </c>
    </row>
    <row r="751" customFormat="false" ht="15" hidden="false" customHeight="false" outlineLevel="0" collapsed="false">
      <c r="A751" s="29" t="s">
        <v>1726</v>
      </c>
      <c r="B751" s="29" t="s">
        <v>96</v>
      </c>
      <c r="C751" s="29" t="s">
        <v>48</v>
      </c>
      <c r="D751" s="29" t="s">
        <v>1727</v>
      </c>
      <c r="E751" s="29" t="s">
        <v>1721</v>
      </c>
      <c r="F751" s="29" t="s">
        <v>810</v>
      </c>
      <c r="G751" s="29" t="s">
        <v>39</v>
      </c>
      <c r="H751" s="29" t="s">
        <v>67</v>
      </c>
      <c r="I751" s="29" t="s">
        <v>190</v>
      </c>
      <c r="J751" s="29" t="s">
        <v>1654</v>
      </c>
      <c r="K751" s="29" t="s">
        <v>298</v>
      </c>
      <c r="L751" s="29" t="s">
        <v>29</v>
      </c>
      <c r="M751" s="29" t="n">
        <v>1809</v>
      </c>
      <c r="N751" s="29" t="n">
        <v>1509</v>
      </c>
      <c r="O751" s="29"/>
      <c r="P751" s="30" t="n">
        <f aca="false">(M751*N751/1000000)*(INDEX(AreaRate_Vals,MATCH(C751,AreaRate_Keys,0))+IFERROR(INDEX(GlazingUpg_Vals,MATCH(H751,GlazingUpg_Keys,0)),0))+INDEX(Hardware_Vals,MATCH("Windows",Hardware_Keys,0))</f>
        <v>7347.4306</v>
      </c>
      <c r="Q751" s="31" t="n">
        <f aca="false">INDEX(Markup_Vals,MATCH("Windows",MarkupCat_Keys,0))</f>
        <v>0.42</v>
      </c>
      <c r="R751" s="32" t="n">
        <f aca="false">P751*(1+Q751)</f>
        <v>10433.351452</v>
      </c>
      <c r="S751" s="32" t="n">
        <f aca="false">R751*(1-TradeDiscount)</f>
        <v>9181.34927776</v>
      </c>
      <c r="T751" s="32" t="n">
        <f aca="false">R751*(1-VolumeDiscount)</f>
        <v>8346.6811616</v>
      </c>
    </row>
    <row r="752" customFormat="false" ht="15" hidden="false" customHeight="false" outlineLevel="0" collapsed="false">
      <c r="A752" s="25" t="s">
        <v>1728</v>
      </c>
      <c r="B752" s="25" t="s">
        <v>96</v>
      </c>
      <c r="C752" s="25" t="s">
        <v>48</v>
      </c>
      <c r="D752" s="25" t="s">
        <v>1729</v>
      </c>
      <c r="E752" s="25" t="s">
        <v>1721</v>
      </c>
      <c r="F752" s="25" t="s">
        <v>319</v>
      </c>
      <c r="G752" s="25" t="s">
        <v>35</v>
      </c>
      <c r="H752" s="25" t="s">
        <v>67</v>
      </c>
      <c r="I752" s="25" t="s">
        <v>190</v>
      </c>
      <c r="J752" s="25" t="s">
        <v>1654</v>
      </c>
      <c r="K752" s="25" t="s">
        <v>298</v>
      </c>
      <c r="L752" s="25" t="s">
        <v>29</v>
      </c>
      <c r="M752" s="25" t="n">
        <v>2409</v>
      </c>
      <c r="N752" s="25" t="n">
        <v>1509</v>
      </c>
      <c r="O752" s="25"/>
      <c r="P752" s="26" t="n">
        <f aca="false">(M752*N752/1000000)*(INDEX(AreaRate_Vals,MATCH(C752,AreaRate_Keys,0))+IFERROR(INDEX(GlazingUpg_Vals,MATCH(H752,GlazingUpg_Keys,0)),0))+INDEX(Hardware_Vals,MATCH("Windows",Hardware_Keys,0))</f>
        <v>9701.4706</v>
      </c>
      <c r="Q752" s="27" t="n">
        <f aca="false">INDEX(Markup_Vals,MATCH("Windows",MarkupCat_Keys,0))</f>
        <v>0.42</v>
      </c>
      <c r="R752" s="28" t="n">
        <f aca="false">P752*(1+Q752)</f>
        <v>13776.088252</v>
      </c>
      <c r="S752" s="28" t="n">
        <f aca="false">R752*(1-TradeDiscount)</f>
        <v>12122.95766176</v>
      </c>
      <c r="T752" s="28" t="n">
        <f aca="false">R752*(1-VolumeDiscount)</f>
        <v>11020.8706016</v>
      </c>
    </row>
    <row r="753" customFormat="false" ht="15" hidden="false" customHeight="false" outlineLevel="0" collapsed="false">
      <c r="A753" s="29" t="s">
        <v>1730</v>
      </c>
      <c r="B753" s="29" t="s">
        <v>96</v>
      </c>
      <c r="C753" s="29" t="s">
        <v>48</v>
      </c>
      <c r="D753" s="29" t="s">
        <v>1731</v>
      </c>
      <c r="E753" s="29" t="s">
        <v>1721</v>
      </c>
      <c r="F753" s="29" t="s">
        <v>319</v>
      </c>
      <c r="G753" s="29" t="s">
        <v>36</v>
      </c>
      <c r="H753" s="29" t="s">
        <v>67</v>
      </c>
      <c r="I753" s="29" t="s">
        <v>190</v>
      </c>
      <c r="J753" s="29" t="s">
        <v>1654</v>
      </c>
      <c r="K753" s="29" t="s">
        <v>298</v>
      </c>
      <c r="L753" s="29" t="s">
        <v>29</v>
      </c>
      <c r="M753" s="29" t="n">
        <v>2409</v>
      </c>
      <c r="N753" s="29" t="n">
        <v>1509</v>
      </c>
      <c r="O753" s="29"/>
      <c r="P753" s="30" t="n">
        <f aca="false">(M753*N753/1000000)*(INDEX(AreaRate_Vals,MATCH(C753,AreaRate_Keys,0))+IFERROR(INDEX(GlazingUpg_Vals,MATCH(H753,GlazingUpg_Keys,0)),0))+INDEX(Hardware_Vals,MATCH("Windows",Hardware_Keys,0))</f>
        <v>9701.4706</v>
      </c>
      <c r="Q753" s="31" t="n">
        <f aca="false">INDEX(Markup_Vals,MATCH("Windows",MarkupCat_Keys,0))</f>
        <v>0.42</v>
      </c>
      <c r="R753" s="32" t="n">
        <f aca="false">P753*(1+Q753)</f>
        <v>13776.088252</v>
      </c>
      <c r="S753" s="32" t="n">
        <f aca="false">R753*(1-TradeDiscount)</f>
        <v>12122.95766176</v>
      </c>
      <c r="T753" s="32" t="n">
        <f aca="false">R753*(1-VolumeDiscount)</f>
        <v>11020.8706016</v>
      </c>
    </row>
    <row r="754" customFormat="false" ht="15" hidden="false" customHeight="false" outlineLevel="0" collapsed="false">
      <c r="A754" s="25" t="s">
        <v>1732</v>
      </c>
      <c r="B754" s="25" t="s">
        <v>96</v>
      </c>
      <c r="C754" s="25" t="s">
        <v>48</v>
      </c>
      <c r="D754" s="25" t="s">
        <v>1733</v>
      </c>
      <c r="E754" s="25" t="s">
        <v>1721</v>
      </c>
      <c r="F754" s="25" t="s">
        <v>319</v>
      </c>
      <c r="G754" s="25" t="s">
        <v>37</v>
      </c>
      <c r="H754" s="25" t="s">
        <v>67</v>
      </c>
      <c r="I754" s="25" t="s">
        <v>190</v>
      </c>
      <c r="J754" s="25" t="s">
        <v>1654</v>
      </c>
      <c r="K754" s="25" t="s">
        <v>298</v>
      </c>
      <c r="L754" s="25" t="s">
        <v>29</v>
      </c>
      <c r="M754" s="25" t="n">
        <v>2409</v>
      </c>
      <c r="N754" s="25" t="n">
        <v>1509</v>
      </c>
      <c r="O754" s="25"/>
      <c r="P754" s="26" t="n">
        <f aca="false">(M754*N754/1000000)*(INDEX(AreaRate_Vals,MATCH(C754,AreaRate_Keys,0))+IFERROR(INDEX(GlazingUpg_Vals,MATCH(H754,GlazingUpg_Keys,0)),0))+INDEX(Hardware_Vals,MATCH("Windows",Hardware_Keys,0))</f>
        <v>9701.4706</v>
      </c>
      <c r="Q754" s="27" t="n">
        <f aca="false">INDEX(Markup_Vals,MATCH("Windows",MarkupCat_Keys,0))</f>
        <v>0.42</v>
      </c>
      <c r="R754" s="28" t="n">
        <f aca="false">P754*(1+Q754)</f>
        <v>13776.088252</v>
      </c>
      <c r="S754" s="28" t="n">
        <f aca="false">R754*(1-TradeDiscount)</f>
        <v>12122.95766176</v>
      </c>
      <c r="T754" s="28" t="n">
        <f aca="false">R754*(1-VolumeDiscount)</f>
        <v>11020.8706016</v>
      </c>
    </row>
    <row r="755" customFormat="false" ht="15" hidden="false" customHeight="false" outlineLevel="0" collapsed="false">
      <c r="A755" s="29" t="s">
        <v>1734</v>
      </c>
      <c r="B755" s="29" t="s">
        <v>96</v>
      </c>
      <c r="C755" s="29" t="s">
        <v>48</v>
      </c>
      <c r="D755" s="29" t="s">
        <v>1735</v>
      </c>
      <c r="E755" s="29" t="s">
        <v>1721</v>
      </c>
      <c r="F755" s="29" t="s">
        <v>319</v>
      </c>
      <c r="G755" s="29" t="s">
        <v>39</v>
      </c>
      <c r="H755" s="29" t="s">
        <v>67</v>
      </c>
      <c r="I755" s="29" t="s">
        <v>190</v>
      </c>
      <c r="J755" s="29" t="s">
        <v>1654</v>
      </c>
      <c r="K755" s="29" t="s">
        <v>298</v>
      </c>
      <c r="L755" s="29" t="s">
        <v>29</v>
      </c>
      <c r="M755" s="29" t="n">
        <v>2409</v>
      </c>
      <c r="N755" s="29" t="n">
        <v>1509</v>
      </c>
      <c r="O755" s="29"/>
      <c r="P755" s="30" t="n">
        <f aca="false">(M755*N755/1000000)*(INDEX(AreaRate_Vals,MATCH(C755,AreaRate_Keys,0))+IFERROR(INDEX(GlazingUpg_Vals,MATCH(H755,GlazingUpg_Keys,0)),0))+INDEX(Hardware_Vals,MATCH("Windows",Hardware_Keys,0))</f>
        <v>9701.4706</v>
      </c>
      <c r="Q755" s="31" t="n">
        <f aca="false">INDEX(Markup_Vals,MATCH("Windows",MarkupCat_Keys,0))</f>
        <v>0.42</v>
      </c>
      <c r="R755" s="32" t="n">
        <f aca="false">P755*(1+Q755)</f>
        <v>13776.088252</v>
      </c>
      <c r="S755" s="32" t="n">
        <f aca="false">R755*(1-TradeDiscount)</f>
        <v>12122.95766176</v>
      </c>
      <c r="T755" s="32" t="n">
        <f aca="false">R755*(1-VolumeDiscount)</f>
        <v>11020.8706016</v>
      </c>
    </row>
    <row r="756" customFormat="false" ht="15" hidden="false" customHeight="false" outlineLevel="0" collapsed="false">
      <c r="A756" s="25" t="s">
        <v>1736</v>
      </c>
      <c r="B756" s="25" t="s">
        <v>96</v>
      </c>
      <c r="C756" s="25" t="s">
        <v>48</v>
      </c>
      <c r="D756" s="25" t="s">
        <v>1737</v>
      </c>
      <c r="E756" s="25" t="s">
        <v>1721</v>
      </c>
      <c r="F756" s="25" t="s">
        <v>1671</v>
      </c>
      <c r="G756" s="25" t="s">
        <v>35</v>
      </c>
      <c r="H756" s="25" t="s">
        <v>67</v>
      </c>
      <c r="I756" s="25" t="s">
        <v>190</v>
      </c>
      <c r="J756" s="25" t="s">
        <v>1654</v>
      </c>
      <c r="K756" s="25" t="s">
        <v>298</v>
      </c>
      <c r="L756" s="25" t="s">
        <v>29</v>
      </c>
      <c r="M756" s="25" t="n">
        <v>2409</v>
      </c>
      <c r="N756" s="25" t="n">
        <v>1809</v>
      </c>
      <c r="O756" s="25"/>
      <c r="P756" s="26" t="n">
        <f aca="false">(M756*N756/1000000)*(INDEX(AreaRate_Vals,MATCH(C756,AreaRate_Keys,0))+IFERROR(INDEX(GlazingUpg_Vals,MATCH(H756,GlazingUpg_Keys,0)),0))+INDEX(Hardware_Vals,MATCH("Windows",Hardware_Keys,0))</f>
        <v>11580.4906</v>
      </c>
      <c r="Q756" s="27" t="n">
        <f aca="false">INDEX(Markup_Vals,MATCH("Windows",MarkupCat_Keys,0))</f>
        <v>0.42</v>
      </c>
      <c r="R756" s="28" t="n">
        <f aca="false">P756*(1+Q756)</f>
        <v>16444.296652</v>
      </c>
      <c r="S756" s="28" t="n">
        <f aca="false">R756*(1-TradeDiscount)</f>
        <v>14470.98105376</v>
      </c>
      <c r="T756" s="28" t="n">
        <f aca="false">R756*(1-VolumeDiscount)</f>
        <v>13155.4373216</v>
      </c>
    </row>
    <row r="757" customFormat="false" ht="15" hidden="false" customHeight="false" outlineLevel="0" collapsed="false">
      <c r="A757" s="29" t="s">
        <v>1738</v>
      </c>
      <c r="B757" s="29" t="s">
        <v>96</v>
      </c>
      <c r="C757" s="29" t="s">
        <v>48</v>
      </c>
      <c r="D757" s="29" t="s">
        <v>1739</v>
      </c>
      <c r="E757" s="29" t="s">
        <v>1721</v>
      </c>
      <c r="F757" s="29" t="s">
        <v>1671</v>
      </c>
      <c r="G757" s="29" t="s">
        <v>36</v>
      </c>
      <c r="H757" s="29" t="s">
        <v>67</v>
      </c>
      <c r="I757" s="29" t="s">
        <v>190</v>
      </c>
      <c r="J757" s="29" t="s">
        <v>1654</v>
      </c>
      <c r="K757" s="29" t="s">
        <v>298</v>
      </c>
      <c r="L757" s="29" t="s">
        <v>29</v>
      </c>
      <c r="M757" s="29" t="n">
        <v>2409</v>
      </c>
      <c r="N757" s="29" t="n">
        <v>1809</v>
      </c>
      <c r="O757" s="29"/>
      <c r="P757" s="30" t="n">
        <f aca="false">(M757*N757/1000000)*(INDEX(AreaRate_Vals,MATCH(C757,AreaRate_Keys,0))+IFERROR(INDEX(GlazingUpg_Vals,MATCH(H757,GlazingUpg_Keys,0)),0))+INDEX(Hardware_Vals,MATCH("Windows",Hardware_Keys,0))</f>
        <v>11580.4906</v>
      </c>
      <c r="Q757" s="31" t="n">
        <f aca="false">INDEX(Markup_Vals,MATCH("Windows",MarkupCat_Keys,0))</f>
        <v>0.42</v>
      </c>
      <c r="R757" s="32" t="n">
        <f aca="false">P757*(1+Q757)</f>
        <v>16444.296652</v>
      </c>
      <c r="S757" s="32" t="n">
        <f aca="false">R757*(1-TradeDiscount)</f>
        <v>14470.98105376</v>
      </c>
      <c r="T757" s="32" t="n">
        <f aca="false">R757*(1-VolumeDiscount)</f>
        <v>13155.4373216</v>
      </c>
    </row>
    <row r="758" customFormat="false" ht="15" hidden="false" customHeight="false" outlineLevel="0" collapsed="false">
      <c r="A758" s="25" t="s">
        <v>1740</v>
      </c>
      <c r="B758" s="25" t="s">
        <v>96</v>
      </c>
      <c r="C758" s="25" t="s">
        <v>48</v>
      </c>
      <c r="D758" s="25" t="s">
        <v>1741</v>
      </c>
      <c r="E758" s="25" t="s">
        <v>1721</v>
      </c>
      <c r="F758" s="25" t="s">
        <v>1671</v>
      </c>
      <c r="G758" s="25" t="s">
        <v>37</v>
      </c>
      <c r="H758" s="25" t="s">
        <v>67</v>
      </c>
      <c r="I758" s="25" t="s">
        <v>190</v>
      </c>
      <c r="J758" s="25" t="s">
        <v>1654</v>
      </c>
      <c r="K758" s="25" t="s">
        <v>298</v>
      </c>
      <c r="L758" s="25" t="s">
        <v>29</v>
      </c>
      <c r="M758" s="25" t="n">
        <v>2409</v>
      </c>
      <c r="N758" s="25" t="n">
        <v>1809</v>
      </c>
      <c r="O758" s="25"/>
      <c r="P758" s="26" t="n">
        <f aca="false">(M758*N758/1000000)*(INDEX(AreaRate_Vals,MATCH(C758,AreaRate_Keys,0))+IFERROR(INDEX(GlazingUpg_Vals,MATCH(H758,GlazingUpg_Keys,0)),0))+INDEX(Hardware_Vals,MATCH("Windows",Hardware_Keys,0))</f>
        <v>11580.4906</v>
      </c>
      <c r="Q758" s="27" t="n">
        <f aca="false">INDEX(Markup_Vals,MATCH("Windows",MarkupCat_Keys,0))</f>
        <v>0.42</v>
      </c>
      <c r="R758" s="28" t="n">
        <f aca="false">P758*(1+Q758)</f>
        <v>16444.296652</v>
      </c>
      <c r="S758" s="28" t="n">
        <f aca="false">R758*(1-TradeDiscount)</f>
        <v>14470.98105376</v>
      </c>
      <c r="T758" s="28" t="n">
        <f aca="false">R758*(1-VolumeDiscount)</f>
        <v>13155.4373216</v>
      </c>
    </row>
    <row r="759" customFormat="false" ht="15" hidden="false" customHeight="false" outlineLevel="0" collapsed="false">
      <c r="A759" s="29" t="s">
        <v>1742</v>
      </c>
      <c r="B759" s="29" t="s">
        <v>96</v>
      </c>
      <c r="C759" s="29" t="s">
        <v>48</v>
      </c>
      <c r="D759" s="29" t="s">
        <v>1743</v>
      </c>
      <c r="E759" s="29" t="s">
        <v>1721</v>
      </c>
      <c r="F759" s="29" t="s">
        <v>1671</v>
      </c>
      <c r="G759" s="29" t="s">
        <v>39</v>
      </c>
      <c r="H759" s="29" t="s">
        <v>67</v>
      </c>
      <c r="I759" s="29" t="s">
        <v>190</v>
      </c>
      <c r="J759" s="29" t="s">
        <v>1654</v>
      </c>
      <c r="K759" s="29" t="s">
        <v>298</v>
      </c>
      <c r="L759" s="29" t="s">
        <v>29</v>
      </c>
      <c r="M759" s="29" t="n">
        <v>2409</v>
      </c>
      <c r="N759" s="29" t="n">
        <v>1809</v>
      </c>
      <c r="O759" s="29"/>
      <c r="P759" s="30" t="n">
        <f aca="false">(M759*N759/1000000)*(INDEX(AreaRate_Vals,MATCH(C759,AreaRate_Keys,0))+IFERROR(INDEX(GlazingUpg_Vals,MATCH(H759,GlazingUpg_Keys,0)),0))+INDEX(Hardware_Vals,MATCH("Windows",Hardware_Keys,0))</f>
        <v>11580.4906</v>
      </c>
      <c r="Q759" s="31" t="n">
        <f aca="false">INDEX(Markup_Vals,MATCH("Windows",MarkupCat_Keys,0))</f>
        <v>0.42</v>
      </c>
      <c r="R759" s="32" t="n">
        <f aca="false">P759*(1+Q759)</f>
        <v>16444.296652</v>
      </c>
      <c r="S759" s="32" t="n">
        <f aca="false">R759*(1-TradeDiscount)</f>
        <v>14470.98105376</v>
      </c>
      <c r="T759" s="32" t="n">
        <f aca="false">R759*(1-VolumeDiscount)</f>
        <v>13155.4373216</v>
      </c>
    </row>
    <row r="760" customFormat="false" ht="15" hidden="false" customHeight="false" outlineLevel="0" collapsed="false">
      <c r="A760" s="25" t="s">
        <v>1744</v>
      </c>
      <c r="B760" s="25" t="s">
        <v>96</v>
      </c>
      <c r="C760" s="25" t="s">
        <v>48</v>
      </c>
      <c r="D760" s="25" t="s">
        <v>1745</v>
      </c>
      <c r="E760" s="25" t="s">
        <v>1721</v>
      </c>
      <c r="F760" s="25" t="s">
        <v>1549</v>
      </c>
      <c r="G760" s="25" t="s">
        <v>35</v>
      </c>
      <c r="H760" s="25" t="s">
        <v>67</v>
      </c>
      <c r="I760" s="25" t="s">
        <v>190</v>
      </c>
      <c r="J760" s="25" t="s">
        <v>1654</v>
      </c>
      <c r="K760" s="25" t="s">
        <v>298</v>
      </c>
      <c r="L760" s="25" t="s">
        <v>29</v>
      </c>
      <c r="M760" s="25" t="n">
        <v>3009</v>
      </c>
      <c r="N760" s="25" t="n">
        <v>1809</v>
      </c>
      <c r="O760" s="25"/>
      <c r="P760" s="26" t="n">
        <f aca="false">(M760*N760/1000000)*(INDEX(AreaRate_Vals,MATCH(C760,AreaRate_Keys,0))+IFERROR(INDEX(GlazingUpg_Vals,MATCH(H760,GlazingUpg_Keys,0)),0))+INDEX(Hardware_Vals,MATCH("Windows",Hardware_Keys,0))</f>
        <v>14402.5306</v>
      </c>
      <c r="Q760" s="27" t="n">
        <f aca="false">INDEX(Markup_Vals,MATCH("Windows",MarkupCat_Keys,0))</f>
        <v>0.42</v>
      </c>
      <c r="R760" s="28" t="n">
        <f aca="false">P760*(1+Q760)</f>
        <v>20451.593452</v>
      </c>
      <c r="S760" s="28" t="n">
        <f aca="false">R760*(1-TradeDiscount)</f>
        <v>17997.40223776</v>
      </c>
      <c r="T760" s="28" t="n">
        <f aca="false">R760*(1-VolumeDiscount)</f>
        <v>16361.2747616</v>
      </c>
    </row>
    <row r="761" customFormat="false" ht="15" hidden="false" customHeight="false" outlineLevel="0" collapsed="false">
      <c r="A761" s="29" t="s">
        <v>1746</v>
      </c>
      <c r="B761" s="29" t="s">
        <v>96</v>
      </c>
      <c r="C761" s="29" t="s">
        <v>48</v>
      </c>
      <c r="D761" s="29" t="s">
        <v>1747</v>
      </c>
      <c r="E761" s="29" t="s">
        <v>1721</v>
      </c>
      <c r="F761" s="29" t="s">
        <v>1549</v>
      </c>
      <c r="G761" s="29" t="s">
        <v>36</v>
      </c>
      <c r="H761" s="29" t="s">
        <v>67</v>
      </c>
      <c r="I761" s="29" t="s">
        <v>190</v>
      </c>
      <c r="J761" s="29" t="s">
        <v>1654</v>
      </c>
      <c r="K761" s="29" t="s">
        <v>298</v>
      </c>
      <c r="L761" s="29" t="s">
        <v>29</v>
      </c>
      <c r="M761" s="29" t="n">
        <v>3009</v>
      </c>
      <c r="N761" s="29" t="n">
        <v>1809</v>
      </c>
      <c r="O761" s="29"/>
      <c r="P761" s="30" t="n">
        <f aca="false">(M761*N761/1000000)*(INDEX(AreaRate_Vals,MATCH(C761,AreaRate_Keys,0))+IFERROR(INDEX(GlazingUpg_Vals,MATCH(H761,GlazingUpg_Keys,0)),0))+INDEX(Hardware_Vals,MATCH("Windows",Hardware_Keys,0))</f>
        <v>14402.5306</v>
      </c>
      <c r="Q761" s="31" t="n">
        <f aca="false">INDEX(Markup_Vals,MATCH("Windows",MarkupCat_Keys,0))</f>
        <v>0.42</v>
      </c>
      <c r="R761" s="32" t="n">
        <f aca="false">P761*(1+Q761)</f>
        <v>20451.593452</v>
      </c>
      <c r="S761" s="32" t="n">
        <f aca="false">R761*(1-TradeDiscount)</f>
        <v>17997.40223776</v>
      </c>
      <c r="T761" s="32" t="n">
        <f aca="false">R761*(1-VolumeDiscount)</f>
        <v>16361.2747616</v>
      </c>
    </row>
    <row r="762" customFormat="false" ht="15" hidden="false" customHeight="false" outlineLevel="0" collapsed="false">
      <c r="A762" s="25" t="s">
        <v>1748</v>
      </c>
      <c r="B762" s="25" t="s">
        <v>96</v>
      </c>
      <c r="C762" s="25" t="s">
        <v>48</v>
      </c>
      <c r="D762" s="25" t="s">
        <v>1749</v>
      </c>
      <c r="E762" s="25" t="s">
        <v>1721</v>
      </c>
      <c r="F762" s="25" t="s">
        <v>1549</v>
      </c>
      <c r="G762" s="25" t="s">
        <v>37</v>
      </c>
      <c r="H762" s="25" t="s">
        <v>67</v>
      </c>
      <c r="I762" s="25" t="s">
        <v>190</v>
      </c>
      <c r="J762" s="25" t="s">
        <v>1654</v>
      </c>
      <c r="K762" s="25" t="s">
        <v>298</v>
      </c>
      <c r="L762" s="25" t="s">
        <v>29</v>
      </c>
      <c r="M762" s="25" t="n">
        <v>3009</v>
      </c>
      <c r="N762" s="25" t="n">
        <v>1809</v>
      </c>
      <c r="O762" s="25"/>
      <c r="P762" s="26" t="n">
        <f aca="false">(M762*N762/1000000)*(INDEX(AreaRate_Vals,MATCH(C762,AreaRate_Keys,0))+IFERROR(INDEX(GlazingUpg_Vals,MATCH(H762,GlazingUpg_Keys,0)),0))+INDEX(Hardware_Vals,MATCH("Windows",Hardware_Keys,0))</f>
        <v>14402.5306</v>
      </c>
      <c r="Q762" s="27" t="n">
        <f aca="false">INDEX(Markup_Vals,MATCH("Windows",MarkupCat_Keys,0))</f>
        <v>0.42</v>
      </c>
      <c r="R762" s="28" t="n">
        <f aca="false">P762*(1+Q762)</f>
        <v>20451.593452</v>
      </c>
      <c r="S762" s="28" t="n">
        <f aca="false">R762*(1-TradeDiscount)</f>
        <v>17997.40223776</v>
      </c>
      <c r="T762" s="28" t="n">
        <f aca="false">R762*(1-VolumeDiscount)</f>
        <v>16361.2747616</v>
      </c>
    </row>
    <row r="763" customFormat="false" ht="15" hidden="false" customHeight="false" outlineLevel="0" collapsed="false">
      <c r="A763" s="29" t="s">
        <v>1750</v>
      </c>
      <c r="B763" s="29" t="s">
        <v>96</v>
      </c>
      <c r="C763" s="29" t="s">
        <v>48</v>
      </c>
      <c r="D763" s="29" t="s">
        <v>1751</v>
      </c>
      <c r="E763" s="29" t="s">
        <v>1721</v>
      </c>
      <c r="F763" s="29" t="s">
        <v>1549</v>
      </c>
      <c r="G763" s="29" t="s">
        <v>39</v>
      </c>
      <c r="H763" s="29" t="s">
        <v>67</v>
      </c>
      <c r="I763" s="29" t="s">
        <v>190</v>
      </c>
      <c r="J763" s="29" t="s">
        <v>1654</v>
      </c>
      <c r="K763" s="29" t="s">
        <v>298</v>
      </c>
      <c r="L763" s="29" t="s">
        <v>29</v>
      </c>
      <c r="M763" s="29" t="n">
        <v>3009</v>
      </c>
      <c r="N763" s="29" t="n">
        <v>1809</v>
      </c>
      <c r="O763" s="29"/>
      <c r="P763" s="30" t="n">
        <f aca="false">(M763*N763/1000000)*(INDEX(AreaRate_Vals,MATCH(C763,AreaRate_Keys,0))+IFERROR(INDEX(GlazingUpg_Vals,MATCH(H763,GlazingUpg_Keys,0)),0))+INDEX(Hardware_Vals,MATCH("Windows",Hardware_Keys,0))</f>
        <v>14402.5306</v>
      </c>
      <c r="Q763" s="31" t="n">
        <f aca="false">INDEX(Markup_Vals,MATCH("Windows",MarkupCat_Keys,0))</f>
        <v>0.42</v>
      </c>
      <c r="R763" s="32" t="n">
        <f aca="false">P763*(1+Q763)</f>
        <v>20451.593452</v>
      </c>
      <c r="S763" s="32" t="n">
        <f aca="false">R763*(1-TradeDiscount)</f>
        <v>17997.40223776</v>
      </c>
      <c r="T763" s="32" t="n">
        <f aca="false">R763*(1-VolumeDiscount)</f>
        <v>16361.2747616</v>
      </c>
    </row>
    <row r="764" customFormat="false" ht="15" hidden="false" customHeight="false" outlineLevel="0" collapsed="false">
      <c r="A764" s="25" t="s">
        <v>1752</v>
      </c>
      <c r="B764" s="25" t="s">
        <v>97</v>
      </c>
      <c r="C764" s="25" t="s">
        <v>49</v>
      </c>
      <c r="D764" s="25" t="s">
        <v>1753</v>
      </c>
      <c r="E764" s="25" t="s">
        <v>1754</v>
      </c>
      <c r="F764" s="25" t="s">
        <v>1632</v>
      </c>
      <c r="G764" s="25" t="s">
        <v>35</v>
      </c>
      <c r="H764" s="25" t="s">
        <v>65</v>
      </c>
      <c r="I764" s="25" t="s">
        <v>190</v>
      </c>
      <c r="J764" s="25" t="s">
        <v>191</v>
      </c>
      <c r="K764" s="25" t="s">
        <v>192</v>
      </c>
      <c r="L764" s="25" t="s">
        <v>30</v>
      </c>
      <c r="M764" s="25" t="n">
        <v>1809</v>
      </c>
      <c r="N764" s="25" t="n">
        <v>2009</v>
      </c>
      <c r="O764" s="25"/>
      <c r="P764" s="26" t="n">
        <f aca="false">(M764*N764/1000000)*(INDEX(AreaRate_Vals,MATCH(C764,AreaRate_Keys,0))+IFERROR(INDEX(GlazingUpg_Vals,MATCH(H764,GlazingUpg_Keys,0)),0))+INDEX(Hardware_Vals,MATCH("Doors",Hardware_Keys,0))</f>
        <v>8000.27605</v>
      </c>
      <c r="Q764" s="27" t="n">
        <f aca="false">INDEX(Markup_Vals,MATCH("Doors",MarkupCat_Keys,0))</f>
        <v>0.4</v>
      </c>
      <c r="R764" s="28" t="n">
        <f aca="false">P764*(1+Q764)</f>
        <v>11200.38647</v>
      </c>
      <c r="S764" s="28" t="n">
        <f aca="false">R764*(1-TradeDiscount)</f>
        <v>9856.3400936</v>
      </c>
      <c r="T764" s="28" t="n">
        <f aca="false">R764*(1-VolumeDiscount)</f>
        <v>8960.309176</v>
      </c>
    </row>
    <row r="765" customFormat="false" ht="15" hidden="false" customHeight="false" outlineLevel="0" collapsed="false">
      <c r="A765" s="29" t="s">
        <v>1755</v>
      </c>
      <c r="B765" s="29" t="s">
        <v>97</v>
      </c>
      <c r="C765" s="29" t="s">
        <v>49</v>
      </c>
      <c r="D765" s="29" t="s">
        <v>1756</v>
      </c>
      <c r="E765" s="29" t="s">
        <v>1754</v>
      </c>
      <c r="F765" s="29" t="s">
        <v>1632</v>
      </c>
      <c r="G765" s="29" t="s">
        <v>36</v>
      </c>
      <c r="H765" s="29" t="s">
        <v>65</v>
      </c>
      <c r="I765" s="29" t="s">
        <v>190</v>
      </c>
      <c r="J765" s="29" t="s">
        <v>191</v>
      </c>
      <c r="K765" s="29" t="s">
        <v>192</v>
      </c>
      <c r="L765" s="29" t="s">
        <v>30</v>
      </c>
      <c r="M765" s="29" t="n">
        <v>1809</v>
      </c>
      <c r="N765" s="29" t="n">
        <v>2009</v>
      </c>
      <c r="O765" s="29"/>
      <c r="P765" s="30" t="n">
        <f aca="false">(M765*N765/1000000)*(INDEX(AreaRate_Vals,MATCH(C765,AreaRate_Keys,0))+IFERROR(INDEX(GlazingUpg_Vals,MATCH(H765,GlazingUpg_Keys,0)),0))+INDEX(Hardware_Vals,MATCH("Doors",Hardware_Keys,0))</f>
        <v>8000.27605</v>
      </c>
      <c r="Q765" s="31" t="n">
        <f aca="false">INDEX(Markup_Vals,MATCH("Doors",MarkupCat_Keys,0))</f>
        <v>0.4</v>
      </c>
      <c r="R765" s="32" t="n">
        <f aca="false">P765*(1+Q765)</f>
        <v>11200.38647</v>
      </c>
      <c r="S765" s="32" t="n">
        <f aca="false">R765*(1-TradeDiscount)</f>
        <v>9856.3400936</v>
      </c>
      <c r="T765" s="32" t="n">
        <f aca="false">R765*(1-VolumeDiscount)</f>
        <v>8960.309176</v>
      </c>
    </row>
    <row r="766" customFormat="false" ht="15" hidden="false" customHeight="false" outlineLevel="0" collapsed="false">
      <c r="A766" s="25" t="s">
        <v>1757</v>
      </c>
      <c r="B766" s="25" t="s">
        <v>97</v>
      </c>
      <c r="C766" s="25" t="s">
        <v>49</v>
      </c>
      <c r="D766" s="25" t="s">
        <v>1758</v>
      </c>
      <c r="E766" s="25" t="s">
        <v>1754</v>
      </c>
      <c r="F766" s="25" t="s">
        <v>1632</v>
      </c>
      <c r="G766" s="25" t="s">
        <v>37</v>
      </c>
      <c r="H766" s="25" t="s">
        <v>65</v>
      </c>
      <c r="I766" s="25" t="s">
        <v>190</v>
      </c>
      <c r="J766" s="25" t="s">
        <v>191</v>
      </c>
      <c r="K766" s="25" t="s">
        <v>192</v>
      </c>
      <c r="L766" s="25" t="s">
        <v>30</v>
      </c>
      <c r="M766" s="25" t="n">
        <v>1809</v>
      </c>
      <c r="N766" s="25" t="n">
        <v>2009</v>
      </c>
      <c r="O766" s="25"/>
      <c r="P766" s="26" t="n">
        <f aca="false">(M766*N766/1000000)*(INDEX(AreaRate_Vals,MATCH(C766,AreaRate_Keys,0))+IFERROR(INDEX(GlazingUpg_Vals,MATCH(H766,GlazingUpg_Keys,0)),0))+INDEX(Hardware_Vals,MATCH("Doors",Hardware_Keys,0))</f>
        <v>8000.27605</v>
      </c>
      <c r="Q766" s="27" t="n">
        <f aca="false">INDEX(Markup_Vals,MATCH("Doors",MarkupCat_Keys,0))</f>
        <v>0.4</v>
      </c>
      <c r="R766" s="28" t="n">
        <f aca="false">P766*(1+Q766)</f>
        <v>11200.38647</v>
      </c>
      <c r="S766" s="28" t="n">
        <f aca="false">R766*(1-TradeDiscount)</f>
        <v>9856.3400936</v>
      </c>
      <c r="T766" s="28" t="n">
        <f aca="false">R766*(1-VolumeDiscount)</f>
        <v>8960.309176</v>
      </c>
    </row>
    <row r="767" customFormat="false" ht="15" hidden="false" customHeight="false" outlineLevel="0" collapsed="false">
      <c r="A767" s="29" t="s">
        <v>1759</v>
      </c>
      <c r="B767" s="29" t="s">
        <v>97</v>
      </c>
      <c r="C767" s="29" t="s">
        <v>49</v>
      </c>
      <c r="D767" s="29" t="s">
        <v>1760</v>
      </c>
      <c r="E767" s="29" t="s">
        <v>1754</v>
      </c>
      <c r="F767" s="29" t="s">
        <v>1632</v>
      </c>
      <c r="G767" s="29" t="s">
        <v>39</v>
      </c>
      <c r="H767" s="29" t="s">
        <v>65</v>
      </c>
      <c r="I767" s="29" t="s">
        <v>190</v>
      </c>
      <c r="J767" s="29" t="s">
        <v>191</v>
      </c>
      <c r="K767" s="29" t="s">
        <v>192</v>
      </c>
      <c r="L767" s="29" t="s">
        <v>30</v>
      </c>
      <c r="M767" s="29" t="n">
        <v>1809</v>
      </c>
      <c r="N767" s="29" t="n">
        <v>2009</v>
      </c>
      <c r="O767" s="29"/>
      <c r="P767" s="30" t="n">
        <f aca="false">(M767*N767/1000000)*(INDEX(AreaRate_Vals,MATCH(C767,AreaRate_Keys,0))+IFERROR(INDEX(GlazingUpg_Vals,MATCH(H767,GlazingUpg_Keys,0)),0))+INDEX(Hardware_Vals,MATCH("Doors",Hardware_Keys,0))</f>
        <v>8000.27605</v>
      </c>
      <c r="Q767" s="31" t="n">
        <f aca="false">INDEX(Markup_Vals,MATCH("Doors",MarkupCat_Keys,0))</f>
        <v>0.4</v>
      </c>
      <c r="R767" s="32" t="n">
        <f aca="false">P767*(1+Q767)</f>
        <v>11200.38647</v>
      </c>
      <c r="S767" s="32" t="n">
        <f aca="false">R767*(1-TradeDiscount)</f>
        <v>9856.3400936</v>
      </c>
      <c r="T767" s="32" t="n">
        <f aca="false">R767*(1-VolumeDiscount)</f>
        <v>8960.309176</v>
      </c>
    </row>
    <row r="768" customFormat="false" ht="15" hidden="false" customHeight="false" outlineLevel="0" collapsed="false">
      <c r="A768" s="25" t="s">
        <v>1761</v>
      </c>
      <c r="B768" s="25" t="s">
        <v>97</v>
      </c>
      <c r="C768" s="25" t="s">
        <v>49</v>
      </c>
      <c r="D768" s="25" t="s">
        <v>1762</v>
      </c>
      <c r="E768" s="25" t="s">
        <v>1754</v>
      </c>
      <c r="F768" s="25" t="s">
        <v>1632</v>
      </c>
      <c r="G768" s="25" t="s">
        <v>38</v>
      </c>
      <c r="H768" s="25" t="s">
        <v>65</v>
      </c>
      <c r="I768" s="25" t="s">
        <v>190</v>
      </c>
      <c r="J768" s="25" t="s">
        <v>191</v>
      </c>
      <c r="K768" s="25" t="s">
        <v>192</v>
      </c>
      <c r="L768" s="25" t="s">
        <v>30</v>
      </c>
      <c r="M768" s="25" t="n">
        <v>1809</v>
      </c>
      <c r="N768" s="25" t="n">
        <v>2009</v>
      </c>
      <c r="O768" s="25"/>
      <c r="P768" s="26" t="n">
        <f aca="false">(M768*N768/1000000)*(INDEX(AreaRate_Vals,MATCH(C768,AreaRate_Keys,0))+IFERROR(INDEX(GlazingUpg_Vals,MATCH(H768,GlazingUpg_Keys,0)),0))+INDEX(Hardware_Vals,MATCH("Doors",Hardware_Keys,0))</f>
        <v>8000.27605</v>
      </c>
      <c r="Q768" s="27" t="n">
        <f aca="false">INDEX(Markup_Vals,MATCH("Doors",MarkupCat_Keys,0))</f>
        <v>0.4</v>
      </c>
      <c r="R768" s="28" t="n">
        <f aca="false">P768*(1+Q768)</f>
        <v>11200.38647</v>
      </c>
      <c r="S768" s="28" t="n">
        <f aca="false">R768*(1-TradeDiscount)</f>
        <v>9856.3400936</v>
      </c>
      <c r="T768" s="28" t="n">
        <f aca="false">R768*(1-VolumeDiscount)</f>
        <v>8960.309176</v>
      </c>
    </row>
    <row r="769" customFormat="false" ht="15" hidden="false" customHeight="false" outlineLevel="0" collapsed="false">
      <c r="A769" s="29" t="s">
        <v>1763</v>
      </c>
      <c r="B769" s="29" t="s">
        <v>97</v>
      </c>
      <c r="C769" s="29" t="s">
        <v>49</v>
      </c>
      <c r="D769" s="29" t="s">
        <v>1764</v>
      </c>
      <c r="E769" s="29" t="s">
        <v>1754</v>
      </c>
      <c r="F769" s="29" t="s">
        <v>1632</v>
      </c>
      <c r="G769" s="29" t="s">
        <v>35</v>
      </c>
      <c r="H769" s="29" t="s">
        <v>66</v>
      </c>
      <c r="I769" s="29" t="s">
        <v>190</v>
      </c>
      <c r="J769" s="29" t="s">
        <v>191</v>
      </c>
      <c r="K769" s="29" t="s">
        <v>192</v>
      </c>
      <c r="L769" s="29" t="s">
        <v>30</v>
      </c>
      <c r="M769" s="29" t="n">
        <v>1809</v>
      </c>
      <c r="N769" s="29" t="n">
        <v>2009</v>
      </c>
      <c r="O769" s="29"/>
      <c r="P769" s="30" t="n">
        <f aca="false">(M769*N769/1000000)*(INDEX(AreaRate_Vals,MATCH(C769,AreaRate_Keys,0))+IFERROR(INDEX(GlazingUpg_Vals,MATCH(H769,GlazingUpg_Keys,0)),0))+INDEX(Hardware_Vals,MATCH("Doors",Hardware_Keys,0))</f>
        <v>10544.27275</v>
      </c>
      <c r="Q769" s="31" t="n">
        <f aca="false">INDEX(Markup_Vals,MATCH("Doors",MarkupCat_Keys,0))</f>
        <v>0.4</v>
      </c>
      <c r="R769" s="32" t="n">
        <f aca="false">P769*(1+Q769)</f>
        <v>14761.98185</v>
      </c>
      <c r="S769" s="32" t="n">
        <f aca="false">R769*(1-TradeDiscount)</f>
        <v>12990.544028</v>
      </c>
      <c r="T769" s="32" t="n">
        <f aca="false">R769*(1-VolumeDiscount)</f>
        <v>11809.58548</v>
      </c>
    </row>
    <row r="770" customFormat="false" ht="15" hidden="false" customHeight="false" outlineLevel="0" collapsed="false">
      <c r="A770" s="25" t="s">
        <v>1765</v>
      </c>
      <c r="B770" s="25" t="s">
        <v>97</v>
      </c>
      <c r="C770" s="25" t="s">
        <v>49</v>
      </c>
      <c r="D770" s="25" t="s">
        <v>1766</v>
      </c>
      <c r="E770" s="25" t="s">
        <v>1754</v>
      </c>
      <c r="F770" s="25" t="s">
        <v>1632</v>
      </c>
      <c r="G770" s="25" t="s">
        <v>36</v>
      </c>
      <c r="H770" s="25" t="s">
        <v>66</v>
      </c>
      <c r="I770" s="25" t="s">
        <v>190</v>
      </c>
      <c r="J770" s="25" t="s">
        <v>191</v>
      </c>
      <c r="K770" s="25" t="s">
        <v>192</v>
      </c>
      <c r="L770" s="25" t="s">
        <v>30</v>
      </c>
      <c r="M770" s="25" t="n">
        <v>1809</v>
      </c>
      <c r="N770" s="25" t="n">
        <v>2009</v>
      </c>
      <c r="O770" s="25"/>
      <c r="P770" s="26" t="n">
        <f aca="false">(M770*N770/1000000)*(INDEX(AreaRate_Vals,MATCH(C770,AreaRate_Keys,0))+IFERROR(INDEX(GlazingUpg_Vals,MATCH(H770,GlazingUpg_Keys,0)),0))+INDEX(Hardware_Vals,MATCH("Doors",Hardware_Keys,0))</f>
        <v>10544.27275</v>
      </c>
      <c r="Q770" s="27" t="n">
        <f aca="false">INDEX(Markup_Vals,MATCH("Doors",MarkupCat_Keys,0))</f>
        <v>0.4</v>
      </c>
      <c r="R770" s="28" t="n">
        <f aca="false">P770*(1+Q770)</f>
        <v>14761.98185</v>
      </c>
      <c r="S770" s="28" t="n">
        <f aca="false">R770*(1-TradeDiscount)</f>
        <v>12990.544028</v>
      </c>
      <c r="T770" s="28" t="n">
        <f aca="false">R770*(1-VolumeDiscount)</f>
        <v>11809.58548</v>
      </c>
    </row>
    <row r="771" customFormat="false" ht="15" hidden="false" customHeight="false" outlineLevel="0" collapsed="false">
      <c r="A771" s="29" t="s">
        <v>1767</v>
      </c>
      <c r="B771" s="29" t="s">
        <v>97</v>
      </c>
      <c r="C771" s="29" t="s">
        <v>49</v>
      </c>
      <c r="D771" s="29" t="s">
        <v>1768</v>
      </c>
      <c r="E771" s="29" t="s">
        <v>1754</v>
      </c>
      <c r="F771" s="29" t="s">
        <v>1632</v>
      </c>
      <c r="G771" s="29" t="s">
        <v>37</v>
      </c>
      <c r="H771" s="29" t="s">
        <v>66</v>
      </c>
      <c r="I771" s="29" t="s">
        <v>190</v>
      </c>
      <c r="J771" s="29" t="s">
        <v>191</v>
      </c>
      <c r="K771" s="29" t="s">
        <v>192</v>
      </c>
      <c r="L771" s="29" t="s">
        <v>30</v>
      </c>
      <c r="M771" s="29" t="n">
        <v>1809</v>
      </c>
      <c r="N771" s="29" t="n">
        <v>2009</v>
      </c>
      <c r="O771" s="29"/>
      <c r="P771" s="30" t="n">
        <f aca="false">(M771*N771/1000000)*(INDEX(AreaRate_Vals,MATCH(C771,AreaRate_Keys,0))+IFERROR(INDEX(GlazingUpg_Vals,MATCH(H771,GlazingUpg_Keys,0)),0))+INDEX(Hardware_Vals,MATCH("Doors",Hardware_Keys,0))</f>
        <v>10544.27275</v>
      </c>
      <c r="Q771" s="31" t="n">
        <f aca="false">INDEX(Markup_Vals,MATCH("Doors",MarkupCat_Keys,0))</f>
        <v>0.4</v>
      </c>
      <c r="R771" s="32" t="n">
        <f aca="false">P771*(1+Q771)</f>
        <v>14761.98185</v>
      </c>
      <c r="S771" s="32" t="n">
        <f aca="false">R771*(1-TradeDiscount)</f>
        <v>12990.544028</v>
      </c>
      <c r="T771" s="32" t="n">
        <f aca="false">R771*(1-VolumeDiscount)</f>
        <v>11809.58548</v>
      </c>
    </row>
    <row r="772" customFormat="false" ht="15" hidden="false" customHeight="false" outlineLevel="0" collapsed="false">
      <c r="A772" s="25" t="s">
        <v>1769</v>
      </c>
      <c r="B772" s="25" t="s">
        <v>97</v>
      </c>
      <c r="C772" s="25" t="s">
        <v>49</v>
      </c>
      <c r="D772" s="25" t="s">
        <v>1770</v>
      </c>
      <c r="E772" s="25" t="s">
        <v>1754</v>
      </c>
      <c r="F772" s="25" t="s">
        <v>1632</v>
      </c>
      <c r="G772" s="25" t="s">
        <v>39</v>
      </c>
      <c r="H772" s="25" t="s">
        <v>66</v>
      </c>
      <c r="I772" s="25" t="s">
        <v>190</v>
      </c>
      <c r="J772" s="25" t="s">
        <v>191</v>
      </c>
      <c r="K772" s="25" t="s">
        <v>192</v>
      </c>
      <c r="L772" s="25" t="s">
        <v>30</v>
      </c>
      <c r="M772" s="25" t="n">
        <v>1809</v>
      </c>
      <c r="N772" s="25" t="n">
        <v>2009</v>
      </c>
      <c r="O772" s="25"/>
      <c r="P772" s="26" t="n">
        <f aca="false">(M772*N772/1000000)*(INDEX(AreaRate_Vals,MATCH(C772,AreaRate_Keys,0))+IFERROR(INDEX(GlazingUpg_Vals,MATCH(H772,GlazingUpg_Keys,0)),0))+INDEX(Hardware_Vals,MATCH("Doors",Hardware_Keys,0))</f>
        <v>10544.27275</v>
      </c>
      <c r="Q772" s="27" t="n">
        <f aca="false">INDEX(Markup_Vals,MATCH("Doors",MarkupCat_Keys,0))</f>
        <v>0.4</v>
      </c>
      <c r="R772" s="28" t="n">
        <f aca="false">P772*(1+Q772)</f>
        <v>14761.98185</v>
      </c>
      <c r="S772" s="28" t="n">
        <f aca="false">R772*(1-TradeDiscount)</f>
        <v>12990.544028</v>
      </c>
      <c r="T772" s="28" t="n">
        <f aca="false">R772*(1-VolumeDiscount)</f>
        <v>11809.58548</v>
      </c>
    </row>
    <row r="773" customFormat="false" ht="15" hidden="false" customHeight="false" outlineLevel="0" collapsed="false">
      <c r="A773" s="29" t="s">
        <v>1771</v>
      </c>
      <c r="B773" s="29" t="s">
        <v>97</v>
      </c>
      <c r="C773" s="29" t="s">
        <v>49</v>
      </c>
      <c r="D773" s="29" t="s">
        <v>1772</v>
      </c>
      <c r="E773" s="29" t="s">
        <v>1754</v>
      </c>
      <c r="F773" s="29" t="s">
        <v>1632</v>
      </c>
      <c r="G773" s="29" t="s">
        <v>38</v>
      </c>
      <c r="H773" s="29" t="s">
        <v>66</v>
      </c>
      <c r="I773" s="29" t="s">
        <v>190</v>
      </c>
      <c r="J773" s="29" t="s">
        <v>191</v>
      </c>
      <c r="K773" s="29" t="s">
        <v>192</v>
      </c>
      <c r="L773" s="29" t="s">
        <v>30</v>
      </c>
      <c r="M773" s="29" t="n">
        <v>1809</v>
      </c>
      <c r="N773" s="29" t="n">
        <v>2009</v>
      </c>
      <c r="O773" s="29"/>
      <c r="P773" s="30" t="n">
        <f aca="false">(M773*N773/1000000)*(INDEX(AreaRate_Vals,MATCH(C773,AreaRate_Keys,0))+IFERROR(INDEX(GlazingUpg_Vals,MATCH(H773,GlazingUpg_Keys,0)),0))+INDEX(Hardware_Vals,MATCH("Doors",Hardware_Keys,0))</f>
        <v>10544.27275</v>
      </c>
      <c r="Q773" s="31" t="n">
        <f aca="false">INDEX(Markup_Vals,MATCH("Doors",MarkupCat_Keys,0))</f>
        <v>0.4</v>
      </c>
      <c r="R773" s="32" t="n">
        <f aca="false">P773*(1+Q773)</f>
        <v>14761.98185</v>
      </c>
      <c r="S773" s="32" t="n">
        <f aca="false">R773*(1-TradeDiscount)</f>
        <v>12990.544028</v>
      </c>
      <c r="T773" s="32" t="n">
        <f aca="false">R773*(1-VolumeDiscount)</f>
        <v>11809.58548</v>
      </c>
    </row>
    <row r="774" customFormat="false" ht="15" hidden="false" customHeight="false" outlineLevel="0" collapsed="false">
      <c r="A774" s="25" t="s">
        <v>1773</v>
      </c>
      <c r="B774" s="25" t="s">
        <v>97</v>
      </c>
      <c r="C774" s="25" t="s">
        <v>49</v>
      </c>
      <c r="D774" s="25" t="s">
        <v>1774</v>
      </c>
      <c r="E774" s="25" t="s">
        <v>1754</v>
      </c>
      <c r="F774" s="25" t="s">
        <v>1775</v>
      </c>
      <c r="G774" s="25" t="s">
        <v>35</v>
      </c>
      <c r="H774" s="25" t="s">
        <v>65</v>
      </c>
      <c r="I774" s="25" t="s">
        <v>190</v>
      </c>
      <c r="J774" s="25" t="s">
        <v>191</v>
      </c>
      <c r="K774" s="25" t="s">
        <v>192</v>
      </c>
      <c r="L774" s="25" t="s">
        <v>30</v>
      </c>
      <c r="M774" s="25" t="n">
        <v>2409</v>
      </c>
      <c r="N774" s="25" t="n">
        <v>2009</v>
      </c>
      <c r="O774" s="25"/>
      <c r="P774" s="26" t="n">
        <f aca="false">(M774*N774/1000000)*(INDEX(AreaRate_Vals,MATCH(C774,AreaRate_Keys,0))+IFERROR(INDEX(GlazingUpg_Vals,MATCH(H774,GlazingUpg_Keys,0)),0))+INDEX(Hardware_Vals,MATCH("Doors",Hardware_Keys,0))</f>
        <v>10471.34605</v>
      </c>
      <c r="Q774" s="27" t="n">
        <f aca="false">INDEX(Markup_Vals,MATCH("Doors",MarkupCat_Keys,0))</f>
        <v>0.4</v>
      </c>
      <c r="R774" s="28" t="n">
        <f aca="false">P774*(1+Q774)</f>
        <v>14659.88447</v>
      </c>
      <c r="S774" s="28" t="n">
        <f aca="false">R774*(1-TradeDiscount)</f>
        <v>12900.6983336</v>
      </c>
      <c r="T774" s="28" t="n">
        <f aca="false">R774*(1-VolumeDiscount)</f>
        <v>11727.907576</v>
      </c>
    </row>
    <row r="775" customFormat="false" ht="15" hidden="false" customHeight="false" outlineLevel="0" collapsed="false">
      <c r="A775" s="29" t="s">
        <v>1776</v>
      </c>
      <c r="B775" s="29" t="s">
        <v>97</v>
      </c>
      <c r="C775" s="29" t="s">
        <v>49</v>
      </c>
      <c r="D775" s="29" t="s">
        <v>1777</v>
      </c>
      <c r="E775" s="29" t="s">
        <v>1754</v>
      </c>
      <c r="F775" s="29" t="s">
        <v>1775</v>
      </c>
      <c r="G775" s="29" t="s">
        <v>36</v>
      </c>
      <c r="H775" s="29" t="s">
        <v>65</v>
      </c>
      <c r="I775" s="29" t="s">
        <v>190</v>
      </c>
      <c r="J775" s="29" t="s">
        <v>191</v>
      </c>
      <c r="K775" s="29" t="s">
        <v>192</v>
      </c>
      <c r="L775" s="29" t="s">
        <v>30</v>
      </c>
      <c r="M775" s="29" t="n">
        <v>2409</v>
      </c>
      <c r="N775" s="29" t="n">
        <v>2009</v>
      </c>
      <c r="O775" s="29"/>
      <c r="P775" s="30" t="n">
        <f aca="false">(M775*N775/1000000)*(INDEX(AreaRate_Vals,MATCH(C775,AreaRate_Keys,0))+IFERROR(INDEX(GlazingUpg_Vals,MATCH(H775,GlazingUpg_Keys,0)),0))+INDEX(Hardware_Vals,MATCH("Doors",Hardware_Keys,0))</f>
        <v>10471.34605</v>
      </c>
      <c r="Q775" s="31" t="n">
        <f aca="false">INDEX(Markup_Vals,MATCH("Doors",MarkupCat_Keys,0))</f>
        <v>0.4</v>
      </c>
      <c r="R775" s="32" t="n">
        <f aca="false">P775*(1+Q775)</f>
        <v>14659.88447</v>
      </c>
      <c r="S775" s="32" t="n">
        <f aca="false">R775*(1-TradeDiscount)</f>
        <v>12900.6983336</v>
      </c>
      <c r="T775" s="32" t="n">
        <f aca="false">R775*(1-VolumeDiscount)</f>
        <v>11727.907576</v>
      </c>
    </row>
    <row r="776" customFormat="false" ht="15" hidden="false" customHeight="false" outlineLevel="0" collapsed="false">
      <c r="A776" s="25" t="s">
        <v>1778</v>
      </c>
      <c r="B776" s="25" t="s">
        <v>97</v>
      </c>
      <c r="C776" s="25" t="s">
        <v>49</v>
      </c>
      <c r="D776" s="25" t="s">
        <v>1779</v>
      </c>
      <c r="E776" s="25" t="s">
        <v>1754</v>
      </c>
      <c r="F776" s="25" t="s">
        <v>1775</v>
      </c>
      <c r="G776" s="25" t="s">
        <v>37</v>
      </c>
      <c r="H776" s="25" t="s">
        <v>65</v>
      </c>
      <c r="I776" s="25" t="s">
        <v>190</v>
      </c>
      <c r="J776" s="25" t="s">
        <v>191</v>
      </c>
      <c r="K776" s="25" t="s">
        <v>192</v>
      </c>
      <c r="L776" s="25" t="s">
        <v>30</v>
      </c>
      <c r="M776" s="25" t="n">
        <v>2409</v>
      </c>
      <c r="N776" s="25" t="n">
        <v>2009</v>
      </c>
      <c r="O776" s="25"/>
      <c r="P776" s="26" t="n">
        <f aca="false">(M776*N776/1000000)*(INDEX(AreaRate_Vals,MATCH(C776,AreaRate_Keys,0))+IFERROR(INDEX(GlazingUpg_Vals,MATCH(H776,GlazingUpg_Keys,0)),0))+INDEX(Hardware_Vals,MATCH("Doors",Hardware_Keys,0))</f>
        <v>10471.34605</v>
      </c>
      <c r="Q776" s="27" t="n">
        <f aca="false">INDEX(Markup_Vals,MATCH("Doors",MarkupCat_Keys,0))</f>
        <v>0.4</v>
      </c>
      <c r="R776" s="28" t="n">
        <f aca="false">P776*(1+Q776)</f>
        <v>14659.88447</v>
      </c>
      <c r="S776" s="28" t="n">
        <f aca="false">R776*(1-TradeDiscount)</f>
        <v>12900.6983336</v>
      </c>
      <c r="T776" s="28" t="n">
        <f aca="false">R776*(1-VolumeDiscount)</f>
        <v>11727.907576</v>
      </c>
    </row>
    <row r="777" customFormat="false" ht="15" hidden="false" customHeight="false" outlineLevel="0" collapsed="false">
      <c r="A777" s="29" t="s">
        <v>1780</v>
      </c>
      <c r="B777" s="29" t="s">
        <v>97</v>
      </c>
      <c r="C777" s="29" t="s">
        <v>49</v>
      </c>
      <c r="D777" s="29" t="s">
        <v>1781</v>
      </c>
      <c r="E777" s="29" t="s">
        <v>1754</v>
      </c>
      <c r="F777" s="29" t="s">
        <v>1775</v>
      </c>
      <c r="G777" s="29" t="s">
        <v>39</v>
      </c>
      <c r="H777" s="29" t="s">
        <v>65</v>
      </c>
      <c r="I777" s="29" t="s">
        <v>190</v>
      </c>
      <c r="J777" s="29" t="s">
        <v>191</v>
      </c>
      <c r="K777" s="29" t="s">
        <v>192</v>
      </c>
      <c r="L777" s="29" t="s">
        <v>30</v>
      </c>
      <c r="M777" s="29" t="n">
        <v>2409</v>
      </c>
      <c r="N777" s="29" t="n">
        <v>2009</v>
      </c>
      <c r="O777" s="29"/>
      <c r="P777" s="30" t="n">
        <f aca="false">(M777*N777/1000000)*(INDEX(AreaRate_Vals,MATCH(C777,AreaRate_Keys,0))+IFERROR(INDEX(GlazingUpg_Vals,MATCH(H777,GlazingUpg_Keys,0)),0))+INDEX(Hardware_Vals,MATCH("Doors",Hardware_Keys,0))</f>
        <v>10471.34605</v>
      </c>
      <c r="Q777" s="31" t="n">
        <f aca="false">INDEX(Markup_Vals,MATCH("Doors",MarkupCat_Keys,0))</f>
        <v>0.4</v>
      </c>
      <c r="R777" s="32" t="n">
        <f aca="false">P777*(1+Q777)</f>
        <v>14659.88447</v>
      </c>
      <c r="S777" s="32" t="n">
        <f aca="false">R777*(1-TradeDiscount)</f>
        <v>12900.6983336</v>
      </c>
      <c r="T777" s="32" t="n">
        <f aca="false">R777*(1-VolumeDiscount)</f>
        <v>11727.907576</v>
      </c>
    </row>
    <row r="778" customFormat="false" ht="15" hidden="false" customHeight="false" outlineLevel="0" collapsed="false">
      <c r="A778" s="25" t="s">
        <v>1782</v>
      </c>
      <c r="B778" s="25" t="s">
        <v>97</v>
      </c>
      <c r="C778" s="25" t="s">
        <v>49</v>
      </c>
      <c r="D778" s="25" t="s">
        <v>1783</v>
      </c>
      <c r="E778" s="25" t="s">
        <v>1754</v>
      </c>
      <c r="F778" s="25" t="s">
        <v>1775</v>
      </c>
      <c r="G778" s="25" t="s">
        <v>38</v>
      </c>
      <c r="H778" s="25" t="s">
        <v>65</v>
      </c>
      <c r="I778" s="25" t="s">
        <v>190</v>
      </c>
      <c r="J778" s="25" t="s">
        <v>191</v>
      </c>
      <c r="K778" s="25" t="s">
        <v>192</v>
      </c>
      <c r="L778" s="25" t="s">
        <v>30</v>
      </c>
      <c r="M778" s="25" t="n">
        <v>2409</v>
      </c>
      <c r="N778" s="25" t="n">
        <v>2009</v>
      </c>
      <c r="O778" s="25"/>
      <c r="P778" s="26" t="n">
        <f aca="false">(M778*N778/1000000)*(INDEX(AreaRate_Vals,MATCH(C778,AreaRate_Keys,0))+IFERROR(INDEX(GlazingUpg_Vals,MATCH(H778,GlazingUpg_Keys,0)),0))+INDEX(Hardware_Vals,MATCH("Doors",Hardware_Keys,0))</f>
        <v>10471.34605</v>
      </c>
      <c r="Q778" s="27" t="n">
        <f aca="false">INDEX(Markup_Vals,MATCH("Doors",MarkupCat_Keys,0))</f>
        <v>0.4</v>
      </c>
      <c r="R778" s="28" t="n">
        <f aca="false">P778*(1+Q778)</f>
        <v>14659.88447</v>
      </c>
      <c r="S778" s="28" t="n">
        <f aca="false">R778*(1-TradeDiscount)</f>
        <v>12900.6983336</v>
      </c>
      <c r="T778" s="28" t="n">
        <f aca="false">R778*(1-VolumeDiscount)</f>
        <v>11727.907576</v>
      </c>
    </row>
    <row r="779" customFormat="false" ht="15" hidden="false" customHeight="false" outlineLevel="0" collapsed="false">
      <c r="A779" s="29" t="s">
        <v>1784</v>
      </c>
      <c r="B779" s="29" t="s">
        <v>97</v>
      </c>
      <c r="C779" s="29" t="s">
        <v>49</v>
      </c>
      <c r="D779" s="29" t="s">
        <v>1785</v>
      </c>
      <c r="E779" s="29" t="s">
        <v>1754</v>
      </c>
      <c r="F779" s="29" t="s">
        <v>1775</v>
      </c>
      <c r="G779" s="29" t="s">
        <v>35</v>
      </c>
      <c r="H779" s="29" t="s">
        <v>66</v>
      </c>
      <c r="I779" s="29" t="s">
        <v>190</v>
      </c>
      <c r="J779" s="29" t="s">
        <v>191</v>
      </c>
      <c r="K779" s="29" t="s">
        <v>192</v>
      </c>
      <c r="L779" s="29" t="s">
        <v>30</v>
      </c>
      <c r="M779" s="29" t="n">
        <v>2409</v>
      </c>
      <c r="N779" s="29" t="n">
        <v>2009</v>
      </c>
      <c r="O779" s="29"/>
      <c r="P779" s="30" t="n">
        <f aca="false">(M779*N779/1000000)*(INDEX(AreaRate_Vals,MATCH(C779,AreaRate_Keys,0))+IFERROR(INDEX(GlazingUpg_Vals,MATCH(H779,GlazingUpg_Keys,0)),0))+INDEX(Hardware_Vals,MATCH("Doors",Hardware_Keys,0))</f>
        <v>13859.12275</v>
      </c>
      <c r="Q779" s="31" t="n">
        <f aca="false">INDEX(Markup_Vals,MATCH("Doors",MarkupCat_Keys,0))</f>
        <v>0.4</v>
      </c>
      <c r="R779" s="32" t="n">
        <f aca="false">P779*(1+Q779)</f>
        <v>19402.77185</v>
      </c>
      <c r="S779" s="32" t="n">
        <f aca="false">R779*(1-TradeDiscount)</f>
        <v>17074.439228</v>
      </c>
      <c r="T779" s="32" t="n">
        <f aca="false">R779*(1-VolumeDiscount)</f>
        <v>15522.21748</v>
      </c>
    </row>
    <row r="780" customFormat="false" ht="15" hidden="false" customHeight="false" outlineLevel="0" collapsed="false">
      <c r="A780" s="25" t="s">
        <v>1786</v>
      </c>
      <c r="B780" s="25" t="s">
        <v>97</v>
      </c>
      <c r="C780" s="25" t="s">
        <v>49</v>
      </c>
      <c r="D780" s="25" t="s">
        <v>1787</v>
      </c>
      <c r="E780" s="25" t="s">
        <v>1754</v>
      </c>
      <c r="F780" s="25" t="s">
        <v>1775</v>
      </c>
      <c r="G780" s="25" t="s">
        <v>36</v>
      </c>
      <c r="H780" s="25" t="s">
        <v>66</v>
      </c>
      <c r="I780" s="25" t="s">
        <v>190</v>
      </c>
      <c r="J780" s="25" t="s">
        <v>191</v>
      </c>
      <c r="K780" s="25" t="s">
        <v>192</v>
      </c>
      <c r="L780" s="25" t="s">
        <v>30</v>
      </c>
      <c r="M780" s="25" t="n">
        <v>2409</v>
      </c>
      <c r="N780" s="25" t="n">
        <v>2009</v>
      </c>
      <c r="O780" s="25"/>
      <c r="P780" s="26" t="n">
        <f aca="false">(M780*N780/1000000)*(INDEX(AreaRate_Vals,MATCH(C780,AreaRate_Keys,0))+IFERROR(INDEX(GlazingUpg_Vals,MATCH(H780,GlazingUpg_Keys,0)),0))+INDEX(Hardware_Vals,MATCH("Doors",Hardware_Keys,0))</f>
        <v>13859.12275</v>
      </c>
      <c r="Q780" s="27" t="n">
        <f aca="false">INDEX(Markup_Vals,MATCH("Doors",MarkupCat_Keys,0))</f>
        <v>0.4</v>
      </c>
      <c r="R780" s="28" t="n">
        <f aca="false">P780*(1+Q780)</f>
        <v>19402.77185</v>
      </c>
      <c r="S780" s="28" t="n">
        <f aca="false">R780*(1-TradeDiscount)</f>
        <v>17074.439228</v>
      </c>
      <c r="T780" s="28" t="n">
        <f aca="false">R780*(1-VolumeDiscount)</f>
        <v>15522.21748</v>
      </c>
    </row>
    <row r="781" customFormat="false" ht="15" hidden="false" customHeight="false" outlineLevel="0" collapsed="false">
      <c r="A781" s="29" t="s">
        <v>1788</v>
      </c>
      <c r="B781" s="29" t="s">
        <v>97</v>
      </c>
      <c r="C781" s="29" t="s">
        <v>49</v>
      </c>
      <c r="D781" s="29" t="s">
        <v>1789</v>
      </c>
      <c r="E781" s="29" t="s">
        <v>1754</v>
      </c>
      <c r="F781" s="29" t="s">
        <v>1775</v>
      </c>
      <c r="G781" s="29" t="s">
        <v>37</v>
      </c>
      <c r="H781" s="29" t="s">
        <v>66</v>
      </c>
      <c r="I781" s="29" t="s">
        <v>190</v>
      </c>
      <c r="J781" s="29" t="s">
        <v>191</v>
      </c>
      <c r="K781" s="29" t="s">
        <v>192</v>
      </c>
      <c r="L781" s="29" t="s">
        <v>30</v>
      </c>
      <c r="M781" s="29" t="n">
        <v>2409</v>
      </c>
      <c r="N781" s="29" t="n">
        <v>2009</v>
      </c>
      <c r="O781" s="29"/>
      <c r="P781" s="30" t="n">
        <f aca="false">(M781*N781/1000000)*(INDEX(AreaRate_Vals,MATCH(C781,AreaRate_Keys,0))+IFERROR(INDEX(GlazingUpg_Vals,MATCH(H781,GlazingUpg_Keys,0)),0))+INDEX(Hardware_Vals,MATCH("Doors",Hardware_Keys,0))</f>
        <v>13859.12275</v>
      </c>
      <c r="Q781" s="31" t="n">
        <f aca="false">INDEX(Markup_Vals,MATCH("Doors",MarkupCat_Keys,0))</f>
        <v>0.4</v>
      </c>
      <c r="R781" s="32" t="n">
        <f aca="false">P781*(1+Q781)</f>
        <v>19402.77185</v>
      </c>
      <c r="S781" s="32" t="n">
        <f aca="false">R781*(1-TradeDiscount)</f>
        <v>17074.439228</v>
      </c>
      <c r="T781" s="32" t="n">
        <f aca="false">R781*(1-VolumeDiscount)</f>
        <v>15522.21748</v>
      </c>
    </row>
    <row r="782" customFormat="false" ht="15" hidden="false" customHeight="false" outlineLevel="0" collapsed="false">
      <c r="A782" s="25" t="s">
        <v>1790</v>
      </c>
      <c r="B782" s="25" t="s">
        <v>97</v>
      </c>
      <c r="C782" s="25" t="s">
        <v>49</v>
      </c>
      <c r="D782" s="25" t="s">
        <v>1791</v>
      </c>
      <c r="E782" s="25" t="s">
        <v>1754</v>
      </c>
      <c r="F782" s="25" t="s">
        <v>1775</v>
      </c>
      <c r="G782" s="25" t="s">
        <v>39</v>
      </c>
      <c r="H782" s="25" t="s">
        <v>66</v>
      </c>
      <c r="I782" s="25" t="s">
        <v>190</v>
      </c>
      <c r="J782" s="25" t="s">
        <v>191</v>
      </c>
      <c r="K782" s="25" t="s">
        <v>192</v>
      </c>
      <c r="L782" s="25" t="s">
        <v>30</v>
      </c>
      <c r="M782" s="25" t="n">
        <v>2409</v>
      </c>
      <c r="N782" s="25" t="n">
        <v>2009</v>
      </c>
      <c r="O782" s="25"/>
      <c r="P782" s="26" t="n">
        <f aca="false">(M782*N782/1000000)*(INDEX(AreaRate_Vals,MATCH(C782,AreaRate_Keys,0))+IFERROR(INDEX(GlazingUpg_Vals,MATCH(H782,GlazingUpg_Keys,0)),0))+INDEX(Hardware_Vals,MATCH("Doors",Hardware_Keys,0))</f>
        <v>13859.12275</v>
      </c>
      <c r="Q782" s="27" t="n">
        <f aca="false">INDEX(Markup_Vals,MATCH("Doors",MarkupCat_Keys,0))</f>
        <v>0.4</v>
      </c>
      <c r="R782" s="28" t="n">
        <f aca="false">P782*(1+Q782)</f>
        <v>19402.77185</v>
      </c>
      <c r="S782" s="28" t="n">
        <f aca="false">R782*(1-TradeDiscount)</f>
        <v>17074.439228</v>
      </c>
      <c r="T782" s="28" t="n">
        <f aca="false">R782*(1-VolumeDiscount)</f>
        <v>15522.21748</v>
      </c>
    </row>
    <row r="783" customFormat="false" ht="15" hidden="false" customHeight="false" outlineLevel="0" collapsed="false">
      <c r="A783" s="29" t="s">
        <v>1792</v>
      </c>
      <c r="B783" s="29" t="s">
        <v>97</v>
      </c>
      <c r="C783" s="29" t="s">
        <v>49</v>
      </c>
      <c r="D783" s="29" t="s">
        <v>1793</v>
      </c>
      <c r="E783" s="29" t="s">
        <v>1754</v>
      </c>
      <c r="F783" s="29" t="s">
        <v>1775</v>
      </c>
      <c r="G783" s="29" t="s">
        <v>38</v>
      </c>
      <c r="H783" s="29" t="s">
        <v>66</v>
      </c>
      <c r="I783" s="29" t="s">
        <v>190</v>
      </c>
      <c r="J783" s="29" t="s">
        <v>191</v>
      </c>
      <c r="K783" s="29" t="s">
        <v>192</v>
      </c>
      <c r="L783" s="29" t="s">
        <v>30</v>
      </c>
      <c r="M783" s="29" t="n">
        <v>2409</v>
      </c>
      <c r="N783" s="29" t="n">
        <v>2009</v>
      </c>
      <c r="O783" s="29"/>
      <c r="P783" s="30" t="n">
        <f aca="false">(M783*N783/1000000)*(INDEX(AreaRate_Vals,MATCH(C783,AreaRate_Keys,0))+IFERROR(INDEX(GlazingUpg_Vals,MATCH(H783,GlazingUpg_Keys,0)),0))+INDEX(Hardware_Vals,MATCH("Doors",Hardware_Keys,0))</f>
        <v>13859.12275</v>
      </c>
      <c r="Q783" s="31" t="n">
        <f aca="false">INDEX(Markup_Vals,MATCH("Doors",MarkupCat_Keys,0))</f>
        <v>0.4</v>
      </c>
      <c r="R783" s="32" t="n">
        <f aca="false">P783*(1+Q783)</f>
        <v>19402.77185</v>
      </c>
      <c r="S783" s="32" t="n">
        <f aca="false">R783*(1-TradeDiscount)</f>
        <v>17074.439228</v>
      </c>
      <c r="T783" s="32" t="n">
        <f aca="false">R783*(1-VolumeDiscount)</f>
        <v>15522.21748</v>
      </c>
    </row>
    <row r="784" customFormat="false" ht="15" hidden="false" customHeight="false" outlineLevel="0" collapsed="false">
      <c r="A784" s="25" t="s">
        <v>1794</v>
      </c>
      <c r="B784" s="25" t="s">
        <v>97</v>
      </c>
      <c r="C784" s="25" t="s">
        <v>49</v>
      </c>
      <c r="D784" s="25" t="s">
        <v>1795</v>
      </c>
      <c r="E784" s="25" t="s">
        <v>1754</v>
      </c>
      <c r="F784" s="25" t="s">
        <v>1796</v>
      </c>
      <c r="G784" s="25" t="s">
        <v>35</v>
      </c>
      <c r="H784" s="25" t="s">
        <v>65</v>
      </c>
      <c r="I784" s="25" t="s">
        <v>190</v>
      </c>
      <c r="J784" s="25" t="s">
        <v>191</v>
      </c>
      <c r="K784" s="25" t="s">
        <v>192</v>
      </c>
      <c r="L784" s="25" t="s">
        <v>30</v>
      </c>
      <c r="M784" s="25" t="n">
        <v>1809</v>
      </c>
      <c r="N784" s="25" t="n">
        <v>2090</v>
      </c>
      <c r="O784" s="25"/>
      <c r="P784" s="26" t="n">
        <f aca="false">(M784*N784/1000000)*(INDEX(AreaRate_Vals,MATCH(C784,AreaRate_Keys,0))+IFERROR(INDEX(GlazingUpg_Vals,MATCH(H784,GlazingUpg_Keys,0)),0))+INDEX(Hardware_Vals,MATCH("Doors",Hardware_Keys,0))</f>
        <v>8300.6605</v>
      </c>
      <c r="Q784" s="27" t="n">
        <f aca="false">INDEX(Markup_Vals,MATCH("Doors",MarkupCat_Keys,0))</f>
        <v>0.4</v>
      </c>
      <c r="R784" s="28" t="n">
        <f aca="false">P784*(1+Q784)</f>
        <v>11620.9247</v>
      </c>
      <c r="S784" s="28" t="n">
        <f aca="false">R784*(1-TradeDiscount)</f>
        <v>10226.413736</v>
      </c>
      <c r="T784" s="28" t="n">
        <f aca="false">R784*(1-VolumeDiscount)</f>
        <v>9296.73976</v>
      </c>
    </row>
    <row r="785" customFormat="false" ht="15" hidden="false" customHeight="false" outlineLevel="0" collapsed="false">
      <c r="A785" s="29" t="s">
        <v>1797</v>
      </c>
      <c r="B785" s="29" t="s">
        <v>97</v>
      </c>
      <c r="C785" s="29" t="s">
        <v>49</v>
      </c>
      <c r="D785" s="29" t="s">
        <v>1798</v>
      </c>
      <c r="E785" s="29" t="s">
        <v>1754</v>
      </c>
      <c r="F785" s="29" t="s">
        <v>1796</v>
      </c>
      <c r="G785" s="29" t="s">
        <v>36</v>
      </c>
      <c r="H785" s="29" t="s">
        <v>65</v>
      </c>
      <c r="I785" s="29" t="s">
        <v>190</v>
      </c>
      <c r="J785" s="29" t="s">
        <v>191</v>
      </c>
      <c r="K785" s="29" t="s">
        <v>192</v>
      </c>
      <c r="L785" s="29" t="s">
        <v>30</v>
      </c>
      <c r="M785" s="29" t="n">
        <v>1809</v>
      </c>
      <c r="N785" s="29" t="n">
        <v>2090</v>
      </c>
      <c r="O785" s="29"/>
      <c r="P785" s="30" t="n">
        <f aca="false">(M785*N785/1000000)*(INDEX(AreaRate_Vals,MATCH(C785,AreaRate_Keys,0))+IFERROR(INDEX(GlazingUpg_Vals,MATCH(H785,GlazingUpg_Keys,0)),0))+INDEX(Hardware_Vals,MATCH("Doors",Hardware_Keys,0))</f>
        <v>8300.6605</v>
      </c>
      <c r="Q785" s="31" t="n">
        <f aca="false">INDEX(Markup_Vals,MATCH("Doors",MarkupCat_Keys,0))</f>
        <v>0.4</v>
      </c>
      <c r="R785" s="32" t="n">
        <f aca="false">P785*(1+Q785)</f>
        <v>11620.9247</v>
      </c>
      <c r="S785" s="32" t="n">
        <f aca="false">R785*(1-TradeDiscount)</f>
        <v>10226.413736</v>
      </c>
      <c r="T785" s="32" t="n">
        <f aca="false">R785*(1-VolumeDiscount)</f>
        <v>9296.73976</v>
      </c>
    </row>
    <row r="786" customFormat="false" ht="15" hidden="false" customHeight="false" outlineLevel="0" collapsed="false">
      <c r="A786" s="25" t="s">
        <v>1799</v>
      </c>
      <c r="B786" s="25" t="s">
        <v>97</v>
      </c>
      <c r="C786" s="25" t="s">
        <v>49</v>
      </c>
      <c r="D786" s="25" t="s">
        <v>1800</v>
      </c>
      <c r="E786" s="25" t="s">
        <v>1754</v>
      </c>
      <c r="F786" s="25" t="s">
        <v>1796</v>
      </c>
      <c r="G786" s="25" t="s">
        <v>37</v>
      </c>
      <c r="H786" s="25" t="s">
        <v>65</v>
      </c>
      <c r="I786" s="25" t="s">
        <v>190</v>
      </c>
      <c r="J786" s="25" t="s">
        <v>191</v>
      </c>
      <c r="K786" s="25" t="s">
        <v>192</v>
      </c>
      <c r="L786" s="25" t="s">
        <v>30</v>
      </c>
      <c r="M786" s="25" t="n">
        <v>1809</v>
      </c>
      <c r="N786" s="25" t="n">
        <v>2090</v>
      </c>
      <c r="O786" s="25"/>
      <c r="P786" s="26" t="n">
        <f aca="false">(M786*N786/1000000)*(INDEX(AreaRate_Vals,MATCH(C786,AreaRate_Keys,0))+IFERROR(INDEX(GlazingUpg_Vals,MATCH(H786,GlazingUpg_Keys,0)),0))+INDEX(Hardware_Vals,MATCH("Doors",Hardware_Keys,0))</f>
        <v>8300.6605</v>
      </c>
      <c r="Q786" s="27" t="n">
        <f aca="false">INDEX(Markup_Vals,MATCH("Doors",MarkupCat_Keys,0))</f>
        <v>0.4</v>
      </c>
      <c r="R786" s="28" t="n">
        <f aca="false">P786*(1+Q786)</f>
        <v>11620.9247</v>
      </c>
      <c r="S786" s="28" t="n">
        <f aca="false">R786*(1-TradeDiscount)</f>
        <v>10226.413736</v>
      </c>
      <c r="T786" s="28" t="n">
        <f aca="false">R786*(1-VolumeDiscount)</f>
        <v>9296.73976</v>
      </c>
    </row>
    <row r="787" customFormat="false" ht="15" hidden="false" customHeight="false" outlineLevel="0" collapsed="false">
      <c r="A787" s="29" t="s">
        <v>1801</v>
      </c>
      <c r="B787" s="29" t="s">
        <v>97</v>
      </c>
      <c r="C787" s="29" t="s">
        <v>49</v>
      </c>
      <c r="D787" s="29" t="s">
        <v>1802</v>
      </c>
      <c r="E787" s="29" t="s">
        <v>1754</v>
      </c>
      <c r="F787" s="29" t="s">
        <v>1796</v>
      </c>
      <c r="G787" s="29" t="s">
        <v>39</v>
      </c>
      <c r="H787" s="29" t="s">
        <v>65</v>
      </c>
      <c r="I787" s="29" t="s">
        <v>190</v>
      </c>
      <c r="J787" s="29" t="s">
        <v>191</v>
      </c>
      <c r="K787" s="29" t="s">
        <v>192</v>
      </c>
      <c r="L787" s="29" t="s">
        <v>30</v>
      </c>
      <c r="M787" s="29" t="n">
        <v>1809</v>
      </c>
      <c r="N787" s="29" t="n">
        <v>2090</v>
      </c>
      <c r="O787" s="29"/>
      <c r="P787" s="30" t="n">
        <f aca="false">(M787*N787/1000000)*(INDEX(AreaRate_Vals,MATCH(C787,AreaRate_Keys,0))+IFERROR(INDEX(GlazingUpg_Vals,MATCH(H787,GlazingUpg_Keys,0)),0))+INDEX(Hardware_Vals,MATCH("Doors",Hardware_Keys,0))</f>
        <v>8300.6605</v>
      </c>
      <c r="Q787" s="31" t="n">
        <f aca="false">INDEX(Markup_Vals,MATCH("Doors",MarkupCat_Keys,0))</f>
        <v>0.4</v>
      </c>
      <c r="R787" s="32" t="n">
        <f aca="false">P787*(1+Q787)</f>
        <v>11620.9247</v>
      </c>
      <c r="S787" s="32" t="n">
        <f aca="false">R787*(1-TradeDiscount)</f>
        <v>10226.413736</v>
      </c>
      <c r="T787" s="32" t="n">
        <f aca="false">R787*(1-VolumeDiscount)</f>
        <v>9296.73976</v>
      </c>
    </row>
    <row r="788" customFormat="false" ht="15" hidden="false" customHeight="false" outlineLevel="0" collapsed="false">
      <c r="A788" s="25" t="s">
        <v>1803</v>
      </c>
      <c r="B788" s="25" t="s">
        <v>97</v>
      </c>
      <c r="C788" s="25" t="s">
        <v>49</v>
      </c>
      <c r="D788" s="25" t="s">
        <v>1804</v>
      </c>
      <c r="E788" s="25" t="s">
        <v>1754</v>
      </c>
      <c r="F788" s="25" t="s">
        <v>1796</v>
      </c>
      <c r="G788" s="25" t="s">
        <v>38</v>
      </c>
      <c r="H788" s="25" t="s">
        <v>65</v>
      </c>
      <c r="I788" s="25" t="s">
        <v>190</v>
      </c>
      <c r="J788" s="25" t="s">
        <v>191</v>
      </c>
      <c r="K788" s="25" t="s">
        <v>192</v>
      </c>
      <c r="L788" s="25" t="s">
        <v>30</v>
      </c>
      <c r="M788" s="25" t="n">
        <v>1809</v>
      </c>
      <c r="N788" s="25" t="n">
        <v>2090</v>
      </c>
      <c r="O788" s="25"/>
      <c r="P788" s="26" t="n">
        <f aca="false">(M788*N788/1000000)*(INDEX(AreaRate_Vals,MATCH(C788,AreaRate_Keys,0))+IFERROR(INDEX(GlazingUpg_Vals,MATCH(H788,GlazingUpg_Keys,0)),0))+INDEX(Hardware_Vals,MATCH("Doors",Hardware_Keys,0))</f>
        <v>8300.6605</v>
      </c>
      <c r="Q788" s="27" t="n">
        <f aca="false">INDEX(Markup_Vals,MATCH("Doors",MarkupCat_Keys,0))</f>
        <v>0.4</v>
      </c>
      <c r="R788" s="28" t="n">
        <f aca="false">P788*(1+Q788)</f>
        <v>11620.9247</v>
      </c>
      <c r="S788" s="28" t="n">
        <f aca="false">R788*(1-TradeDiscount)</f>
        <v>10226.413736</v>
      </c>
      <c r="T788" s="28" t="n">
        <f aca="false">R788*(1-VolumeDiscount)</f>
        <v>9296.73976</v>
      </c>
    </row>
    <row r="789" customFormat="false" ht="15" hidden="false" customHeight="false" outlineLevel="0" collapsed="false">
      <c r="A789" s="29" t="s">
        <v>1805</v>
      </c>
      <c r="B789" s="29" t="s">
        <v>97</v>
      </c>
      <c r="C789" s="29" t="s">
        <v>49</v>
      </c>
      <c r="D789" s="29" t="s">
        <v>1806</v>
      </c>
      <c r="E789" s="29" t="s">
        <v>1754</v>
      </c>
      <c r="F789" s="29" t="s">
        <v>1796</v>
      </c>
      <c r="G789" s="29" t="s">
        <v>35</v>
      </c>
      <c r="H789" s="29" t="s">
        <v>66</v>
      </c>
      <c r="I789" s="29" t="s">
        <v>190</v>
      </c>
      <c r="J789" s="29" t="s">
        <v>191</v>
      </c>
      <c r="K789" s="29" t="s">
        <v>192</v>
      </c>
      <c r="L789" s="29" t="s">
        <v>30</v>
      </c>
      <c r="M789" s="29" t="n">
        <v>1809</v>
      </c>
      <c r="N789" s="29" t="n">
        <v>2090</v>
      </c>
      <c r="O789" s="29"/>
      <c r="P789" s="30" t="n">
        <f aca="false">(M789*N789/1000000)*(INDEX(AreaRate_Vals,MATCH(C789,AreaRate_Keys,0))+IFERROR(INDEX(GlazingUpg_Vals,MATCH(H789,GlazingUpg_Keys,0)),0))+INDEX(Hardware_Vals,MATCH("Doors",Hardware_Keys,0))</f>
        <v>10947.2275</v>
      </c>
      <c r="Q789" s="31" t="n">
        <f aca="false">INDEX(Markup_Vals,MATCH("Doors",MarkupCat_Keys,0))</f>
        <v>0.4</v>
      </c>
      <c r="R789" s="32" t="n">
        <f aca="false">P789*(1+Q789)</f>
        <v>15326.1185</v>
      </c>
      <c r="S789" s="32" t="n">
        <f aca="false">R789*(1-TradeDiscount)</f>
        <v>13486.98428</v>
      </c>
      <c r="T789" s="32" t="n">
        <f aca="false">R789*(1-VolumeDiscount)</f>
        <v>12260.8948</v>
      </c>
    </row>
    <row r="790" customFormat="false" ht="15" hidden="false" customHeight="false" outlineLevel="0" collapsed="false">
      <c r="A790" s="25" t="s">
        <v>1807</v>
      </c>
      <c r="B790" s="25" t="s">
        <v>97</v>
      </c>
      <c r="C790" s="25" t="s">
        <v>49</v>
      </c>
      <c r="D790" s="25" t="s">
        <v>1808</v>
      </c>
      <c r="E790" s="25" t="s">
        <v>1754</v>
      </c>
      <c r="F790" s="25" t="s">
        <v>1796</v>
      </c>
      <c r="G790" s="25" t="s">
        <v>36</v>
      </c>
      <c r="H790" s="25" t="s">
        <v>66</v>
      </c>
      <c r="I790" s="25" t="s">
        <v>190</v>
      </c>
      <c r="J790" s="25" t="s">
        <v>191</v>
      </c>
      <c r="K790" s="25" t="s">
        <v>192</v>
      </c>
      <c r="L790" s="25" t="s">
        <v>30</v>
      </c>
      <c r="M790" s="25" t="n">
        <v>1809</v>
      </c>
      <c r="N790" s="25" t="n">
        <v>2090</v>
      </c>
      <c r="O790" s="25"/>
      <c r="P790" s="26" t="n">
        <f aca="false">(M790*N790/1000000)*(INDEX(AreaRate_Vals,MATCH(C790,AreaRate_Keys,0))+IFERROR(INDEX(GlazingUpg_Vals,MATCH(H790,GlazingUpg_Keys,0)),0))+INDEX(Hardware_Vals,MATCH("Doors",Hardware_Keys,0))</f>
        <v>10947.2275</v>
      </c>
      <c r="Q790" s="27" t="n">
        <f aca="false">INDEX(Markup_Vals,MATCH("Doors",MarkupCat_Keys,0))</f>
        <v>0.4</v>
      </c>
      <c r="R790" s="28" t="n">
        <f aca="false">P790*(1+Q790)</f>
        <v>15326.1185</v>
      </c>
      <c r="S790" s="28" t="n">
        <f aca="false">R790*(1-TradeDiscount)</f>
        <v>13486.98428</v>
      </c>
      <c r="T790" s="28" t="n">
        <f aca="false">R790*(1-VolumeDiscount)</f>
        <v>12260.8948</v>
      </c>
    </row>
    <row r="791" customFormat="false" ht="15" hidden="false" customHeight="false" outlineLevel="0" collapsed="false">
      <c r="A791" s="29" t="s">
        <v>1809</v>
      </c>
      <c r="B791" s="29" t="s">
        <v>97</v>
      </c>
      <c r="C791" s="29" t="s">
        <v>49</v>
      </c>
      <c r="D791" s="29" t="s">
        <v>1810</v>
      </c>
      <c r="E791" s="29" t="s">
        <v>1754</v>
      </c>
      <c r="F791" s="29" t="s">
        <v>1796</v>
      </c>
      <c r="G791" s="29" t="s">
        <v>37</v>
      </c>
      <c r="H791" s="29" t="s">
        <v>66</v>
      </c>
      <c r="I791" s="29" t="s">
        <v>190</v>
      </c>
      <c r="J791" s="29" t="s">
        <v>191</v>
      </c>
      <c r="K791" s="29" t="s">
        <v>192</v>
      </c>
      <c r="L791" s="29" t="s">
        <v>30</v>
      </c>
      <c r="M791" s="29" t="n">
        <v>1809</v>
      </c>
      <c r="N791" s="29" t="n">
        <v>2090</v>
      </c>
      <c r="O791" s="29"/>
      <c r="P791" s="30" t="n">
        <f aca="false">(M791*N791/1000000)*(INDEX(AreaRate_Vals,MATCH(C791,AreaRate_Keys,0))+IFERROR(INDEX(GlazingUpg_Vals,MATCH(H791,GlazingUpg_Keys,0)),0))+INDEX(Hardware_Vals,MATCH("Doors",Hardware_Keys,0))</f>
        <v>10947.2275</v>
      </c>
      <c r="Q791" s="31" t="n">
        <f aca="false">INDEX(Markup_Vals,MATCH("Doors",MarkupCat_Keys,0))</f>
        <v>0.4</v>
      </c>
      <c r="R791" s="32" t="n">
        <f aca="false">P791*(1+Q791)</f>
        <v>15326.1185</v>
      </c>
      <c r="S791" s="32" t="n">
        <f aca="false">R791*(1-TradeDiscount)</f>
        <v>13486.98428</v>
      </c>
      <c r="T791" s="32" t="n">
        <f aca="false">R791*(1-VolumeDiscount)</f>
        <v>12260.8948</v>
      </c>
    </row>
    <row r="792" customFormat="false" ht="15" hidden="false" customHeight="false" outlineLevel="0" collapsed="false">
      <c r="A792" s="25" t="s">
        <v>1811</v>
      </c>
      <c r="B792" s="25" t="s">
        <v>97</v>
      </c>
      <c r="C792" s="25" t="s">
        <v>49</v>
      </c>
      <c r="D792" s="25" t="s">
        <v>1812</v>
      </c>
      <c r="E792" s="25" t="s">
        <v>1754</v>
      </c>
      <c r="F792" s="25" t="s">
        <v>1796</v>
      </c>
      <c r="G792" s="25" t="s">
        <v>39</v>
      </c>
      <c r="H792" s="25" t="s">
        <v>66</v>
      </c>
      <c r="I792" s="25" t="s">
        <v>190</v>
      </c>
      <c r="J792" s="25" t="s">
        <v>191</v>
      </c>
      <c r="K792" s="25" t="s">
        <v>192</v>
      </c>
      <c r="L792" s="25" t="s">
        <v>30</v>
      </c>
      <c r="M792" s="25" t="n">
        <v>1809</v>
      </c>
      <c r="N792" s="25" t="n">
        <v>2090</v>
      </c>
      <c r="O792" s="25"/>
      <c r="P792" s="26" t="n">
        <f aca="false">(M792*N792/1000000)*(INDEX(AreaRate_Vals,MATCH(C792,AreaRate_Keys,0))+IFERROR(INDEX(GlazingUpg_Vals,MATCH(H792,GlazingUpg_Keys,0)),0))+INDEX(Hardware_Vals,MATCH("Doors",Hardware_Keys,0))</f>
        <v>10947.2275</v>
      </c>
      <c r="Q792" s="27" t="n">
        <f aca="false">INDEX(Markup_Vals,MATCH("Doors",MarkupCat_Keys,0))</f>
        <v>0.4</v>
      </c>
      <c r="R792" s="28" t="n">
        <f aca="false">P792*(1+Q792)</f>
        <v>15326.1185</v>
      </c>
      <c r="S792" s="28" t="n">
        <f aca="false">R792*(1-TradeDiscount)</f>
        <v>13486.98428</v>
      </c>
      <c r="T792" s="28" t="n">
        <f aca="false">R792*(1-VolumeDiscount)</f>
        <v>12260.8948</v>
      </c>
    </row>
    <row r="793" customFormat="false" ht="15" hidden="false" customHeight="false" outlineLevel="0" collapsed="false">
      <c r="A793" s="29" t="s">
        <v>1813</v>
      </c>
      <c r="B793" s="29" t="s">
        <v>97</v>
      </c>
      <c r="C793" s="29" t="s">
        <v>49</v>
      </c>
      <c r="D793" s="29" t="s">
        <v>1814</v>
      </c>
      <c r="E793" s="29" t="s">
        <v>1754</v>
      </c>
      <c r="F793" s="29" t="s">
        <v>1796</v>
      </c>
      <c r="G793" s="29" t="s">
        <v>38</v>
      </c>
      <c r="H793" s="29" t="s">
        <v>66</v>
      </c>
      <c r="I793" s="29" t="s">
        <v>190</v>
      </c>
      <c r="J793" s="29" t="s">
        <v>191</v>
      </c>
      <c r="K793" s="29" t="s">
        <v>192</v>
      </c>
      <c r="L793" s="29" t="s">
        <v>30</v>
      </c>
      <c r="M793" s="29" t="n">
        <v>1809</v>
      </c>
      <c r="N793" s="29" t="n">
        <v>2090</v>
      </c>
      <c r="O793" s="29"/>
      <c r="P793" s="30" t="n">
        <f aca="false">(M793*N793/1000000)*(INDEX(AreaRate_Vals,MATCH(C793,AreaRate_Keys,0))+IFERROR(INDEX(GlazingUpg_Vals,MATCH(H793,GlazingUpg_Keys,0)),0))+INDEX(Hardware_Vals,MATCH("Doors",Hardware_Keys,0))</f>
        <v>10947.2275</v>
      </c>
      <c r="Q793" s="31" t="n">
        <f aca="false">INDEX(Markup_Vals,MATCH("Doors",MarkupCat_Keys,0))</f>
        <v>0.4</v>
      </c>
      <c r="R793" s="32" t="n">
        <f aca="false">P793*(1+Q793)</f>
        <v>15326.1185</v>
      </c>
      <c r="S793" s="32" t="n">
        <f aca="false">R793*(1-TradeDiscount)</f>
        <v>13486.98428</v>
      </c>
      <c r="T793" s="32" t="n">
        <f aca="false">R793*(1-VolumeDiscount)</f>
        <v>12260.8948</v>
      </c>
    </row>
    <row r="794" customFormat="false" ht="15" hidden="false" customHeight="false" outlineLevel="0" collapsed="false">
      <c r="A794" s="25" t="s">
        <v>1815</v>
      </c>
      <c r="B794" s="25" t="s">
        <v>97</v>
      </c>
      <c r="C794" s="25" t="s">
        <v>49</v>
      </c>
      <c r="D794" s="25" t="s">
        <v>1816</v>
      </c>
      <c r="E794" s="25" t="s">
        <v>1754</v>
      </c>
      <c r="F794" s="25" t="s">
        <v>1817</v>
      </c>
      <c r="G794" s="25" t="s">
        <v>35</v>
      </c>
      <c r="H794" s="25" t="s">
        <v>65</v>
      </c>
      <c r="I794" s="25" t="s">
        <v>190</v>
      </c>
      <c r="J794" s="25" t="s">
        <v>191</v>
      </c>
      <c r="K794" s="25" t="s">
        <v>192</v>
      </c>
      <c r="L794" s="25" t="s">
        <v>30</v>
      </c>
      <c r="M794" s="25" t="n">
        <v>2409</v>
      </c>
      <c r="N794" s="25" t="n">
        <v>2090</v>
      </c>
      <c r="O794" s="25"/>
      <c r="P794" s="26" t="n">
        <f aca="false">(M794*N794/1000000)*(INDEX(AreaRate_Vals,MATCH(C794,AreaRate_Keys,0))+IFERROR(INDEX(GlazingUpg_Vals,MATCH(H794,GlazingUpg_Keys,0)),0))+INDEX(Hardware_Vals,MATCH("Doors",Hardware_Keys,0))</f>
        <v>10871.3605</v>
      </c>
      <c r="Q794" s="27" t="n">
        <f aca="false">INDEX(Markup_Vals,MATCH("Doors",MarkupCat_Keys,0))</f>
        <v>0.4</v>
      </c>
      <c r="R794" s="28" t="n">
        <f aca="false">P794*(1+Q794)</f>
        <v>15219.9047</v>
      </c>
      <c r="S794" s="28" t="n">
        <f aca="false">R794*(1-TradeDiscount)</f>
        <v>13393.516136</v>
      </c>
      <c r="T794" s="28" t="n">
        <f aca="false">R794*(1-VolumeDiscount)</f>
        <v>12175.92376</v>
      </c>
    </row>
    <row r="795" customFormat="false" ht="15" hidden="false" customHeight="false" outlineLevel="0" collapsed="false">
      <c r="A795" s="29" t="s">
        <v>1818</v>
      </c>
      <c r="B795" s="29" t="s">
        <v>97</v>
      </c>
      <c r="C795" s="29" t="s">
        <v>49</v>
      </c>
      <c r="D795" s="29" t="s">
        <v>1819</v>
      </c>
      <c r="E795" s="29" t="s">
        <v>1754</v>
      </c>
      <c r="F795" s="29" t="s">
        <v>1817</v>
      </c>
      <c r="G795" s="29" t="s">
        <v>36</v>
      </c>
      <c r="H795" s="29" t="s">
        <v>65</v>
      </c>
      <c r="I795" s="29" t="s">
        <v>190</v>
      </c>
      <c r="J795" s="29" t="s">
        <v>191</v>
      </c>
      <c r="K795" s="29" t="s">
        <v>192</v>
      </c>
      <c r="L795" s="29" t="s">
        <v>30</v>
      </c>
      <c r="M795" s="29" t="n">
        <v>2409</v>
      </c>
      <c r="N795" s="29" t="n">
        <v>2090</v>
      </c>
      <c r="O795" s="29"/>
      <c r="P795" s="30" t="n">
        <f aca="false">(M795*N795/1000000)*(INDEX(AreaRate_Vals,MATCH(C795,AreaRate_Keys,0))+IFERROR(INDEX(GlazingUpg_Vals,MATCH(H795,GlazingUpg_Keys,0)),0))+INDEX(Hardware_Vals,MATCH("Doors",Hardware_Keys,0))</f>
        <v>10871.3605</v>
      </c>
      <c r="Q795" s="31" t="n">
        <f aca="false">INDEX(Markup_Vals,MATCH("Doors",MarkupCat_Keys,0))</f>
        <v>0.4</v>
      </c>
      <c r="R795" s="32" t="n">
        <f aca="false">P795*(1+Q795)</f>
        <v>15219.9047</v>
      </c>
      <c r="S795" s="32" t="n">
        <f aca="false">R795*(1-TradeDiscount)</f>
        <v>13393.516136</v>
      </c>
      <c r="T795" s="32" t="n">
        <f aca="false">R795*(1-VolumeDiscount)</f>
        <v>12175.92376</v>
      </c>
    </row>
    <row r="796" customFormat="false" ht="15" hidden="false" customHeight="false" outlineLevel="0" collapsed="false">
      <c r="A796" s="25" t="s">
        <v>1820</v>
      </c>
      <c r="B796" s="25" t="s">
        <v>97</v>
      </c>
      <c r="C796" s="25" t="s">
        <v>49</v>
      </c>
      <c r="D796" s="25" t="s">
        <v>1821</v>
      </c>
      <c r="E796" s="25" t="s">
        <v>1754</v>
      </c>
      <c r="F796" s="25" t="s">
        <v>1817</v>
      </c>
      <c r="G796" s="25" t="s">
        <v>37</v>
      </c>
      <c r="H796" s="25" t="s">
        <v>65</v>
      </c>
      <c r="I796" s="25" t="s">
        <v>190</v>
      </c>
      <c r="J796" s="25" t="s">
        <v>191</v>
      </c>
      <c r="K796" s="25" t="s">
        <v>192</v>
      </c>
      <c r="L796" s="25" t="s">
        <v>30</v>
      </c>
      <c r="M796" s="25" t="n">
        <v>2409</v>
      </c>
      <c r="N796" s="25" t="n">
        <v>2090</v>
      </c>
      <c r="O796" s="25"/>
      <c r="P796" s="26" t="n">
        <f aca="false">(M796*N796/1000000)*(INDEX(AreaRate_Vals,MATCH(C796,AreaRate_Keys,0))+IFERROR(INDEX(GlazingUpg_Vals,MATCH(H796,GlazingUpg_Keys,0)),0))+INDEX(Hardware_Vals,MATCH("Doors",Hardware_Keys,0))</f>
        <v>10871.3605</v>
      </c>
      <c r="Q796" s="27" t="n">
        <f aca="false">INDEX(Markup_Vals,MATCH("Doors",MarkupCat_Keys,0))</f>
        <v>0.4</v>
      </c>
      <c r="R796" s="28" t="n">
        <f aca="false">P796*(1+Q796)</f>
        <v>15219.9047</v>
      </c>
      <c r="S796" s="28" t="n">
        <f aca="false">R796*(1-TradeDiscount)</f>
        <v>13393.516136</v>
      </c>
      <c r="T796" s="28" t="n">
        <f aca="false">R796*(1-VolumeDiscount)</f>
        <v>12175.92376</v>
      </c>
    </row>
    <row r="797" customFormat="false" ht="15" hidden="false" customHeight="false" outlineLevel="0" collapsed="false">
      <c r="A797" s="29" t="s">
        <v>1822</v>
      </c>
      <c r="B797" s="29" t="s">
        <v>97</v>
      </c>
      <c r="C797" s="29" t="s">
        <v>49</v>
      </c>
      <c r="D797" s="29" t="s">
        <v>1823</v>
      </c>
      <c r="E797" s="29" t="s">
        <v>1754</v>
      </c>
      <c r="F797" s="29" t="s">
        <v>1817</v>
      </c>
      <c r="G797" s="29" t="s">
        <v>39</v>
      </c>
      <c r="H797" s="29" t="s">
        <v>65</v>
      </c>
      <c r="I797" s="29" t="s">
        <v>190</v>
      </c>
      <c r="J797" s="29" t="s">
        <v>191</v>
      </c>
      <c r="K797" s="29" t="s">
        <v>192</v>
      </c>
      <c r="L797" s="29" t="s">
        <v>30</v>
      </c>
      <c r="M797" s="29" t="n">
        <v>2409</v>
      </c>
      <c r="N797" s="29" t="n">
        <v>2090</v>
      </c>
      <c r="O797" s="29"/>
      <c r="P797" s="30" t="n">
        <f aca="false">(M797*N797/1000000)*(INDEX(AreaRate_Vals,MATCH(C797,AreaRate_Keys,0))+IFERROR(INDEX(GlazingUpg_Vals,MATCH(H797,GlazingUpg_Keys,0)),0))+INDEX(Hardware_Vals,MATCH("Doors",Hardware_Keys,0))</f>
        <v>10871.3605</v>
      </c>
      <c r="Q797" s="31" t="n">
        <f aca="false">INDEX(Markup_Vals,MATCH("Doors",MarkupCat_Keys,0))</f>
        <v>0.4</v>
      </c>
      <c r="R797" s="32" t="n">
        <f aca="false">P797*(1+Q797)</f>
        <v>15219.9047</v>
      </c>
      <c r="S797" s="32" t="n">
        <f aca="false">R797*(1-TradeDiscount)</f>
        <v>13393.516136</v>
      </c>
      <c r="T797" s="32" t="n">
        <f aca="false">R797*(1-VolumeDiscount)</f>
        <v>12175.92376</v>
      </c>
    </row>
    <row r="798" customFormat="false" ht="15" hidden="false" customHeight="false" outlineLevel="0" collapsed="false">
      <c r="A798" s="25" t="s">
        <v>1824</v>
      </c>
      <c r="B798" s="25" t="s">
        <v>97</v>
      </c>
      <c r="C798" s="25" t="s">
        <v>49</v>
      </c>
      <c r="D798" s="25" t="s">
        <v>1825</v>
      </c>
      <c r="E798" s="25" t="s">
        <v>1754</v>
      </c>
      <c r="F798" s="25" t="s">
        <v>1817</v>
      </c>
      <c r="G798" s="25" t="s">
        <v>38</v>
      </c>
      <c r="H798" s="25" t="s">
        <v>65</v>
      </c>
      <c r="I798" s="25" t="s">
        <v>190</v>
      </c>
      <c r="J798" s="25" t="s">
        <v>191</v>
      </c>
      <c r="K798" s="25" t="s">
        <v>192</v>
      </c>
      <c r="L798" s="25" t="s">
        <v>30</v>
      </c>
      <c r="M798" s="25" t="n">
        <v>2409</v>
      </c>
      <c r="N798" s="25" t="n">
        <v>2090</v>
      </c>
      <c r="O798" s="25"/>
      <c r="P798" s="26" t="n">
        <f aca="false">(M798*N798/1000000)*(INDEX(AreaRate_Vals,MATCH(C798,AreaRate_Keys,0))+IFERROR(INDEX(GlazingUpg_Vals,MATCH(H798,GlazingUpg_Keys,0)),0))+INDEX(Hardware_Vals,MATCH("Doors",Hardware_Keys,0))</f>
        <v>10871.3605</v>
      </c>
      <c r="Q798" s="27" t="n">
        <f aca="false">INDEX(Markup_Vals,MATCH("Doors",MarkupCat_Keys,0))</f>
        <v>0.4</v>
      </c>
      <c r="R798" s="28" t="n">
        <f aca="false">P798*(1+Q798)</f>
        <v>15219.9047</v>
      </c>
      <c r="S798" s="28" t="n">
        <f aca="false">R798*(1-TradeDiscount)</f>
        <v>13393.516136</v>
      </c>
      <c r="T798" s="28" t="n">
        <f aca="false">R798*(1-VolumeDiscount)</f>
        <v>12175.92376</v>
      </c>
    </row>
    <row r="799" customFormat="false" ht="15" hidden="false" customHeight="false" outlineLevel="0" collapsed="false">
      <c r="A799" s="29" t="s">
        <v>1826</v>
      </c>
      <c r="B799" s="29" t="s">
        <v>97</v>
      </c>
      <c r="C799" s="29" t="s">
        <v>49</v>
      </c>
      <c r="D799" s="29" t="s">
        <v>1827</v>
      </c>
      <c r="E799" s="29" t="s">
        <v>1754</v>
      </c>
      <c r="F799" s="29" t="s">
        <v>1817</v>
      </c>
      <c r="G799" s="29" t="s">
        <v>35</v>
      </c>
      <c r="H799" s="29" t="s">
        <v>66</v>
      </c>
      <c r="I799" s="29" t="s">
        <v>190</v>
      </c>
      <c r="J799" s="29" t="s">
        <v>191</v>
      </c>
      <c r="K799" s="29" t="s">
        <v>192</v>
      </c>
      <c r="L799" s="29" t="s">
        <v>30</v>
      </c>
      <c r="M799" s="29" t="n">
        <v>2409</v>
      </c>
      <c r="N799" s="29" t="n">
        <v>2090</v>
      </c>
      <c r="O799" s="29"/>
      <c r="P799" s="30" t="n">
        <f aca="false">(M799*N799/1000000)*(INDEX(AreaRate_Vals,MATCH(C799,AreaRate_Keys,0))+IFERROR(INDEX(GlazingUpg_Vals,MATCH(H799,GlazingUpg_Keys,0)),0))+INDEX(Hardware_Vals,MATCH("Doors",Hardware_Keys,0))</f>
        <v>14395.7275</v>
      </c>
      <c r="Q799" s="31" t="n">
        <f aca="false">INDEX(Markup_Vals,MATCH("Doors",MarkupCat_Keys,0))</f>
        <v>0.4</v>
      </c>
      <c r="R799" s="32" t="n">
        <f aca="false">P799*(1+Q799)</f>
        <v>20154.0185</v>
      </c>
      <c r="S799" s="32" t="n">
        <f aca="false">R799*(1-TradeDiscount)</f>
        <v>17735.53628</v>
      </c>
      <c r="T799" s="32" t="n">
        <f aca="false">R799*(1-VolumeDiscount)</f>
        <v>16123.2148</v>
      </c>
    </row>
    <row r="800" customFormat="false" ht="15" hidden="false" customHeight="false" outlineLevel="0" collapsed="false">
      <c r="A800" s="25" t="s">
        <v>1828</v>
      </c>
      <c r="B800" s="25" t="s">
        <v>97</v>
      </c>
      <c r="C800" s="25" t="s">
        <v>49</v>
      </c>
      <c r="D800" s="25" t="s">
        <v>1829</v>
      </c>
      <c r="E800" s="25" t="s">
        <v>1754</v>
      </c>
      <c r="F800" s="25" t="s">
        <v>1817</v>
      </c>
      <c r="G800" s="25" t="s">
        <v>36</v>
      </c>
      <c r="H800" s="25" t="s">
        <v>66</v>
      </c>
      <c r="I800" s="25" t="s">
        <v>190</v>
      </c>
      <c r="J800" s="25" t="s">
        <v>191</v>
      </c>
      <c r="K800" s="25" t="s">
        <v>192</v>
      </c>
      <c r="L800" s="25" t="s">
        <v>30</v>
      </c>
      <c r="M800" s="25" t="n">
        <v>2409</v>
      </c>
      <c r="N800" s="25" t="n">
        <v>2090</v>
      </c>
      <c r="O800" s="25"/>
      <c r="P800" s="26" t="n">
        <f aca="false">(M800*N800/1000000)*(INDEX(AreaRate_Vals,MATCH(C800,AreaRate_Keys,0))+IFERROR(INDEX(GlazingUpg_Vals,MATCH(H800,GlazingUpg_Keys,0)),0))+INDEX(Hardware_Vals,MATCH("Doors",Hardware_Keys,0))</f>
        <v>14395.7275</v>
      </c>
      <c r="Q800" s="27" t="n">
        <f aca="false">INDEX(Markup_Vals,MATCH("Doors",MarkupCat_Keys,0))</f>
        <v>0.4</v>
      </c>
      <c r="R800" s="28" t="n">
        <f aca="false">P800*(1+Q800)</f>
        <v>20154.0185</v>
      </c>
      <c r="S800" s="28" t="n">
        <f aca="false">R800*(1-TradeDiscount)</f>
        <v>17735.53628</v>
      </c>
      <c r="T800" s="28" t="n">
        <f aca="false">R800*(1-VolumeDiscount)</f>
        <v>16123.2148</v>
      </c>
    </row>
    <row r="801" customFormat="false" ht="15" hidden="false" customHeight="false" outlineLevel="0" collapsed="false">
      <c r="A801" s="29" t="s">
        <v>1830</v>
      </c>
      <c r="B801" s="29" t="s">
        <v>97</v>
      </c>
      <c r="C801" s="29" t="s">
        <v>49</v>
      </c>
      <c r="D801" s="29" t="s">
        <v>1831</v>
      </c>
      <c r="E801" s="29" t="s">
        <v>1754</v>
      </c>
      <c r="F801" s="29" t="s">
        <v>1817</v>
      </c>
      <c r="G801" s="29" t="s">
        <v>37</v>
      </c>
      <c r="H801" s="29" t="s">
        <v>66</v>
      </c>
      <c r="I801" s="29" t="s">
        <v>190</v>
      </c>
      <c r="J801" s="29" t="s">
        <v>191</v>
      </c>
      <c r="K801" s="29" t="s">
        <v>192</v>
      </c>
      <c r="L801" s="29" t="s">
        <v>30</v>
      </c>
      <c r="M801" s="29" t="n">
        <v>2409</v>
      </c>
      <c r="N801" s="29" t="n">
        <v>2090</v>
      </c>
      <c r="O801" s="29"/>
      <c r="P801" s="30" t="n">
        <f aca="false">(M801*N801/1000000)*(INDEX(AreaRate_Vals,MATCH(C801,AreaRate_Keys,0))+IFERROR(INDEX(GlazingUpg_Vals,MATCH(H801,GlazingUpg_Keys,0)),0))+INDEX(Hardware_Vals,MATCH("Doors",Hardware_Keys,0))</f>
        <v>14395.7275</v>
      </c>
      <c r="Q801" s="31" t="n">
        <f aca="false">INDEX(Markup_Vals,MATCH("Doors",MarkupCat_Keys,0))</f>
        <v>0.4</v>
      </c>
      <c r="R801" s="32" t="n">
        <f aca="false">P801*(1+Q801)</f>
        <v>20154.0185</v>
      </c>
      <c r="S801" s="32" t="n">
        <f aca="false">R801*(1-TradeDiscount)</f>
        <v>17735.53628</v>
      </c>
      <c r="T801" s="32" t="n">
        <f aca="false">R801*(1-VolumeDiscount)</f>
        <v>16123.2148</v>
      </c>
    </row>
    <row r="802" customFormat="false" ht="15" hidden="false" customHeight="false" outlineLevel="0" collapsed="false">
      <c r="A802" s="25" t="s">
        <v>1832</v>
      </c>
      <c r="B802" s="25" t="s">
        <v>97</v>
      </c>
      <c r="C802" s="25" t="s">
        <v>49</v>
      </c>
      <c r="D802" s="25" t="s">
        <v>1833</v>
      </c>
      <c r="E802" s="25" t="s">
        <v>1754</v>
      </c>
      <c r="F802" s="25" t="s">
        <v>1817</v>
      </c>
      <c r="G802" s="25" t="s">
        <v>39</v>
      </c>
      <c r="H802" s="25" t="s">
        <v>66</v>
      </c>
      <c r="I802" s="25" t="s">
        <v>190</v>
      </c>
      <c r="J802" s="25" t="s">
        <v>191</v>
      </c>
      <c r="K802" s="25" t="s">
        <v>192</v>
      </c>
      <c r="L802" s="25" t="s">
        <v>30</v>
      </c>
      <c r="M802" s="25" t="n">
        <v>2409</v>
      </c>
      <c r="N802" s="25" t="n">
        <v>2090</v>
      </c>
      <c r="O802" s="25"/>
      <c r="P802" s="26" t="n">
        <f aca="false">(M802*N802/1000000)*(INDEX(AreaRate_Vals,MATCH(C802,AreaRate_Keys,0))+IFERROR(INDEX(GlazingUpg_Vals,MATCH(H802,GlazingUpg_Keys,0)),0))+INDEX(Hardware_Vals,MATCH("Doors",Hardware_Keys,0))</f>
        <v>14395.7275</v>
      </c>
      <c r="Q802" s="27" t="n">
        <f aca="false">INDEX(Markup_Vals,MATCH("Doors",MarkupCat_Keys,0))</f>
        <v>0.4</v>
      </c>
      <c r="R802" s="28" t="n">
        <f aca="false">P802*(1+Q802)</f>
        <v>20154.0185</v>
      </c>
      <c r="S802" s="28" t="n">
        <f aca="false">R802*(1-TradeDiscount)</f>
        <v>17735.53628</v>
      </c>
      <c r="T802" s="28" t="n">
        <f aca="false">R802*(1-VolumeDiscount)</f>
        <v>16123.2148</v>
      </c>
    </row>
    <row r="803" customFormat="false" ht="15" hidden="false" customHeight="false" outlineLevel="0" collapsed="false">
      <c r="A803" s="29" t="s">
        <v>1834</v>
      </c>
      <c r="B803" s="29" t="s">
        <v>97</v>
      </c>
      <c r="C803" s="29" t="s">
        <v>49</v>
      </c>
      <c r="D803" s="29" t="s">
        <v>1835</v>
      </c>
      <c r="E803" s="29" t="s">
        <v>1754</v>
      </c>
      <c r="F803" s="29" t="s">
        <v>1817</v>
      </c>
      <c r="G803" s="29" t="s">
        <v>38</v>
      </c>
      <c r="H803" s="29" t="s">
        <v>66</v>
      </c>
      <c r="I803" s="29" t="s">
        <v>190</v>
      </c>
      <c r="J803" s="29" t="s">
        <v>191</v>
      </c>
      <c r="K803" s="29" t="s">
        <v>192</v>
      </c>
      <c r="L803" s="29" t="s">
        <v>30</v>
      </c>
      <c r="M803" s="29" t="n">
        <v>2409</v>
      </c>
      <c r="N803" s="29" t="n">
        <v>2090</v>
      </c>
      <c r="O803" s="29"/>
      <c r="P803" s="30" t="n">
        <f aca="false">(M803*N803/1000000)*(INDEX(AreaRate_Vals,MATCH(C803,AreaRate_Keys,0))+IFERROR(INDEX(GlazingUpg_Vals,MATCH(H803,GlazingUpg_Keys,0)),0))+INDEX(Hardware_Vals,MATCH("Doors",Hardware_Keys,0))</f>
        <v>14395.7275</v>
      </c>
      <c r="Q803" s="31" t="n">
        <f aca="false">INDEX(Markup_Vals,MATCH("Doors",MarkupCat_Keys,0))</f>
        <v>0.4</v>
      </c>
      <c r="R803" s="32" t="n">
        <f aca="false">P803*(1+Q803)</f>
        <v>20154.0185</v>
      </c>
      <c r="S803" s="32" t="n">
        <f aca="false">R803*(1-TradeDiscount)</f>
        <v>17735.53628</v>
      </c>
      <c r="T803" s="32" t="n">
        <f aca="false">R803*(1-VolumeDiscount)</f>
        <v>16123.2148</v>
      </c>
    </row>
    <row r="804" customFormat="false" ht="15" hidden="false" customHeight="false" outlineLevel="0" collapsed="false">
      <c r="A804" s="25" t="s">
        <v>1836</v>
      </c>
      <c r="B804" s="25" t="s">
        <v>97</v>
      </c>
      <c r="C804" s="25" t="s">
        <v>49</v>
      </c>
      <c r="D804" s="25" t="s">
        <v>1837</v>
      </c>
      <c r="E804" s="25" t="s">
        <v>1754</v>
      </c>
      <c r="F804" s="25" t="s">
        <v>1838</v>
      </c>
      <c r="G804" s="25" t="s">
        <v>35</v>
      </c>
      <c r="H804" s="25" t="s">
        <v>65</v>
      </c>
      <c r="I804" s="25" t="s">
        <v>190</v>
      </c>
      <c r="J804" s="25" t="s">
        <v>191</v>
      </c>
      <c r="K804" s="25" t="s">
        <v>298</v>
      </c>
      <c r="L804" s="25" t="s">
        <v>30</v>
      </c>
      <c r="M804" s="25" t="n">
        <v>3009</v>
      </c>
      <c r="N804" s="25" t="n">
        <v>2090</v>
      </c>
      <c r="O804" s="25"/>
      <c r="P804" s="26" t="n">
        <f aca="false">(M804*N804/1000000)*(INDEX(AreaRate_Vals,MATCH(C804,AreaRate_Keys,0))+IFERROR(INDEX(GlazingUpg_Vals,MATCH(H804,GlazingUpg_Keys,0)),0))+INDEX(Hardware_Vals,MATCH("Doors",Hardware_Keys,0))</f>
        <v>13442.0605</v>
      </c>
      <c r="Q804" s="27" t="n">
        <f aca="false">INDEX(Markup_Vals,MATCH("Doors",MarkupCat_Keys,0))</f>
        <v>0.4</v>
      </c>
      <c r="R804" s="28" t="n">
        <f aca="false">P804*(1+Q804)</f>
        <v>18818.8847</v>
      </c>
      <c r="S804" s="28" t="n">
        <f aca="false">R804*(1-TradeDiscount)</f>
        <v>16560.618536</v>
      </c>
      <c r="T804" s="28" t="n">
        <f aca="false">R804*(1-VolumeDiscount)</f>
        <v>15055.10776</v>
      </c>
    </row>
    <row r="805" customFormat="false" ht="15" hidden="false" customHeight="false" outlineLevel="0" collapsed="false">
      <c r="A805" s="29" t="s">
        <v>1839</v>
      </c>
      <c r="B805" s="29" t="s">
        <v>97</v>
      </c>
      <c r="C805" s="29" t="s">
        <v>49</v>
      </c>
      <c r="D805" s="29" t="s">
        <v>1840</v>
      </c>
      <c r="E805" s="29" t="s">
        <v>1754</v>
      </c>
      <c r="F805" s="29" t="s">
        <v>1838</v>
      </c>
      <c r="G805" s="29" t="s">
        <v>36</v>
      </c>
      <c r="H805" s="29" t="s">
        <v>65</v>
      </c>
      <c r="I805" s="29" t="s">
        <v>190</v>
      </c>
      <c r="J805" s="29" t="s">
        <v>191</v>
      </c>
      <c r="K805" s="29" t="s">
        <v>298</v>
      </c>
      <c r="L805" s="29" t="s">
        <v>30</v>
      </c>
      <c r="M805" s="29" t="n">
        <v>3009</v>
      </c>
      <c r="N805" s="29" t="n">
        <v>2090</v>
      </c>
      <c r="O805" s="29"/>
      <c r="P805" s="30" t="n">
        <f aca="false">(M805*N805/1000000)*(INDEX(AreaRate_Vals,MATCH(C805,AreaRate_Keys,0))+IFERROR(INDEX(GlazingUpg_Vals,MATCH(H805,GlazingUpg_Keys,0)),0))+INDEX(Hardware_Vals,MATCH("Doors",Hardware_Keys,0))</f>
        <v>13442.0605</v>
      </c>
      <c r="Q805" s="31" t="n">
        <f aca="false">INDEX(Markup_Vals,MATCH("Doors",MarkupCat_Keys,0))</f>
        <v>0.4</v>
      </c>
      <c r="R805" s="32" t="n">
        <f aca="false">P805*(1+Q805)</f>
        <v>18818.8847</v>
      </c>
      <c r="S805" s="32" t="n">
        <f aca="false">R805*(1-TradeDiscount)</f>
        <v>16560.618536</v>
      </c>
      <c r="T805" s="32" t="n">
        <f aca="false">R805*(1-VolumeDiscount)</f>
        <v>15055.10776</v>
      </c>
    </row>
    <row r="806" customFormat="false" ht="15" hidden="false" customHeight="false" outlineLevel="0" collapsed="false">
      <c r="A806" s="25" t="s">
        <v>1841</v>
      </c>
      <c r="B806" s="25" t="s">
        <v>97</v>
      </c>
      <c r="C806" s="25" t="s">
        <v>49</v>
      </c>
      <c r="D806" s="25" t="s">
        <v>1842</v>
      </c>
      <c r="E806" s="25" t="s">
        <v>1754</v>
      </c>
      <c r="F806" s="25" t="s">
        <v>1838</v>
      </c>
      <c r="G806" s="25" t="s">
        <v>37</v>
      </c>
      <c r="H806" s="25" t="s">
        <v>65</v>
      </c>
      <c r="I806" s="25" t="s">
        <v>190</v>
      </c>
      <c r="J806" s="25" t="s">
        <v>191</v>
      </c>
      <c r="K806" s="25" t="s">
        <v>298</v>
      </c>
      <c r="L806" s="25" t="s">
        <v>30</v>
      </c>
      <c r="M806" s="25" t="n">
        <v>3009</v>
      </c>
      <c r="N806" s="25" t="n">
        <v>2090</v>
      </c>
      <c r="O806" s="25"/>
      <c r="P806" s="26" t="n">
        <f aca="false">(M806*N806/1000000)*(INDEX(AreaRate_Vals,MATCH(C806,AreaRate_Keys,0))+IFERROR(INDEX(GlazingUpg_Vals,MATCH(H806,GlazingUpg_Keys,0)),0))+INDEX(Hardware_Vals,MATCH("Doors",Hardware_Keys,0))</f>
        <v>13442.0605</v>
      </c>
      <c r="Q806" s="27" t="n">
        <f aca="false">INDEX(Markup_Vals,MATCH("Doors",MarkupCat_Keys,0))</f>
        <v>0.4</v>
      </c>
      <c r="R806" s="28" t="n">
        <f aca="false">P806*(1+Q806)</f>
        <v>18818.8847</v>
      </c>
      <c r="S806" s="28" t="n">
        <f aca="false">R806*(1-TradeDiscount)</f>
        <v>16560.618536</v>
      </c>
      <c r="T806" s="28" t="n">
        <f aca="false">R806*(1-VolumeDiscount)</f>
        <v>15055.10776</v>
      </c>
    </row>
    <row r="807" customFormat="false" ht="15" hidden="false" customHeight="false" outlineLevel="0" collapsed="false">
      <c r="A807" s="29" t="s">
        <v>1843</v>
      </c>
      <c r="B807" s="29" t="s">
        <v>97</v>
      </c>
      <c r="C807" s="29" t="s">
        <v>49</v>
      </c>
      <c r="D807" s="29" t="s">
        <v>1844</v>
      </c>
      <c r="E807" s="29" t="s">
        <v>1754</v>
      </c>
      <c r="F807" s="29" t="s">
        <v>1838</v>
      </c>
      <c r="G807" s="29" t="s">
        <v>39</v>
      </c>
      <c r="H807" s="29" t="s">
        <v>65</v>
      </c>
      <c r="I807" s="29" t="s">
        <v>190</v>
      </c>
      <c r="J807" s="29" t="s">
        <v>191</v>
      </c>
      <c r="K807" s="29" t="s">
        <v>298</v>
      </c>
      <c r="L807" s="29" t="s">
        <v>30</v>
      </c>
      <c r="M807" s="29" t="n">
        <v>3009</v>
      </c>
      <c r="N807" s="29" t="n">
        <v>2090</v>
      </c>
      <c r="O807" s="29"/>
      <c r="P807" s="30" t="n">
        <f aca="false">(M807*N807/1000000)*(INDEX(AreaRate_Vals,MATCH(C807,AreaRate_Keys,0))+IFERROR(INDEX(GlazingUpg_Vals,MATCH(H807,GlazingUpg_Keys,0)),0))+INDEX(Hardware_Vals,MATCH("Doors",Hardware_Keys,0))</f>
        <v>13442.0605</v>
      </c>
      <c r="Q807" s="31" t="n">
        <f aca="false">INDEX(Markup_Vals,MATCH("Doors",MarkupCat_Keys,0))</f>
        <v>0.4</v>
      </c>
      <c r="R807" s="32" t="n">
        <f aca="false">P807*(1+Q807)</f>
        <v>18818.8847</v>
      </c>
      <c r="S807" s="32" t="n">
        <f aca="false">R807*(1-TradeDiscount)</f>
        <v>16560.618536</v>
      </c>
      <c r="T807" s="32" t="n">
        <f aca="false">R807*(1-VolumeDiscount)</f>
        <v>15055.10776</v>
      </c>
    </row>
    <row r="808" customFormat="false" ht="15" hidden="false" customHeight="false" outlineLevel="0" collapsed="false">
      <c r="A808" s="25" t="s">
        <v>1845</v>
      </c>
      <c r="B808" s="25" t="s">
        <v>97</v>
      </c>
      <c r="C808" s="25" t="s">
        <v>49</v>
      </c>
      <c r="D808" s="25" t="s">
        <v>1846</v>
      </c>
      <c r="E808" s="25" t="s">
        <v>1754</v>
      </c>
      <c r="F808" s="25" t="s">
        <v>1838</v>
      </c>
      <c r="G808" s="25" t="s">
        <v>38</v>
      </c>
      <c r="H808" s="25" t="s">
        <v>65</v>
      </c>
      <c r="I808" s="25" t="s">
        <v>190</v>
      </c>
      <c r="J808" s="25" t="s">
        <v>191</v>
      </c>
      <c r="K808" s="25" t="s">
        <v>298</v>
      </c>
      <c r="L808" s="25" t="s">
        <v>30</v>
      </c>
      <c r="M808" s="25" t="n">
        <v>3009</v>
      </c>
      <c r="N808" s="25" t="n">
        <v>2090</v>
      </c>
      <c r="O808" s="25"/>
      <c r="P808" s="26" t="n">
        <f aca="false">(M808*N808/1000000)*(INDEX(AreaRate_Vals,MATCH(C808,AreaRate_Keys,0))+IFERROR(INDEX(GlazingUpg_Vals,MATCH(H808,GlazingUpg_Keys,0)),0))+INDEX(Hardware_Vals,MATCH("Doors",Hardware_Keys,0))</f>
        <v>13442.0605</v>
      </c>
      <c r="Q808" s="27" t="n">
        <f aca="false">INDEX(Markup_Vals,MATCH("Doors",MarkupCat_Keys,0))</f>
        <v>0.4</v>
      </c>
      <c r="R808" s="28" t="n">
        <f aca="false">P808*(1+Q808)</f>
        <v>18818.8847</v>
      </c>
      <c r="S808" s="28" t="n">
        <f aca="false">R808*(1-TradeDiscount)</f>
        <v>16560.618536</v>
      </c>
      <c r="T808" s="28" t="n">
        <f aca="false">R808*(1-VolumeDiscount)</f>
        <v>15055.10776</v>
      </c>
    </row>
    <row r="809" customFormat="false" ht="15" hidden="false" customHeight="false" outlineLevel="0" collapsed="false">
      <c r="A809" s="29" t="s">
        <v>1847</v>
      </c>
      <c r="B809" s="29" t="s">
        <v>97</v>
      </c>
      <c r="C809" s="29" t="s">
        <v>49</v>
      </c>
      <c r="D809" s="29" t="s">
        <v>1848</v>
      </c>
      <c r="E809" s="29" t="s">
        <v>1754</v>
      </c>
      <c r="F809" s="29" t="s">
        <v>1838</v>
      </c>
      <c r="G809" s="29" t="s">
        <v>35</v>
      </c>
      <c r="H809" s="29" t="s">
        <v>66</v>
      </c>
      <c r="I809" s="29" t="s">
        <v>190</v>
      </c>
      <c r="J809" s="29" t="s">
        <v>191</v>
      </c>
      <c r="K809" s="29" t="s">
        <v>298</v>
      </c>
      <c r="L809" s="29" t="s">
        <v>30</v>
      </c>
      <c r="M809" s="29" t="n">
        <v>3009</v>
      </c>
      <c r="N809" s="29" t="n">
        <v>2090</v>
      </c>
      <c r="O809" s="29"/>
      <c r="P809" s="30" t="n">
        <f aca="false">(M809*N809/1000000)*(INDEX(AreaRate_Vals,MATCH(C809,AreaRate_Keys,0))+IFERROR(INDEX(GlazingUpg_Vals,MATCH(H809,GlazingUpg_Keys,0)),0))+INDEX(Hardware_Vals,MATCH("Doors",Hardware_Keys,0))</f>
        <v>17844.2275</v>
      </c>
      <c r="Q809" s="31" t="n">
        <f aca="false">INDEX(Markup_Vals,MATCH("Doors",MarkupCat_Keys,0))</f>
        <v>0.4</v>
      </c>
      <c r="R809" s="32" t="n">
        <f aca="false">P809*(1+Q809)</f>
        <v>24981.9185</v>
      </c>
      <c r="S809" s="32" t="n">
        <f aca="false">R809*(1-TradeDiscount)</f>
        <v>21984.08828</v>
      </c>
      <c r="T809" s="32" t="n">
        <f aca="false">R809*(1-VolumeDiscount)</f>
        <v>19985.5348</v>
      </c>
    </row>
    <row r="810" customFormat="false" ht="15" hidden="false" customHeight="false" outlineLevel="0" collapsed="false">
      <c r="A810" s="25" t="s">
        <v>1849</v>
      </c>
      <c r="B810" s="25" t="s">
        <v>97</v>
      </c>
      <c r="C810" s="25" t="s">
        <v>49</v>
      </c>
      <c r="D810" s="25" t="s">
        <v>1850</v>
      </c>
      <c r="E810" s="25" t="s">
        <v>1754</v>
      </c>
      <c r="F810" s="25" t="s">
        <v>1838</v>
      </c>
      <c r="G810" s="25" t="s">
        <v>36</v>
      </c>
      <c r="H810" s="25" t="s">
        <v>66</v>
      </c>
      <c r="I810" s="25" t="s">
        <v>190</v>
      </c>
      <c r="J810" s="25" t="s">
        <v>191</v>
      </c>
      <c r="K810" s="25" t="s">
        <v>298</v>
      </c>
      <c r="L810" s="25" t="s">
        <v>30</v>
      </c>
      <c r="M810" s="25" t="n">
        <v>3009</v>
      </c>
      <c r="N810" s="25" t="n">
        <v>2090</v>
      </c>
      <c r="O810" s="25"/>
      <c r="P810" s="26" t="n">
        <f aca="false">(M810*N810/1000000)*(INDEX(AreaRate_Vals,MATCH(C810,AreaRate_Keys,0))+IFERROR(INDEX(GlazingUpg_Vals,MATCH(H810,GlazingUpg_Keys,0)),0))+INDEX(Hardware_Vals,MATCH("Doors",Hardware_Keys,0))</f>
        <v>17844.2275</v>
      </c>
      <c r="Q810" s="27" t="n">
        <f aca="false">INDEX(Markup_Vals,MATCH("Doors",MarkupCat_Keys,0))</f>
        <v>0.4</v>
      </c>
      <c r="R810" s="28" t="n">
        <f aca="false">P810*(1+Q810)</f>
        <v>24981.9185</v>
      </c>
      <c r="S810" s="28" t="n">
        <f aca="false">R810*(1-TradeDiscount)</f>
        <v>21984.08828</v>
      </c>
      <c r="T810" s="28" t="n">
        <f aca="false">R810*(1-VolumeDiscount)</f>
        <v>19985.5348</v>
      </c>
    </row>
    <row r="811" customFormat="false" ht="15" hidden="false" customHeight="false" outlineLevel="0" collapsed="false">
      <c r="A811" s="29" t="s">
        <v>1851</v>
      </c>
      <c r="B811" s="29" t="s">
        <v>97</v>
      </c>
      <c r="C811" s="29" t="s">
        <v>49</v>
      </c>
      <c r="D811" s="29" t="s">
        <v>1852</v>
      </c>
      <c r="E811" s="29" t="s">
        <v>1754</v>
      </c>
      <c r="F811" s="29" t="s">
        <v>1838</v>
      </c>
      <c r="G811" s="29" t="s">
        <v>37</v>
      </c>
      <c r="H811" s="29" t="s">
        <v>66</v>
      </c>
      <c r="I811" s="29" t="s">
        <v>190</v>
      </c>
      <c r="J811" s="29" t="s">
        <v>191</v>
      </c>
      <c r="K811" s="29" t="s">
        <v>298</v>
      </c>
      <c r="L811" s="29" t="s">
        <v>30</v>
      </c>
      <c r="M811" s="29" t="n">
        <v>3009</v>
      </c>
      <c r="N811" s="29" t="n">
        <v>2090</v>
      </c>
      <c r="O811" s="29"/>
      <c r="P811" s="30" t="n">
        <f aca="false">(M811*N811/1000000)*(INDEX(AreaRate_Vals,MATCH(C811,AreaRate_Keys,0))+IFERROR(INDEX(GlazingUpg_Vals,MATCH(H811,GlazingUpg_Keys,0)),0))+INDEX(Hardware_Vals,MATCH("Doors",Hardware_Keys,0))</f>
        <v>17844.2275</v>
      </c>
      <c r="Q811" s="31" t="n">
        <f aca="false">INDEX(Markup_Vals,MATCH("Doors",MarkupCat_Keys,0))</f>
        <v>0.4</v>
      </c>
      <c r="R811" s="32" t="n">
        <f aca="false">P811*(1+Q811)</f>
        <v>24981.9185</v>
      </c>
      <c r="S811" s="32" t="n">
        <f aca="false">R811*(1-TradeDiscount)</f>
        <v>21984.08828</v>
      </c>
      <c r="T811" s="32" t="n">
        <f aca="false">R811*(1-VolumeDiscount)</f>
        <v>19985.5348</v>
      </c>
    </row>
    <row r="812" customFormat="false" ht="15" hidden="false" customHeight="false" outlineLevel="0" collapsed="false">
      <c r="A812" s="25" t="s">
        <v>1853</v>
      </c>
      <c r="B812" s="25" t="s">
        <v>97</v>
      </c>
      <c r="C812" s="25" t="s">
        <v>49</v>
      </c>
      <c r="D812" s="25" t="s">
        <v>1854</v>
      </c>
      <c r="E812" s="25" t="s">
        <v>1754</v>
      </c>
      <c r="F812" s="25" t="s">
        <v>1838</v>
      </c>
      <c r="G812" s="25" t="s">
        <v>39</v>
      </c>
      <c r="H812" s="25" t="s">
        <v>66</v>
      </c>
      <c r="I812" s="25" t="s">
        <v>190</v>
      </c>
      <c r="J812" s="25" t="s">
        <v>191</v>
      </c>
      <c r="K812" s="25" t="s">
        <v>298</v>
      </c>
      <c r="L812" s="25" t="s">
        <v>30</v>
      </c>
      <c r="M812" s="25" t="n">
        <v>3009</v>
      </c>
      <c r="N812" s="25" t="n">
        <v>2090</v>
      </c>
      <c r="O812" s="25"/>
      <c r="P812" s="26" t="n">
        <f aca="false">(M812*N812/1000000)*(INDEX(AreaRate_Vals,MATCH(C812,AreaRate_Keys,0))+IFERROR(INDEX(GlazingUpg_Vals,MATCH(H812,GlazingUpg_Keys,0)),0))+INDEX(Hardware_Vals,MATCH("Doors",Hardware_Keys,0))</f>
        <v>17844.2275</v>
      </c>
      <c r="Q812" s="27" t="n">
        <f aca="false">INDEX(Markup_Vals,MATCH("Doors",MarkupCat_Keys,0))</f>
        <v>0.4</v>
      </c>
      <c r="R812" s="28" t="n">
        <f aca="false">P812*(1+Q812)</f>
        <v>24981.9185</v>
      </c>
      <c r="S812" s="28" t="n">
        <f aca="false">R812*(1-TradeDiscount)</f>
        <v>21984.08828</v>
      </c>
      <c r="T812" s="28" t="n">
        <f aca="false">R812*(1-VolumeDiscount)</f>
        <v>19985.5348</v>
      </c>
    </row>
    <row r="813" customFormat="false" ht="15" hidden="false" customHeight="false" outlineLevel="0" collapsed="false">
      <c r="A813" s="29" t="s">
        <v>1855</v>
      </c>
      <c r="B813" s="29" t="s">
        <v>97</v>
      </c>
      <c r="C813" s="29" t="s">
        <v>49</v>
      </c>
      <c r="D813" s="29" t="s">
        <v>1856</v>
      </c>
      <c r="E813" s="29" t="s">
        <v>1754</v>
      </c>
      <c r="F813" s="29" t="s">
        <v>1838</v>
      </c>
      <c r="G813" s="29" t="s">
        <v>38</v>
      </c>
      <c r="H813" s="29" t="s">
        <v>66</v>
      </c>
      <c r="I813" s="29" t="s">
        <v>190</v>
      </c>
      <c r="J813" s="29" t="s">
        <v>191</v>
      </c>
      <c r="K813" s="29" t="s">
        <v>298</v>
      </c>
      <c r="L813" s="29" t="s">
        <v>30</v>
      </c>
      <c r="M813" s="29" t="n">
        <v>3009</v>
      </c>
      <c r="N813" s="29" t="n">
        <v>2090</v>
      </c>
      <c r="O813" s="29"/>
      <c r="P813" s="30" t="n">
        <f aca="false">(M813*N813/1000000)*(INDEX(AreaRate_Vals,MATCH(C813,AreaRate_Keys,0))+IFERROR(INDEX(GlazingUpg_Vals,MATCH(H813,GlazingUpg_Keys,0)),0))+INDEX(Hardware_Vals,MATCH("Doors",Hardware_Keys,0))</f>
        <v>17844.2275</v>
      </c>
      <c r="Q813" s="31" t="n">
        <f aca="false">INDEX(Markup_Vals,MATCH("Doors",MarkupCat_Keys,0))</f>
        <v>0.4</v>
      </c>
      <c r="R813" s="32" t="n">
        <f aca="false">P813*(1+Q813)</f>
        <v>24981.9185</v>
      </c>
      <c r="S813" s="32" t="n">
        <f aca="false">R813*(1-TradeDiscount)</f>
        <v>21984.08828</v>
      </c>
      <c r="T813" s="32" t="n">
        <f aca="false">R813*(1-VolumeDiscount)</f>
        <v>19985.5348</v>
      </c>
    </row>
    <row r="814" customFormat="false" ht="15" hidden="false" customHeight="false" outlineLevel="0" collapsed="false">
      <c r="A814" s="25" t="s">
        <v>1857</v>
      </c>
      <c r="B814" s="25" t="s">
        <v>97</v>
      </c>
      <c r="C814" s="25" t="s">
        <v>49</v>
      </c>
      <c r="D814" s="25" t="s">
        <v>1858</v>
      </c>
      <c r="E814" s="25" t="s">
        <v>1754</v>
      </c>
      <c r="F814" s="25" t="s">
        <v>1859</v>
      </c>
      <c r="G814" s="25" t="s">
        <v>35</v>
      </c>
      <c r="H814" s="25" t="s">
        <v>65</v>
      </c>
      <c r="I814" s="25" t="s">
        <v>190</v>
      </c>
      <c r="J814" s="25" t="s">
        <v>191</v>
      </c>
      <c r="K814" s="25" t="s">
        <v>298</v>
      </c>
      <c r="L814" s="25" t="s">
        <v>30</v>
      </c>
      <c r="M814" s="25" t="n">
        <v>3609</v>
      </c>
      <c r="N814" s="25" t="n">
        <v>2090</v>
      </c>
      <c r="O814" s="25"/>
      <c r="P814" s="26" t="n">
        <f aca="false">(M814*N814/1000000)*(INDEX(AreaRate_Vals,MATCH(C814,AreaRate_Keys,0))+IFERROR(INDEX(GlazingUpg_Vals,MATCH(H814,GlazingUpg_Keys,0)),0))+INDEX(Hardware_Vals,MATCH("Doors",Hardware_Keys,0))</f>
        <v>16012.7605</v>
      </c>
      <c r="Q814" s="27" t="n">
        <f aca="false">INDEX(Markup_Vals,MATCH("Doors",MarkupCat_Keys,0))</f>
        <v>0.4</v>
      </c>
      <c r="R814" s="28" t="n">
        <f aca="false">P814*(1+Q814)</f>
        <v>22417.8647</v>
      </c>
      <c r="S814" s="28" t="n">
        <f aca="false">R814*(1-TradeDiscount)</f>
        <v>19727.720936</v>
      </c>
      <c r="T814" s="28" t="n">
        <f aca="false">R814*(1-VolumeDiscount)</f>
        <v>17934.29176</v>
      </c>
    </row>
    <row r="815" customFormat="false" ht="15" hidden="false" customHeight="false" outlineLevel="0" collapsed="false">
      <c r="A815" s="29" t="s">
        <v>1860</v>
      </c>
      <c r="B815" s="29" t="s">
        <v>97</v>
      </c>
      <c r="C815" s="29" t="s">
        <v>49</v>
      </c>
      <c r="D815" s="29" t="s">
        <v>1861</v>
      </c>
      <c r="E815" s="29" t="s">
        <v>1754</v>
      </c>
      <c r="F815" s="29" t="s">
        <v>1859</v>
      </c>
      <c r="G815" s="29" t="s">
        <v>36</v>
      </c>
      <c r="H815" s="29" t="s">
        <v>65</v>
      </c>
      <c r="I815" s="29" t="s">
        <v>190</v>
      </c>
      <c r="J815" s="29" t="s">
        <v>191</v>
      </c>
      <c r="K815" s="29" t="s">
        <v>298</v>
      </c>
      <c r="L815" s="29" t="s">
        <v>30</v>
      </c>
      <c r="M815" s="29" t="n">
        <v>3609</v>
      </c>
      <c r="N815" s="29" t="n">
        <v>2090</v>
      </c>
      <c r="O815" s="29"/>
      <c r="P815" s="30" t="n">
        <f aca="false">(M815*N815/1000000)*(INDEX(AreaRate_Vals,MATCH(C815,AreaRate_Keys,0))+IFERROR(INDEX(GlazingUpg_Vals,MATCH(H815,GlazingUpg_Keys,0)),0))+INDEX(Hardware_Vals,MATCH("Doors",Hardware_Keys,0))</f>
        <v>16012.7605</v>
      </c>
      <c r="Q815" s="31" t="n">
        <f aca="false">INDEX(Markup_Vals,MATCH("Doors",MarkupCat_Keys,0))</f>
        <v>0.4</v>
      </c>
      <c r="R815" s="32" t="n">
        <f aca="false">P815*(1+Q815)</f>
        <v>22417.8647</v>
      </c>
      <c r="S815" s="32" t="n">
        <f aca="false">R815*(1-TradeDiscount)</f>
        <v>19727.720936</v>
      </c>
      <c r="T815" s="32" t="n">
        <f aca="false">R815*(1-VolumeDiscount)</f>
        <v>17934.29176</v>
      </c>
    </row>
    <row r="816" customFormat="false" ht="15" hidden="false" customHeight="false" outlineLevel="0" collapsed="false">
      <c r="A816" s="25" t="s">
        <v>1862</v>
      </c>
      <c r="B816" s="25" t="s">
        <v>97</v>
      </c>
      <c r="C816" s="25" t="s">
        <v>49</v>
      </c>
      <c r="D816" s="25" t="s">
        <v>1863</v>
      </c>
      <c r="E816" s="25" t="s">
        <v>1754</v>
      </c>
      <c r="F816" s="25" t="s">
        <v>1859</v>
      </c>
      <c r="G816" s="25" t="s">
        <v>37</v>
      </c>
      <c r="H816" s="25" t="s">
        <v>65</v>
      </c>
      <c r="I816" s="25" t="s">
        <v>190</v>
      </c>
      <c r="J816" s="25" t="s">
        <v>191</v>
      </c>
      <c r="K816" s="25" t="s">
        <v>298</v>
      </c>
      <c r="L816" s="25" t="s">
        <v>30</v>
      </c>
      <c r="M816" s="25" t="n">
        <v>3609</v>
      </c>
      <c r="N816" s="25" t="n">
        <v>2090</v>
      </c>
      <c r="O816" s="25"/>
      <c r="P816" s="26" t="n">
        <f aca="false">(M816*N816/1000000)*(INDEX(AreaRate_Vals,MATCH(C816,AreaRate_Keys,0))+IFERROR(INDEX(GlazingUpg_Vals,MATCH(H816,GlazingUpg_Keys,0)),0))+INDEX(Hardware_Vals,MATCH("Doors",Hardware_Keys,0))</f>
        <v>16012.7605</v>
      </c>
      <c r="Q816" s="27" t="n">
        <f aca="false">INDEX(Markup_Vals,MATCH("Doors",MarkupCat_Keys,0))</f>
        <v>0.4</v>
      </c>
      <c r="R816" s="28" t="n">
        <f aca="false">P816*(1+Q816)</f>
        <v>22417.8647</v>
      </c>
      <c r="S816" s="28" t="n">
        <f aca="false">R816*(1-TradeDiscount)</f>
        <v>19727.720936</v>
      </c>
      <c r="T816" s="28" t="n">
        <f aca="false">R816*(1-VolumeDiscount)</f>
        <v>17934.29176</v>
      </c>
    </row>
    <row r="817" customFormat="false" ht="15" hidden="false" customHeight="false" outlineLevel="0" collapsed="false">
      <c r="A817" s="29" t="s">
        <v>1864</v>
      </c>
      <c r="B817" s="29" t="s">
        <v>97</v>
      </c>
      <c r="C817" s="29" t="s">
        <v>49</v>
      </c>
      <c r="D817" s="29" t="s">
        <v>1865</v>
      </c>
      <c r="E817" s="29" t="s">
        <v>1754</v>
      </c>
      <c r="F817" s="29" t="s">
        <v>1859</v>
      </c>
      <c r="G817" s="29" t="s">
        <v>39</v>
      </c>
      <c r="H817" s="29" t="s">
        <v>65</v>
      </c>
      <c r="I817" s="29" t="s">
        <v>190</v>
      </c>
      <c r="J817" s="29" t="s">
        <v>191</v>
      </c>
      <c r="K817" s="29" t="s">
        <v>298</v>
      </c>
      <c r="L817" s="29" t="s">
        <v>30</v>
      </c>
      <c r="M817" s="29" t="n">
        <v>3609</v>
      </c>
      <c r="N817" s="29" t="n">
        <v>2090</v>
      </c>
      <c r="O817" s="29"/>
      <c r="P817" s="30" t="n">
        <f aca="false">(M817*N817/1000000)*(INDEX(AreaRate_Vals,MATCH(C817,AreaRate_Keys,0))+IFERROR(INDEX(GlazingUpg_Vals,MATCH(H817,GlazingUpg_Keys,0)),0))+INDEX(Hardware_Vals,MATCH("Doors",Hardware_Keys,0))</f>
        <v>16012.7605</v>
      </c>
      <c r="Q817" s="31" t="n">
        <f aca="false">INDEX(Markup_Vals,MATCH("Doors",MarkupCat_Keys,0))</f>
        <v>0.4</v>
      </c>
      <c r="R817" s="32" t="n">
        <f aca="false">P817*(1+Q817)</f>
        <v>22417.8647</v>
      </c>
      <c r="S817" s="32" t="n">
        <f aca="false">R817*(1-TradeDiscount)</f>
        <v>19727.720936</v>
      </c>
      <c r="T817" s="32" t="n">
        <f aca="false">R817*(1-VolumeDiscount)</f>
        <v>17934.29176</v>
      </c>
    </row>
    <row r="818" customFormat="false" ht="15" hidden="false" customHeight="false" outlineLevel="0" collapsed="false">
      <c r="A818" s="25" t="s">
        <v>1866</v>
      </c>
      <c r="B818" s="25" t="s">
        <v>97</v>
      </c>
      <c r="C818" s="25" t="s">
        <v>49</v>
      </c>
      <c r="D818" s="25" t="s">
        <v>1867</v>
      </c>
      <c r="E818" s="25" t="s">
        <v>1754</v>
      </c>
      <c r="F818" s="25" t="s">
        <v>1859</v>
      </c>
      <c r="G818" s="25" t="s">
        <v>38</v>
      </c>
      <c r="H818" s="25" t="s">
        <v>65</v>
      </c>
      <c r="I818" s="25" t="s">
        <v>190</v>
      </c>
      <c r="J818" s="25" t="s">
        <v>191</v>
      </c>
      <c r="K818" s="25" t="s">
        <v>298</v>
      </c>
      <c r="L818" s="25" t="s">
        <v>30</v>
      </c>
      <c r="M818" s="25" t="n">
        <v>3609</v>
      </c>
      <c r="N818" s="25" t="n">
        <v>2090</v>
      </c>
      <c r="O818" s="25"/>
      <c r="P818" s="26" t="n">
        <f aca="false">(M818*N818/1000000)*(INDEX(AreaRate_Vals,MATCH(C818,AreaRate_Keys,0))+IFERROR(INDEX(GlazingUpg_Vals,MATCH(H818,GlazingUpg_Keys,0)),0))+INDEX(Hardware_Vals,MATCH("Doors",Hardware_Keys,0))</f>
        <v>16012.7605</v>
      </c>
      <c r="Q818" s="27" t="n">
        <f aca="false">INDEX(Markup_Vals,MATCH("Doors",MarkupCat_Keys,0))</f>
        <v>0.4</v>
      </c>
      <c r="R818" s="28" t="n">
        <f aca="false">P818*(1+Q818)</f>
        <v>22417.8647</v>
      </c>
      <c r="S818" s="28" t="n">
        <f aca="false">R818*(1-TradeDiscount)</f>
        <v>19727.720936</v>
      </c>
      <c r="T818" s="28" t="n">
        <f aca="false">R818*(1-VolumeDiscount)</f>
        <v>17934.29176</v>
      </c>
    </row>
    <row r="819" customFormat="false" ht="15" hidden="false" customHeight="false" outlineLevel="0" collapsed="false">
      <c r="A819" s="29" t="s">
        <v>1868</v>
      </c>
      <c r="B819" s="29" t="s">
        <v>97</v>
      </c>
      <c r="C819" s="29" t="s">
        <v>49</v>
      </c>
      <c r="D819" s="29" t="s">
        <v>1869</v>
      </c>
      <c r="E819" s="29" t="s">
        <v>1754</v>
      </c>
      <c r="F819" s="29" t="s">
        <v>1859</v>
      </c>
      <c r="G819" s="29" t="s">
        <v>35</v>
      </c>
      <c r="H819" s="29" t="s">
        <v>66</v>
      </c>
      <c r="I819" s="29" t="s">
        <v>190</v>
      </c>
      <c r="J819" s="29" t="s">
        <v>191</v>
      </c>
      <c r="K819" s="29" t="s">
        <v>298</v>
      </c>
      <c r="L819" s="29" t="s">
        <v>30</v>
      </c>
      <c r="M819" s="29" t="n">
        <v>3609</v>
      </c>
      <c r="N819" s="29" t="n">
        <v>2090</v>
      </c>
      <c r="O819" s="29"/>
      <c r="P819" s="30" t="n">
        <f aca="false">(M819*N819/1000000)*(INDEX(AreaRate_Vals,MATCH(C819,AreaRate_Keys,0))+IFERROR(INDEX(GlazingUpg_Vals,MATCH(H819,GlazingUpg_Keys,0)),0))+INDEX(Hardware_Vals,MATCH("Doors",Hardware_Keys,0))</f>
        <v>21292.7275</v>
      </c>
      <c r="Q819" s="31" t="n">
        <f aca="false">INDEX(Markup_Vals,MATCH("Doors",MarkupCat_Keys,0))</f>
        <v>0.4</v>
      </c>
      <c r="R819" s="32" t="n">
        <f aca="false">P819*(1+Q819)</f>
        <v>29809.8185</v>
      </c>
      <c r="S819" s="32" t="n">
        <f aca="false">R819*(1-TradeDiscount)</f>
        <v>26232.64028</v>
      </c>
      <c r="T819" s="32" t="n">
        <f aca="false">R819*(1-VolumeDiscount)</f>
        <v>23847.8548</v>
      </c>
    </row>
    <row r="820" customFormat="false" ht="15" hidden="false" customHeight="false" outlineLevel="0" collapsed="false">
      <c r="A820" s="25" t="s">
        <v>1870</v>
      </c>
      <c r="B820" s="25" t="s">
        <v>97</v>
      </c>
      <c r="C820" s="25" t="s">
        <v>49</v>
      </c>
      <c r="D820" s="25" t="s">
        <v>1871</v>
      </c>
      <c r="E820" s="25" t="s">
        <v>1754</v>
      </c>
      <c r="F820" s="25" t="s">
        <v>1859</v>
      </c>
      <c r="G820" s="25" t="s">
        <v>36</v>
      </c>
      <c r="H820" s="25" t="s">
        <v>66</v>
      </c>
      <c r="I820" s="25" t="s">
        <v>190</v>
      </c>
      <c r="J820" s="25" t="s">
        <v>191</v>
      </c>
      <c r="K820" s="25" t="s">
        <v>298</v>
      </c>
      <c r="L820" s="25" t="s">
        <v>30</v>
      </c>
      <c r="M820" s="25" t="n">
        <v>3609</v>
      </c>
      <c r="N820" s="25" t="n">
        <v>2090</v>
      </c>
      <c r="O820" s="25"/>
      <c r="P820" s="26" t="n">
        <f aca="false">(M820*N820/1000000)*(INDEX(AreaRate_Vals,MATCH(C820,AreaRate_Keys,0))+IFERROR(INDEX(GlazingUpg_Vals,MATCH(H820,GlazingUpg_Keys,0)),0))+INDEX(Hardware_Vals,MATCH("Doors",Hardware_Keys,0))</f>
        <v>21292.7275</v>
      </c>
      <c r="Q820" s="27" t="n">
        <f aca="false">INDEX(Markup_Vals,MATCH("Doors",MarkupCat_Keys,0))</f>
        <v>0.4</v>
      </c>
      <c r="R820" s="28" t="n">
        <f aca="false">P820*(1+Q820)</f>
        <v>29809.8185</v>
      </c>
      <c r="S820" s="28" t="n">
        <f aca="false">R820*(1-TradeDiscount)</f>
        <v>26232.64028</v>
      </c>
      <c r="T820" s="28" t="n">
        <f aca="false">R820*(1-VolumeDiscount)</f>
        <v>23847.8548</v>
      </c>
    </row>
    <row r="821" customFormat="false" ht="15" hidden="false" customHeight="false" outlineLevel="0" collapsed="false">
      <c r="A821" s="29" t="s">
        <v>1872</v>
      </c>
      <c r="B821" s="29" t="s">
        <v>97</v>
      </c>
      <c r="C821" s="29" t="s">
        <v>49</v>
      </c>
      <c r="D821" s="29" t="s">
        <v>1873</v>
      </c>
      <c r="E821" s="29" t="s">
        <v>1754</v>
      </c>
      <c r="F821" s="29" t="s">
        <v>1859</v>
      </c>
      <c r="G821" s="29" t="s">
        <v>37</v>
      </c>
      <c r="H821" s="29" t="s">
        <v>66</v>
      </c>
      <c r="I821" s="29" t="s">
        <v>190</v>
      </c>
      <c r="J821" s="29" t="s">
        <v>191</v>
      </c>
      <c r="K821" s="29" t="s">
        <v>298</v>
      </c>
      <c r="L821" s="29" t="s">
        <v>30</v>
      </c>
      <c r="M821" s="29" t="n">
        <v>3609</v>
      </c>
      <c r="N821" s="29" t="n">
        <v>2090</v>
      </c>
      <c r="O821" s="29"/>
      <c r="P821" s="30" t="n">
        <f aca="false">(M821*N821/1000000)*(INDEX(AreaRate_Vals,MATCH(C821,AreaRate_Keys,0))+IFERROR(INDEX(GlazingUpg_Vals,MATCH(H821,GlazingUpg_Keys,0)),0))+INDEX(Hardware_Vals,MATCH("Doors",Hardware_Keys,0))</f>
        <v>21292.7275</v>
      </c>
      <c r="Q821" s="31" t="n">
        <f aca="false">INDEX(Markup_Vals,MATCH("Doors",MarkupCat_Keys,0))</f>
        <v>0.4</v>
      </c>
      <c r="R821" s="32" t="n">
        <f aca="false">P821*(1+Q821)</f>
        <v>29809.8185</v>
      </c>
      <c r="S821" s="32" t="n">
        <f aca="false">R821*(1-TradeDiscount)</f>
        <v>26232.64028</v>
      </c>
      <c r="T821" s="32" t="n">
        <f aca="false">R821*(1-VolumeDiscount)</f>
        <v>23847.8548</v>
      </c>
    </row>
    <row r="822" customFormat="false" ht="15" hidden="false" customHeight="false" outlineLevel="0" collapsed="false">
      <c r="A822" s="25" t="s">
        <v>1874</v>
      </c>
      <c r="B822" s="25" t="s">
        <v>97</v>
      </c>
      <c r="C822" s="25" t="s">
        <v>49</v>
      </c>
      <c r="D822" s="25" t="s">
        <v>1875</v>
      </c>
      <c r="E822" s="25" t="s">
        <v>1754</v>
      </c>
      <c r="F822" s="25" t="s">
        <v>1859</v>
      </c>
      <c r="G822" s="25" t="s">
        <v>39</v>
      </c>
      <c r="H822" s="25" t="s">
        <v>66</v>
      </c>
      <c r="I822" s="25" t="s">
        <v>190</v>
      </c>
      <c r="J822" s="25" t="s">
        <v>191</v>
      </c>
      <c r="K822" s="25" t="s">
        <v>298</v>
      </c>
      <c r="L822" s="25" t="s">
        <v>30</v>
      </c>
      <c r="M822" s="25" t="n">
        <v>3609</v>
      </c>
      <c r="N822" s="25" t="n">
        <v>2090</v>
      </c>
      <c r="O822" s="25"/>
      <c r="P822" s="26" t="n">
        <f aca="false">(M822*N822/1000000)*(INDEX(AreaRate_Vals,MATCH(C822,AreaRate_Keys,0))+IFERROR(INDEX(GlazingUpg_Vals,MATCH(H822,GlazingUpg_Keys,0)),0))+INDEX(Hardware_Vals,MATCH("Doors",Hardware_Keys,0))</f>
        <v>21292.7275</v>
      </c>
      <c r="Q822" s="27" t="n">
        <f aca="false">INDEX(Markup_Vals,MATCH("Doors",MarkupCat_Keys,0))</f>
        <v>0.4</v>
      </c>
      <c r="R822" s="28" t="n">
        <f aca="false">P822*(1+Q822)</f>
        <v>29809.8185</v>
      </c>
      <c r="S822" s="28" t="n">
        <f aca="false">R822*(1-TradeDiscount)</f>
        <v>26232.64028</v>
      </c>
      <c r="T822" s="28" t="n">
        <f aca="false">R822*(1-VolumeDiscount)</f>
        <v>23847.8548</v>
      </c>
    </row>
    <row r="823" customFormat="false" ht="15" hidden="false" customHeight="false" outlineLevel="0" collapsed="false">
      <c r="A823" s="29" t="s">
        <v>1876</v>
      </c>
      <c r="B823" s="29" t="s">
        <v>97</v>
      </c>
      <c r="C823" s="29" t="s">
        <v>49</v>
      </c>
      <c r="D823" s="29" t="s">
        <v>1877</v>
      </c>
      <c r="E823" s="29" t="s">
        <v>1754</v>
      </c>
      <c r="F823" s="29" t="s">
        <v>1859</v>
      </c>
      <c r="G823" s="29" t="s">
        <v>38</v>
      </c>
      <c r="H823" s="29" t="s">
        <v>66</v>
      </c>
      <c r="I823" s="29" t="s">
        <v>190</v>
      </c>
      <c r="J823" s="29" t="s">
        <v>191</v>
      </c>
      <c r="K823" s="29" t="s">
        <v>298</v>
      </c>
      <c r="L823" s="29" t="s">
        <v>30</v>
      </c>
      <c r="M823" s="29" t="n">
        <v>3609</v>
      </c>
      <c r="N823" s="29" t="n">
        <v>2090</v>
      </c>
      <c r="O823" s="29"/>
      <c r="P823" s="30" t="n">
        <f aca="false">(M823*N823/1000000)*(INDEX(AreaRate_Vals,MATCH(C823,AreaRate_Keys,0))+IFERROR(INDEX(GlazingUpg_Vals,MATCH(H823,GlazingUpg_Keys,0)),0))+INDEX(Hardware_Vals,MATCH("Doors",Hardware_Keys,0))</f>
        <v>21292.7275</v>
      </c>
      <c r="Q823" s="31" t="n">
        <f aca="false">INDEX(Markup_Vals,MATCH("Doors",MarkupCat_Keys,0))</f>
        <v>0.4</v>
      </c>
      <c r="R823" s="32" t="n">
        <f aca="false">P823*(1+Q823)</f>
        <v>29809.8185</v>
      </c>
      <c r="S823" s="32" t="n">
        <f aca="false">R823*(1-TradeDiscount)</f>
        <v>26232.64028</v>
      </c>
      <c r="T823" s="32" t="n">
        <f aca="false">R823*(1-VolumeDiscount)</f>
        <v>23847.8548</v>
      </c>
    </row>
    <row r="824" customFormat="false" ht="15" hidden="false" customHeight="false" outlineLevel="0" collapsed="false">
      <c r="A824" s="25" t="s">
        <v>1878</v>
      </c>
      <c r="B824" s="25" t="s">
        <v>97</v>
      </c>
      <c r="C824" s="25" t="s">
        <v>49</v>
      </c>
      <c r="D824" s="25" t="s">
        <v>1879</v>
      </c>
      <c r="E824" s="25" t="s">
        <v>1754</v>
      </c>
      <c r="F824" s="25" t="s">
        <v>1880</v>
      </c>
      <c r="G824" s="25" t="s">
        <v>35</v>
      </c>
      <c r="H824" s="25" t="s">
        <v>65</v>
      </c>
      <c r="I824" s="25" t="s">
        <v>190</v>
      </c>
      <c r="J824" s="25" t="s">
        <v>191</v>
      </c>
      <c r="K824" s="25" t="s">
        <v>298</v>
      </c>
      <c r="L824" s="25" t="s">
        <v>30</v>
      </c>
      <c r="M824" s="25" t="n">
        <v>4209</v>
      </c>
      <c r="N824" s="25" t="n">
        <v>2090</v>
      </c>
      <c r="O824" s="25"/>
      <c r="P824" s="26" t="n">
        <f aca="false">(M824*N824/1000000)*(INDEX(AreaRate_Vals,MATCH(C824,AreaRate_Keys,0))+IFERROR(INDEX(GlazingUpg_Vals,MATCH(H824,GlazingUpg_Keys,0)),0))+INDEX(Hardware_Vals,MATCH("Doors",Hardware_Keys,0))</f>
        <v>18583.4605</v>
      </c>
      <c r="Q824" s="27" t="n">
        <f aca="false">INDEX(Markup_Vals,MATCH("Doors",MarkupCat_Keys,0))</f>
        <v>0.4</v>
      </c>
      <c r="R824" s="28" t="n">
        <f aca="false">P824*(1+Q824)</f>
        <v>26016.8447</v>
      </c>
      <c r="S824" s="28" t="n">
        <f aca="false">R824*(1-TradeDiscount)</f>
        <v>22894.823336</v>
      </c>
      <c r="T824" s="28" t="n">
        <f aca="false">R824*(1-VolumeDiscount)</f>
        <v>20813.47576</v>
      </c>
    </row>
    <row r="825" customFormat="false" ht="15" hidden="false" customHeight="false" outlineLevel="0" collapsed="false">
      <c r="A825" s="29" t="s">
        <v>1881</v>
      </c>
      <c r="B825" s="29" t="s">
        <v>97</v>
      </c>
      <c r="C825" s="29" t="s">
        <v>49</v>
      </c>
      <c r="D825" s="29" t="s">
        <v>1882</v>
      </c>
      <c r="E825" s="29" t="s">
        <v>1754</v>
      </c>
      <c r="F825" s="29" t="s">
        <v>1880</v>
      </c>
      <c r="G825" s="29" t="s">
        <v>36</v>
      </c>
      <c r="H825" s="29" t="s">
        <v>65</v>
      </c>
      <c r="I825" s="29" t="s">
        <v>190</v>
      </c>
      <c r="J825" s="29" t="s">
        <v>191</v>
      </c>
      <c r="K825" s="29" t="s">
        <v>298</v>
      </c>
      <c r="L825" s="29" t="s">
        <v>30</v>
      </c>
      <c r="M825" s="29" t="n">
        <v>4209</v>
      </c>
      <c r="N825" s="29" t="n">
        <v>2090</v>
      </c>
      <c r="O825" s="29"/>
      <c r="P825" s="30" t="n">
        <f aca="false">(M825*N825/1000000)*(INDEX(AreaRate_Vals,MATCH(C825,AreaRate_Keys,0))+IFERROR(INDEX(GlazingUpg_Vals,MATCH(H825,GlazingUpg_Keys,0)),0))+INDEX(Hardware_Vals,MATCH("Doors",Hardware_Keys,0))</f>
        <v>18583.4605</v>
      </c>
      <c r="Q825" s="31" t="n">
        <f aca="false">INDEX(Markup_Vals,MATCH("Doors",MarkupCat_Keys,0))</f>
        <v>0.4</v>
      </c>
      <c r="R825" s="32" t="n">
        <f aca="false">P825*(1+Q825)</f>
        <v>26016.8447</v>
      </c>
      <c r="S825" s="32" t="n">
        <f aca="false">R825*(1-TradeDiscount)</f>
        <v>22894.823336</v>
      </c>
      <c r="T825" s="32" t="n">
        <f aca="false">R825*(1-VolumeDiscount)</f>
        <v>20813.47576</v>
      </c>
    </row>
    <row r="826" customFormat="false" ht="15" hidden="false" customHeight="false" outlineLevel="0" collapsed="false">
      <c r="A826" s="25" t="s">
        <v>1883</v>
      </c>
      <c r="B826" s="25" t="s">
        <v>97</v>
      </c>
      <c r="C826" s="25" t="s">
        <v>49</v>
      </c>
      <c r="D826" s="25" t="s">
        <v>1884</v>
      </c>
      <c r="E826" s="25" t="s">
        <v>1754</v>
      </c>
      <c r="F826" s="25" t="s">
        <v>1880</v>
      </c>
      <c r="G826" s="25" t="s">
        <v>37</v>
      </c>
      <c r="H826" s="25" t="s">
        <v>65</v>
      </c>
      <c r="I826" s="25" t="s">
        <v>190</v>
      </c>
      <c r="J826" s="25" t="s">
        <v>191</v>
      </c>
      <c r="K826" s="25" t="s">
        <v>298</v>
      </c>
      <c r="L826" s="25" t="s">
        <v>30</v>
      </c>
      <c r="M826" s="25" t="n">
        <v>4209</v>
      </c>
      <c r="N826" s="25" t="n">
        <v>2090</v>
      </c>
      <c r="O826" s="25"/>
      <c r="P826" s="26" t="n">
        <f aca="false">(M826*N826/1000000)*(INDEX(AreaRate_Vals,MATCH(C826,AreaRate_Keys,0))+IFERROR(INDEX(GlazingUpg_Vals,MATCH(H826,GlazingUpg_Keys,0)),0))+INDEX(Hardware_Vals,MATCH("Doors",Hardware_Keys,0))</f>
        <v>18583.4605</v>
      </c>
      <c r="Q826" s="27" t="n">
        <f aca="false">INDEX(Markup_Vals,MATCH("Doors",MarkupCat_Keys,0))</f>
        <v>0.4</v>
      </c>
      <c r="R826" s="28" t="n">
        <f aca="false">P826*(1+Q826)</f>
        <v>26016.8447</v>
      </c>
      <c r="S826" s="28" t="n">
        <f aca="false">R826*(1-TradeDiscount)</f>
        <v>22894.823336</v>
      </c>
      <c r="T826" s="28" t="n">
        <f aca="false">R826*(1-VolumeDiscount)</f>
        <v>20813.47576</v>
      </c>
    </row>
    <row r="827" customFormat="false" ht="15" hidden="false" customHeight="false" outlineLevel="0" collapsed="false">
      <c r="A827" s="29" t="s">
        <v>1885</v>
      </c>
      <c r="B827" s="29" t="s">
        <v>97</v>
      </c>
      <c r="C827" s="29" t="s">
        <v>49</v>
      </c>
      <c r="D827" s="29" t="s">
        <v>1886</v>
      </c>
      <c r="E827" s="29" t="s">
        <v>1754</v>
      </c>
      <c r="F827" s="29" t="s">
        <v>1880</v>
      </c>
      <c r="G827" s="29" t="s">
        <v>39</v>
      </c>
      <c r="H827" s="29" t="s">
        <v>65</v>
      </c>
      <c r="I827" s="29" t="s">
        <v>190</v>
      </c>
      <c r="J827" s="29" t="s">
        <v>191</v>
      </c>
      <c r="K827" s="29" t="s">
        <v>298</v>
      </c>
      <c r="L827" s="29" t="s">
        <v>30</v>
      </c>
      <c r="M827" s="29" t="n">
        <v>4209</v>
      </c>
      <c r="N827" s="29" t="n">
        <v>2090</v>
      </c>
      <c r="O827" s="29"/>
      <c r="P827" s="30" t="n">
        <f aca="false">(M827*N827/1000000)*(INDEX(AreaRate_Vals,MATCH(C827,AreaRate_Keys,0))+IFERROR(INDEX(GlazingUpg_Vals,MATCH(H827,GlazingUpg_Keys,0)),0))+INDEX(Hardware_Vals,MATCH("Doors",Hardware_Keys,0))</f>
        <v>18583.4605</v>
      </c>
      <c r="Q827" s="31" t="n">
        <f aca="false">INDEX(Markup_Vals,MATCH("Doors",MarkupCat_Keys,0))</f>
        <v>0.4</v>
      </c>
      <c r="R827" s="32" t="n">
        <f aca="false">P827*(1+Q827)</f>
        <v>26016.8447</v>
      </c>
      <c r="S827" s="32" t="n">
        <f aca="false">R827*(1-TradeDiscount)</f>
        <v>22894.823336</v>
      </c>
      <c r="T827" s="32" t="n">
        <f aca="false">R827*(1-VolumeDiscount)</f>
        <v>20813.47576</v>
      </c>
    </row>
    <row r="828" customFormat="false" ht="15" hidden="false" customHeight="false" outlineLevel="0" collapsed="false">
      <c r="A828" s="25" t="s">
        <v>1887</v>
      </c>
      <c r="B828" s="25" t="s">
        <v>97</v>
      </c>
      <c r="C828" s="25" t="s">
        <v>49</v>
      </c>
      <c r="D828" s="25" t="s">
        <v>1888</v>
      </c>
      <c r="E828" s="25" t="s">
        <v>1754</v>
      </c>
      <c r="F828" s="25" t="s">
        <v>1880</v>
      </c>
      <c r="G828" s="25" t="s">
        <v>38</v>
      </c>
      <c r="H828" s="25" t="s">
        <v>65</v>
      </c>
      <c r="I828" s="25" t="s">
        <v>190</v>
      </c>
      <c r="J828" s="25" t="s">
        <v>191</v>
      </c>
      <c r="K828" s="25" t="s">
        <v>298</v>
      </c>
      <c r="L828" s="25" t="s">
        <v>30</v>
      </c>
      <c r="M828" s="25" t="n">
        <v>4209</v>
      </c>
      <c r="N828" s="25" t="n">
        <v>2090</v>
      </c>
      <c r="O828" s="25"/>
      <c r="P828" s="26" t="n">
        <f aca="false">(M828*N828/1000000)*(INDEX(AreaRate_Vals,MATCH(C828,AreaRate_Keys,0))+IFERROR(INDEX(GlazingUpg_Vals,MATCH(H828,GlazingUpg_Keys,0)),0))+INDEX(Hardware_Vals,MATCH("Doors",Hardware_Keys,0))</f>
        <v>18583.4605</v>
      </c>
      <c r="Q828" s="27" t="n">
        <f aca="false">INDEX(Markup_Vals,MATCH("Doors",MarkupCat_Keys,0))</f>
        <v>0.4</v>
      </c>
      <c r="R828" s="28" t="n">
        <f aca="false">P828*(1+Q828)</f>
        <v>26016.8447</v>
      </c>
      <c r="S828" s="28" t="n">
        <f aca="false">R828*(1-TradeDiscount)</f>
        <v>22894.823336</v>
      </c>
      <c r="T828" s="28" t="n">
        <f aca="false">R828*(1-VolumeDiscount)</f>
        <v>20813.47576</v>
      </c>
    </row>
    <row r="829" customFormat="false" ht="15" hidden="false" customHeight="false" outlineLevel="0" collapsed="false">
      <c r="A829" s="29" t="s">
        <v>1889</v>
      </c>
      <c r="B829" s="29" t="s">
        <v>97</v>
      </c>
      <c r="C829" s="29" t="s">
        <v>49</v>
      </c>
      <c r="D829" s="29" t="s">
        <v>1890</v>
      </c>
      <c r="E829" s="29" t="s">
        <v>1754</v>
      </c>
      <c r="F829" s="29" t="s">
        <v>1880</v>
      </c>
      <c r="G829" s="29" t="s">
        <v>35</v>
      </c>
      <c r="H829" s="29" t="s">
        <v>66</v>
      </c>
      <c r="I829" s="29" t="s">
        <v>190</v>
      </c>
      <c r="J829" s="29" t="s">
        <v>191</v>
      </c>
      <c r="K829" s="29" t="s">
        <v>298</v>
      </c>
      <c r="L829" s="29" t="s">
        <v>30</v>
      </c>
      <c r="M829" s="29" t="n">
        <v>4209</v>
      </c>
      <c r="N829" s="29" t="n">
        <v>2090</v>
      </c>
      <c r="O829" s="29"/>
      <c r="P829" s="30" t="n">
        <f aca="false">(M829*N829/1000000)*(INDEX(AreaRate_Vals,MATCH(C829,AreaRate_Keys,0))+IFERROR(INDEX(GlazingUpg_Vals,MATCH(H829,GlazingUpg_Keys,0)),0))+INDEX(Hardware_Vals,MATCH("Doors",Hardware_Keys,0))</f>
        <v>24741.2275</v>
      </c>
      <c r="Q829" s="31" t="n">
        <f aca="false">INDEX(Markup_Vals,MATCH("Doors",MarkupCat_Keys,0))</f>
        <v>0.4</v>
      </c>
      <c r="R829" s="32" t="n">
        <f aca="false">P829*(1+Q829)</f>
        <v>34637.7185</v>
      </c>
      <c r="S829" s="32" t="n">
        <f aca="false">R829*(1-TradeDiscount)</f>
        <v>30481.19228</v>
      </c>
      <c r="T829" s="32" t="n">
        <f aca="false">R829*(1-VolumeDiscount)</f>
        <v>27710.1748</v>
      </c>
    </row>
    <row r="830" customFormat="false" ht="15" hidden="false" customHeight="false" outlineLevel="0" collapsed="false">
      <c r="A830" s="25" t="s">
        <v>1891</v>
      </c>
      <c r="B830" s="25" t="s">
        <v>97</v>
      </c>
      <c r="C830" s="25" t="s">
        <v>49</v>
      </c>
      <c r="D830" s="25" t="s">
        <v>1892</v>
      </c>
      <c r="E830" s="25" t="s">
        <v>1754</v>
      </c>
      <c r="F830" s="25" t="s">
        <v>1880</v>
      </c>
      <c r="G830" s="25" t="s">
        <v>36</v>
      </c>
      <c r="H830" s="25" t="s">
        <v>66</v>
      </c>
      <c r="I830" s="25" t="s">
        <v>190</v>
      </c>
      <c r="J830" s="25" t="s">
        <v>191</v>
      </c>
      <c r="K830" s="25" t="s">
        <v>298</v>
      </c>
      <c r="L830" s="25" t="s">
        <v>30</v>
      </c>
      <c r="M830" s="25" t="n">
        <v>4209</v>
      </c>
      <c r="N830" s="25" t="n">
        <v>2090</v>
      </c>
      <c r="O830" s="25"/>
      <c r="P830" s="26" t="n">
        <f aca="false">(M830*N830/1000000)*(INDEX(AreaRate_Vals,MATCH(C830,AreaRate_Keys,0))+IFERROR(INDEX(GlazingUpg_Vals,MATCH(H830,GlazingUpg_Keys,0)),0))+INDEX(Hardware_Vals,MATCH("Doors",Hardware_Keys,0))</f>
        <v>24741.2275</v>
      </c>
      <c r="Q830" s="27" t="n">
        <f aca="false">INDEX(Markup_Vals,MATCH("Doors",MarkupCat_Keys,0))</f>
        <v>0.4</v>
      </c>
      <c r="R830" s="28" t="n">
        <f aca="false">P830*(1+Q830)</f>
        <v>34637.7185</v>
      </c>
      <c r="S830" s="28" t="n">
        <f aca="false">R830*(1-TradeDiscount)</f>
        <v>30481.19228</v>
      </c>
      <c r="T830" s="28" t="n">
        <f aca="false">R830*(1-VolumeDiscount)</f>
        <v>27710.1748</v>
      </c>
    </row>
    <row r="831" customFormat="false" ht="15" hidden="false" customHeight="false" outlineLevel="0" collapsed="false">
      <c r="A831" s="29" t="s">
        <v>1893</v>
      </c>
      <c r="B831" s="29" t="s">
        <v>97</v>
      </c>
      <c r="C831" s="29" t="s">
        <v>49</v>
      </c>
      <c r="D831" s="29" t="s">
        <v>1894</v>
      </c>
      <c r="E831" s="29" t="s">
        <v>1754</v>
      </c>
      <c r="F831" s="29" t="s">
        <v>1880</v>
      </c>
      <c r="G831" s="29" t="s">
        <v>37</v>
      </c>
      <c r="H831" s="29" t="s">
        <v>66</v>
      </c>
      <c r="I831" s="29" t="s">
        <v>190</v>
      </c>
      <c r="J831" s="29" t="s">
        <v>191</v>
      </c>
      <c r="K831" s="29" t="s">
        <v>298</v>
      </c>
      <c r="L831" s="29" t="s">
        <v>30</v>
      </c>
      <c r="M831" s="29" t="n">
        <v>4209</v>
      </c>
      <c r="N831" s="29" t="n">
        <v>2090</v>
      </c>
      <c r="O831" s="29"/>
      <c r="P831" s="30" t="n">
        <f aca="false">(M831*N831/1000000)*(INDEX(AreaRate_Vals,MATCH(C831,AreaRate_Keys,0))+IFERROR(INDEX(GlazingUpg_Vals,MATCH(H831,GlazingUpg_Keys,0)),0))+INDEX(Hardware_Vals,MATCH("Doors",Hardware_Keys,0))</f>
        <v>24741.2275</v>
      </c>
      <c r="Q831" s="31" t="n">
        <f aca="false">INDEX(Markup_Vals,MATCH("Doors",MarkupCat_Keys,0))</f>
        <v>0.4</v>
      </c>
      <c r="R831" s="32" t="n">
        <f aca="false">P831*(1+Q831)</f>
        <v>34637.7185</v>
      </c>
      <c r="S831" s="32" t="n">
        <f aca="false">R831*(1-TradeDiscount)</f>
        <v>30481.19228</v>
      </c>
      <c r="T831" s="32" t="n">
        <f aca="false">R831*(1-VolumeDiscount)</f>
        <v>27710.1748</v>
      </c>
    </row>
    <row r="832" customFormat="false" ht="15" hidden="false" customHeight="false" outlineLevel="0" collapsed="false">
      <c r="A832" s="25" t="s">
        <v>1895</v>
      </c>
      <c r="B832" s="25" t="s">
        <v>97</v>
      </c>
      <c r="C832" s="25" t="s">
        <v>49</v>
      </c>
      <c r="D832" s="25" t="s">
        <v>1896</v>
      </c>
      <c r="E832" s="25" t="s">
        <v>1754</v>
      </c>
      <c r="F832" s="25" t="s">
        <v>1880</v>
      </c>
      <c r="G832" s="25" t="s">
        <v>39</v>
      </c>
      <c r="H832" s="25" t="s">
        <v>66</v>
      </c>
      <c r="I832" s="25" t="s">
        <v>190</v>
      </c>
      <c r="J832" s="25" t="s">
        <v>191</v>
      </c>
      <c r="K832" s="25" t="s">
        <v>298</v>
      </c>
      <c r="L832" s="25" t="s">
        <v>30</v>
      </c>
      <c r="M832" s="25" t="n">
        <v>4209</v>
      </c>
      <c r="N832" s="25" t="n">
        <v>2090</v>
      </c>
      <c r="O832" s="25"/>
      <c r="P832" s="26" t="n">
        <f aca="false">(M832*N832/1000000)*(INDEX(AreaRate_Vals,MATCH(C832,AreaRate_Keys,0))+IFERROR(INDEX(GlazingUpg_Vals,MATCH(H832,GlazingUpg_Keys,0)),0))+INDEX(Hardware_Vals,MATCH("Doors",Hardware_Keys,0))</f>
        <v>24741.2275</v>
      </c>
      <c r="Q832" s="27" t="n">
        <f aca="false">INDEX(Markup_Vals,MATCH("Doors",MarkupCat_Keys,0))</f>
        <v>0.4</v>
      </c>
      <c r="R832" s="28" t="n">
        <f aca="false">P832*(1+Q832)</f>
        <v>34637.7185</v>
      </c>
      <c r="S832" s="28" t="n">
        <f aca="false">R832*(1-TradeDiscount)</f>
        <v>30481.19228</v>
      </c>
      <c r="T832" s="28" t="n">
        <f aca="false">R832*(1-VolumeDiscount)</f>
        <v>27710.1748</v>
      </c>
    </row>
    <row r="833" customFormat="false" ht="15" hidden="false" customHeight="false" outlineLevel="0" collapsed="false">
      <c r="A833" s="29" t="s">
        <v>1897</v>
      </c>
      <c r="B833" s="29" t="s">
        <v>97</v>
      </c>
      <c r="C833" s="29" t="s">
        <v>49</v>
      </c>
      <c r="D833" s="29" t="s">
        <v>1898</v>
      </c>
      <c r="E833" s="29" t="s">
        <v>1754</v>
      </c>
      <c r="F833" s="29" t="s">
        <v>1880</v>
      </c>
      <c r="G833" s="29" t="s">
        <v>38</v>
      </c>
      <c r="H833" s="29" t="s">
        <v>66</v>
      </c>
      <c r="I833" s="29" t="s">
        <v>190</v>
      </c>
      <c r="J833" s="29" t="s">
        <v>191</v>
      </c>
      <c r="K833" s="29" t="s">
        <v>298</v>
      </c>
      <c r="L833" s="29" t="s">
        <v>30</v>
      </c>
      <c r="M833" s="29" t="n">
        <v>4209</v>
      </c>
      <c r="N833" s="29" t="n">
        <v>2090</v>
      </c>
      <c r="O833" s="29"/>
      <c r="P833" s="30" t="n">
        <f aca="false">(M833*N833/1000000)*(INDEX(AreaRate_Vals,MATCH(C833,AreaRate_Keys,0))+IFERROR(INDEX(GlazingUpg_Vals,MATCH(H833,GlazingUpg_Keys,0)),0))+INDEX(Hardware_Vals,MATCH("Doors",Hardware_Keys,0))</f>
        <v>24741.2275</v>
      </c>
      <c r="Q833" s="31" t="n">
        <f aca="false">INDEX(Markup_Vals,MATCH("Doors",MarkupCat_Keys,0))</f>
        <v>0.4</v>
      </c>
      <c r="R833" s="32" t="n">
        <f aca="false">P833*(1+Q833)</f>
        <v>34637.7185</v>
      </c>
      <c r="S833" s="32" t="n">
        <f aca="false">R833*(1-TradeDiscount)</f>
        <v>30481.19228</v>
      </c>
      <c r="T833" s="32" t="n">
        <f aca="false">R833*(1-VolumeDiscount)</f>
        <v>27710.1748</v>
      </c>
    </row>
    <row r="834" customFormat="false" ht="15" hidden="false" customHeight="false" outlineLevel="0" collapsed="false">
      <c r="A834" s="25" t="s">
        <v>1899</v>
      </c>
      <c r="B834" s="25" t="s">
        <v>97</v>
      </c>
      <c r="C834" s="25" t="s">
        <v>49</v>
      </c>
      <c r="D834" s="25" t="s">
        <v>1900</v>
      </c>
      <c r="E834" s="25" t="s">
        <v>1754</v>
      </c>
      <c r="F834" s="25" t="s">
        <v>1901</v>
      </c>
      <c r="G834" s="25" t="s">
        <v>35</v>
      </c>
      <c r="H834" s="25" t="s">
        <v>65</v>
      </c>
      <c r="I834" s="25" t="s">
        <v>190</v>
      </c>
      <c r="J834" s="25" t="s">
        <v>191</v>
      </c>
      <c r="K834" s="25" t="s">
        <v>298</v>
      </c>
      <c r="L834" s="25" t="s">
        <v>30</v>
      </c>
      <c r="M834" s="25" t="n">
        <v>4809</v>
      </c>
      <c r="N834" s="25" t="n">
        <v>2090</v>
      </c>
      <c r="O834" s="25"/>
      <c r="P834" s="26" t="n">
        <f aca="false">(M834*N834/1000000)*(INDEX(AreaRate_Vals,MATCH(C834,AreaRate_Keys,0))+IFERROR(INDEX(GlazingUpg_Vals,MATCH(H834,GlazingUpg_Keys,0)),0))+INDEX(Hardware_Vals,MATCH("Doors",Hardware_Keys,0))</f>
        <v>21154.1605</v>
      </c>
      <c r="Q834" s="27" t="n">
        <f aca="false">INDEX(Markup_Vals,MATCH("Doors",MarkupCat_Keys,0))</f>
        <v>0.4</v>
      </c>
      <c r="R834" s="28" t="n">
        <f aca="false">P834*(1+Q834)</f>
        <v>29615.8247</v>
      </c>
      <c r="S834" s="28" t="n">
        <f aca="false">R834*(1-TradeDiscount)</f>
        <v>26061.925736</v>
      </c>
      <c r="T834" s="28" t="n">
        <f aca="false">R834*(1-VolumeDiscount)</f>
        <v>23692.65976</v>
      </c>
    </row>
    <row r="835" customFormat="false" ht="15" hidden="false" customHeight="false" outlineLevel="0" collapsed="false">
      <c r="A835" s="29" t="s">
        <v>1902</v>
      </c>
      <c r="B835" s="29" t="s">
        <v>97</v>
      </c>
      <c r="C835" s="29" t="s">
        <v>49</v>
      </c>
      <c r="D835" s="29" t="s">
        <v>1903</v>
      </c>
      <c r="E835" s="29" t="s">
        <v>1754</v>
      </c>
      <c r="F835" s="29" t="s">
        <v>1901</v>
      </c>
      <c r="G835" s="29" t="s">
        <v>36</v>
      </c>
      <c r="H835" s="29" t="s">
        <v>65</v>
      </c>
      <c r="I835" s="29" t="s">
        <v>190</v>
      </c>
      <c r="J835" s="29" t="s">
        <v>191</v>
      </c>
      <c r="K835" s="29" t="s">
        <v>298</v>
      </c>
      <c r="L835" s="29" t="s">
        <v>30</v>
      </c>
      <c r="M835" s="29" t="n">
        <v>4809</v>
      </c>
      <c r="N835" s="29" t="n">
        <v>2090</v>
      </c>
      <c r="O835" s="29"/>
      <c r="P835" s="30" t="n">
        <f aca="false">(M835*N835/1000000)*(INDEX(AreaRate_Vals,MATCH(C835,AreaRate_Keys,0))+IFERROR(INDEX(GlazingUpg_Vals,MATCH(H835,GlazingUpg_Keys,0)),0))+INDEX(Hardware_Vals,MATCH("Doors",Hardware_Keys,0))</f>
        <v>21154.1605</v>
      </c>
      <c r="Q835" s="31" t="n">
        <f aca="false">INDEX(Markup_Vals,MATCH("Doors",MarkupCat_Keys,0))</f>
        <v>0.4</v>
      </c>
      <c r="R835" s="32" t="n">
        <f aca="false">P835*(1+Q835)</f>
        <v>29615.8247</v>
      </c>
      <c r="S835" s="32" t="n">
        <f aca="false">R835*(1-TradeDiscount)</f>
        <v>26061.925736</v>
      </c>
      <c r="T835" s="32" t="n">
        <f aca="false">R835*(1-VolumeDiscount)</f>
        <v>23692.65976</v>
      </c>
    </row>
    <row r="836" customFormat="false" ht="15" hidden="false" customHeight="false" outlineLevel="0" collapsed="false">
      <c r="A836" s="25" t="s">
        <v>1904</v>
      </c>
      <c r="B836" s="25" t="s">
        <v>97</v>
      </c>
      <c r="C836" s="25" t="s">
        <v>49</v>
      </c>
      <c r="D836" s="25" t="s">
        <v>1905</v>
      </c>
      <c r="E836" s="25" t="s">
        <v>1754</v>
      </c>
      <c r="F836" s="25" t="s">
        <v>1901</v>
      </c>
      <c r="G836" s="25" t="s">
        <v>37</v>
      </c>
      <c r="H836" s="25" t="s">
        <v>65</v>
      </c>
      <c r="I836" s="25" t="s">
        <v>190</v>
      </c>
      <c r="J836" s="25" t="s">
        <v>191</v>
      </c>
      <c r="K836" s="25" t="s">
        <v>298</v>
      </c>
      <c r="L836" s="25" t="s">
        <v>30</v>
      </c>
      <c r="M836" s="25" t="n">
        <v>4809</v>
      </c>
      <c r="N836" s="25" t="n">
        <v>2090</v>
      </c>
      <c r="O836" s="25"/>
      <c r="P836" s="26" t="n">
        <f aca="false">(M836*N836/1000000)*(INDEX(AreaRate_Vals,MATCH(C836,AreaRate_Keys,0))+IFERROR(INDEX(GlazingUpg_Vals,MATCH(H836,GlazingUpg_Keys,0)),0))+INDEX(Hardware_Vals,MATCH("Doors",Hardware_Keys,0))</f>
        <v>21154.1605</v>
      </c>
      <c r="Q836" s="27" t="n">
        <f aca="false">INDEX(Markup_Vals,MATCH("Doors",MarkupCat_Keys,0))</f>
        <v>0.4</v>
      </c>
      <c r="R836" s="28" t="n">
        <f aca="false">P836*(1+Q836)</f>
        <v>29615.8247</v>
      </c>
      <c r="S836" s="28" t="n">
        <f aca="false">R836*(1-TradeDiscount)</f>
        <v>26061.925736</v>
      </c>
      <c r="T836" s="28" t="n">
        <f aca="false">R836*(1-VolumeDiscount)</f>
        <v>23692.65976</v>
      </c>
    </row>
    <row r="837" customFormat="false" ht="15" hidden="false" customHeight="false" outlineLevel="0" collapsed="false">
      <c r="A837" s="29" t="s">
        <v>1906</v>
      </c>
      <c r="B837" s="29" t="s">
        <v>97</v>
      </c>
      <c r="C837" s="29" t="s">
        <v>49</v>
      </c>
      <c r="D837" s="29" t="s">
        <v>1907</v>
      </c>
      <c r="E837" s="29" t="s">
        <v>1754</v>
      </c>
      <c r="F837" s="29" t="s">
        <v>1901</v>
      </c>
      <c r="G837" s="29" t="s">
        <v>39</v>
      </c>
      <c r="H837" s="29" t="s">
        <v>65</v>
      </c>
      <c r="I837" s="29" t="s">
        <v>190</v>
      </c>
      <c r="J837" s="29" t="s">
        <v>191</v>
      </c>
      <c r="K837" s="29" t="s">
        <v>298</v>
      </c>
      <c r="L837" s="29" t="s">
        <v>30</v>
      </c>
      <c r="M837" s="29" t="n">
        <v>4809</v>
      </c>
      <c r="N837" s="29" t="n">
        <v>2090</v>
      </c>
      <c r="O837" s="29"/>
      <c r="P837" s="30" t="n">
        <f aca="false">(M837*N837/1000000)*(INDEX(AreaRate_Vals,MATCH(C837,AreaRate_Keys,0))+IFERROR(INDEX(GlazingUpg_Vals,MATCH(H837,GlazingUpg_Keys,0)),0))+INDEX(Hardware_Vals,MATCH("Doors",Hardware_Keys,0))</f>
        <v>21154.1605</v>
      </c>
      <c r="Q837" s="31" t="n">
        <f aca="false">INDEX(Markup_Vals,MATCH("Doors",MarkupCat_Keys,0))</f>
        <v>0.4</v>
      </c>
      <c r="R837" s="32" t="n">
        <f aca="false">P837*(1+Q837)</f>
        <v>29615.8247</v>
      </c>
      <c r="S837" s="32" t="n">
        <f aca="false">R837*(1-TradeDiscount)</f>
        <v>26061.925736</v>
      </c>
      <c r="T837" s="32" t="n">
        <f aca="false">R837*(1-VolumeDiscount)</f>
        <v>23692.65976</v>
      </c>
    </row>
    <row r="838" customFormat="false" ht="15" hidden="false" customHeight="false" outlineLevel="0" collapsed="false">
      <c r="A838" s="25" t="s">
        <v>1908</v>
      </c>
      <c r="B838" s="25" t="s">
        <v>97</v>
      </c>
      <c r="C838" s="25" t="s">
        <v>49</v>
      </c>
      <c r="D838" s="25" t="s">
        <v>1909</v>
      </c>
      <c r="E838" s="25" t="s">
        <v>1754</v>
      </c>
      <c r="F838" s="25" t="s">
        <v>1901</v>
      </c>
      <c r="G838" s="25" t="s">
        <v>38</v>
      </c>
      <c r="H838" s="25" t="s">
        <v>65</v>
      </c>
      <c r="I838" s="25" t="s">
        <v>190</v>
      </c>
      <c r="J838" s="25" t="s">
        <v>191</v>
      </c>
      <c r="K838" s="25" t="s">
        <v>298</v>
      </c>
      <c r="L838" s="25" t="s">
        <v>30</v>
      </c>
      <c r="M838" s="25" t="n">
        <v>4809</v>
      </c>
      <c r="N838" s="25" t="n">
        <v>2090</v>
      </c>
      <c r="O838" s="25"/>
      <c r="P838" s="26" t="n">
        <f aca="false">(M838*N838/1000000)*(INDEX(AreaRate_Vals,MATCH(C838,AreaRate_Keys,0))+IFERROR(INDEX(GlazingUpg_Vals,MATCH(H838,GlazingUpg_Keys,0)),0))+INDEX(Hardware_Vals,MATCH("Doors",Hardware_Keys,0))</f>
        <v>21154.1605</v>
      </c>
      <c r="Q838" s="27" t="n">
        <f aca="false">INDEX(Markup_Vals,MATCH("Doors",MarkupCat_Keys,0))</f>
        <v>0.4</v>
      </c>
      <c r="R838" s="28" t="n">
        <f aca="false">P838*(1+Q838)</f>
        <v>29615.8247</v>
      </c>
      <c r="S838" s="28" t="n">
        <f aca="false">R838*(1-TradeDiscount)</f>
        <v>26061.925736</v>
      </c>
      <c r="T838" s="28" t="n">
        <f aca="false">R838*(1-VolumeDiscount)</f>
        <v>23692.65976</v>
      </c>
    </row>
    <row r="839" customFormat="false" ht="15" hidden="false" customHeight="false" outlineLevel="0" collapsed="false">
      <c r="A839" s="29" t="s">
        <v>1910</v>
      </c>
      <c r="B839" s="29" t="s">
        <v>97</v>
      </c>
      <c r="C839" s="29" t="s">
        <v>49</v>
      </c>
      <c r="D839" s="29" t="s">
        <v>1911</v>
      </c>
      <c r="E839" s="29" t="s">
        <v>1754</v>
      </c>
      <c r="F839" s="29" t="s">
        <v>1901</v>
      </c>
      <c r="G839" s="29" t="s">
        <v>35</v>
      </c>
      <c r="H839" s="29" t="s">
        <v>66</v>
      </c>
      <c r="I839" s="29" t="s">
        <v>190</v>
      </c>
      <c r="J839" s="29" t="s">
        <v>191</v>
      </c>
      <c r="K839" s="29" t="s">
        <v>298</v>
      </c>
      <c r="L839" s="29" t="s">
        <v>30</v>
      </c>
      <c r="M839" s="29" t="n">
        <v>4809</v>
      </c>
      <c r="N839" s="29" t="n">
        <v>2090</v>
      </c>
      <c r="O839" s="29"/>
      <c r="P839" s="30" t="n">
        <f aca="false">(M839*N839/1000000)*(INDEX(AreaRate_Vals,MATCH(C839,AreaRate_Keys,0))+IFERROR(INDEX(GlazingUpg_Vals,MATCH(H839,GlazingUpg_Keys,0)),0))+INDEX(Hardware_Vals,MATCH("Doors",Hardware_Keys,0))</f>
        <v>28189.7275</v>
      </c>
      <c r="Q839" s="31" t="n">
        <f aca="false">INDEX(Markup_Vals,MATCH("Doors",MarkupCat_Keys,0))</f>
        <v>0.4</v>
      </c>
      <c r="R839" s="32" t="n">
        <f aca="false">P839*(1+Q839)</f>
        <v>39465.6185</v>
      </c>
      <c r="S839" s="32" t="n">
        <f aca="false">R839*(1-TradeDiscount)</f>
        <v>34729.74428</v>
      </c>
      <c r="T839" s="32" t="n">
        <f aca="false">R839*(1-VolumeDiscount)</f>
        <v>31572.4948</v>
      </c>
    </row>
    <row r="840" customFormat="false" ht="15" hidden="false" customHeight="false" outlineLevel="0" collapsed="false">
      <c r="A840" s="25" t="s">
        <v>1912</v>
      </c>
      <c r="B840" s="25" t="s">
        <v>97</v>
      </c>
      <c r="C840" s="25" t="s">
        <v>49</v>
      </c>
      <c r="D840" s="25" t="s">
        <v>1913</v>
      </c>
      <c r="E840" s="25" t="s">
        <v>1754</v>
      </c>
      <c r="F840" s="25" t="s">
        <v>1901</v>
      </c>
      <c r="G840" s="25" t="s">
        <v>36</v>
      </c>
      <c r="H840" s="25" t="s">
        <v>66</v>
      </c>
      <c r="I840" s="25" t="s">
        <v>190</v>
      </c>
      <c r="J840" s="25" t="s">
        <v>191</v>
      </c>
      <c r="K840" s="25" t="s">
        <v>298</v>
      </c>
      <c r="L840" s="25" t="s">
        <v>30</v>
      </c>
      <c r="M840" s="25" t="n">
        <v>4809</v>
      </c>
      <c r="N840" s="25" t="n">
        <v>2090</v>
      </c>
      <c r="O840" s="25"/>
      <c r="P840" s="26" t="n">
        <f aca="false">(M840*N840/1000000)*(INDEX(AreaRate_Vals,MATCH(C840,AreaRate_Keys,0))+IFERROR(INDEX(GlazingUpg_Vals,MATCH(H840,GlazingUpg_Keys,0)),0))+INDEX(Hardware_Vals,MATCH("Doors",Hardware_Keys,0))</f>
        <v>28189.7275</v>
      </c>
      <c r="Q840" s="27" t="n">
        <f aca="false">INDEX(Markup_Vals,MATCH("Doors",MarkupCat_Keys,0))</f>
        <v>0.4</v>
      </c>
      <c r="R840" s="28" t="n">
        <f aca="false">P840*(1+Q840)</f>
        <v>39465.6185</v>
      </c>
      <c r="S840" s="28" t="n">
        <f aca="false">R840*(1-TradeDiscount)</f>
        <v>34729.74428</v>
      </c>
      <c r="T840" s="28" t="n">
        <f aca="false">R840*(1-VolumeDiscount)</f>
        <v>31572.4948</v>
      </c>
    </row>
    <row r="841" customFormat="false" ht="15" hidden="false" customHeight="false" outlineLevel="0" collapsed="false">
      <c r="A841" s="29" t="s">
        <v>1914</v>
      </c>
      <c r="B841" s="29" t="s">
        <v>97</v>
      </c>
      <c r="C841" s="29" t="s">
        <v>49</v>
      </c>
      <c r="D841" s="29" t="s">
        <v>1915</v>
      </c>
      <c r="E841" s="29" t="s">
        <v>1754</v>
      </c>
      <c r="F841" s="29" t="s">
        <v>1901</v>
      </c>
      <c r="G841" s="29" t="s">
        <v>37</v>
      </c>
      <c r="H841" s="29" t="s">
        <v>66</v>
      </c>
      <c r="I841" s="29" t="s">
        <v>190</v>
      </c>
      <c r="J841" s="29" t="s">
        <v>191</v>
      </c>
      <c r="K841" s="29" t="s">
        <v>298</v>
      </c>
      <c r="L841" s="29" t="s">
        <v>30</v>
      </c>
      <c r="M841" s="29" t="n">
        <v>4809</v>
      </c>
      <c r="N841" s="29" t="n">
        <v>2090</v>
      </c>
      <c r="O841" s="29"/>
      <c r="P841" s="30" t="n">
        <f aca="false">(M841*N841/1000000)*(INDEX(AreaRate_Vals,MATCH(C841,AreaRate_Keys,0))+IFERROR(INDEX(GlazingUpg_Vals,MATCH(H841,GlazingUpg_Keys,0)),0))+INDEX(Hardware_Vals,MATCH("Doors",Hardware_Keys,0))</f>
        <v>28189.7275</v>
      </c>
      <c r="Q841" s="31" t="n">
        <f aca="false">INDEX(Markup_Vals,MATCH("Doors",MarkupCat_Keys,0))</f>
        <v>0.4</v>
      </c>
      <c r="R841" s="32" t="n">
        <f aca="false">P841*(1+Q841)</f>
        <v>39465.6185</v>
      </c>
      <c r="S841" s="32" t="n">
        <f aca="false">R841*(1-TradeDiscount)</f>
        <v>34729.74428</v>
      </c>
      <c r="T841" s="32" t="n">
        <f aca="false">R841*(1-VolumeDiscount)</f>
        <v>31572.4948</v>
      </c>
    </row>
    <row r="842" customFormat="false" ht="15" hidden="false" customHeight="false" outlineLevel="0" collapsed="false">
      <c r="A842" s="25" t="s">
        <v>1916</v>
      </c>
      <c r="B842" s="25" t="s">
        <v>97</v>
      </c>
      <c r="C842" s="25" t="s">
        <v>49</v>
      </c>
      <c r="D842" s="25" t="s">
        <v>1917</v>
      </c>
      <c r="E842" s="25" t="s">
        <v>1754</v>
      </c>
      <c r="F842" s="25" t="s">
        <v>1901</v>
      </c>
      <c r="G842" s="25" t="s">
        <v>39</v>
      </c>
      <c r="H842" s="25" t="s">
        <v>66</v>
      </c>
      <c r="I842" s="25" t="s">
        <v>190</v>
      </c>
      <c r="J842" s="25" t="s">
        <v>191</v>
      </c>
      <c r="K842" s="25" t="s">
        <v>298</v>
      </c>
      <c r="L842" s="25" t="s">
        <v>30</v>
      </c>
      <c r="M842" s="25" t="n">
        <v>4809</v>
      </c>
      <c r="N842" s="25" t="n">
        <v>2090</v>
      </c>
      <c r="O842" s="25"/>
      <c r="P842" s="26" t="n">
        <f aca="false">(M842*N842/1000000)*(INDEX(AreaRate_Vals,MATCH(C842,AreaRate_Keys,0))+IFERROR(INDEX(GlazingUpg_Vals,MATCH(H842,GlazingUpg_Keys,0)),0))+INDEX(Hardware_Vals,MATCH("Doors",Hardware_Keys,0))</f>
        <v>28189.7275</v>
      </c>
      <c r="Q842" s="27" t="n">
        <f aca="false">INDEX(Markup_Vals,MATCH("Doors",MarkupCat_Keys,0))</f>
        <v>0.4</v>
      </c>
      <c r="R842" s="28" t="n">
        <f aca="false">P842*(1+Q842)</f>
        <v>39465.6185</v>
      </c>
      <c r="S842" s="28" t="n">
        <f aca="false">R842*(1-TradeDiscount)</f>
        <v>34729.74428</v>
      </c>
      <c r="T842" s="28" t="n">
        <f aca="false">R842*(1-VolumeDiscount)</f>
        <v>31572.4948</v>
      </c>
    </row>
    <row r="843" customFormat="false" ht="15" hidden="false" customHeight="false" outlineLevel="0" collapsed="false">
      <c r="A843" s="29" t="s">
        <v>1918</v>
      </c>
      <c r="B843" s="29" t="s">
        <v>97</v>
      </c>
      <c r="C843" s="29" t="s">
        <v>49</v>
      </c>
      <c r="D843" s="29" t="s">
        <v>1919</v>
      </c>
      <c r="E843" s="29" t="s">
        <v>1754</v>
      </c>
      <c r="F843" s="29" t="s">
        <v>1901</v>
      </c>
      <c r="G843" s="29" t="s">
        <v>38</v>
      </c>
      <c r="H843" s="29" t="s">
        <v>66</v>
      </c>
      <c r="I843" s="29" t="s">
        <v>190</v>
      </c>
      <c r="J843" s="29" t="s">
        <v>191</v>
      </c>
      <c r="K843" s="29" t="s">
        <v>298</v>
      </c>
      <c r="L843" s="29" t="s">
        <v>30</v>
      </c>
      <c r="M843" s="29" t="n">
        <v>4809</v>
      </c>
      <c r="N843" s="29" t="n">
        <v>2090</v>
      </c>
      <c r="O843" s="29"/>
      <c r="P843" s="30" t="n">
        <f aca="false">(M843*N843/1000000)*(INDEX(AreaRate_Vals,MATCH(C843,AreaRate_Keys,0))+IFERROR(INDEX(GlazingUpg_Vals,MATCH(H843,GlazingUpg_Keys,0)),0))+INDEX(Hardware_Vals,MATCH("Doors",Hardware_Keys,0))</f>
        <v>28189.7275</v>
      </c>
      <c r="Q843" s="31" t="n">
        <f aca="false">INDEX(Markup_Vals,MATCH("Doors",MarkupCat_Keys,0))</f>
        <v>0.4</v>
      </c>
      <c r="R843" s="32" t="n">
        <f aca="false">P843*(1+Q843)</f>
        <v>39465.6185</v>
      </c>
      <c r="S843" s="32" t="n">
        <f aca="false">R843*(1-TradeDiscount)</f>
        <v>34729.74428</v>
      </c>
      <c r="T843" s="32" t="n">
        <f aca="false">R843*(1-VolumeDiscount)</f>
        <v>31572.4948</v>
      </c>
    </row>
    <row r="844" customFormat="false" ht="15" hidden="false" customHeight="false" outlineLevel="0" collapsed="false">
      <c r="A844" s="25" t="s">
        <v>1920</v>
      </c>
      <c r="B844" s="25" t="s">
        <v>97</v>
      </c>
      <c r="C844" s="25" t="s">
        <v>49</v>
      </c>
      <c r="D844" s="25" t="s">
        <v>1921</v>
      </c>
      <c r="E844" s="25" t="s">
        <v>1922</v>
      </c>
      <c r="F844" s="25" t="s">
        <v>1632</v>
      </c>
      <c r="G844" s="25" t="s">
        <v>35</v>
      </c>
      <c r="H844" s="25" t="s">
        <v>65</v>
      </c>
      <c r="I844" s="25" t="s">
        <v>190</v>
      </c>
      <c r="J844" s="25" t="s">
        <v>191</v>
      </c>
      <c r="K844" s="25" t="s">
        <v>192</v>
      </c>
      <c r="L844" s="25" t="s">
        <v>30</v>
      </c>
      <c r="M844" s="25" t="n">
        <v>1809</v>
      </c>
      <c r="N844" s="25" t="n">
        <v>2009</v>
      </c>
      <c r="O844" s="25"/>
      <c r="P844" s="26" t="n">
        <f aca="false">(M844*N844/1000000)*(INDEX(AreaRate_Vals,MATCH(C844,AreaRate_Keys,0))+IFERROR(INDEX(GlazingUpg_Vals,MATCH(H844,GlazingUpg_Keys,0)),0))+INDEX(Hardware_Vals,MATCH("Doors",Hardware_Keys,0))</f>
        <v>8000.27605</v>
      </c>
      <c r="Q844" s="27" t="n">
        <f aca="false">INDEX(Markup_Vals,MATCH("Doors",MarkupCat_Keys,0))</f>
        <v>0.4</v>
      </c>
      <c r="R844" s="28" t="n">
        <f aca="false">P844*(1+Q844)</f>
        <v>11200.38647</v>
      </c>
      <c r="S844" s="28" t="n">
        <f aca="false">R844*(1-TradeDiscount)</f>
        <v>9856.3400936</v>
      </c>
      <c r="T844" s="28" t="n">
        <f aca="false">R844*(1-VolumeDiscount)</f>
        <v>8960.309176</v>
      </c>
    </row>
    <row r="845" customFormat="false" ht="15" hidden="false" customHeight="false" outlineLevel="0" collapsed="false">
      <c r="A845" s="29" t="s">
        <v>1923</v>
      </c>
      <c r="B845" s="29" t="s">
        <v>97</v>
      </c>
      <c r="C845" s="29" t="s">
        <v>49</v>
      </c>
      <c r="D845" s="29" t="s">
        <v>1924</v>
      </c>
      <c r="E845" s="29" t="s">
        <v>1922</v>
      </c>
      <c r="F845" s="29" t="s">
        <v>1632</v>
      </c>
      <c r="G845" s="29" t="s">
        <v>36</v>
      </c>
      <c r="H845" s="29" t="s">
        <v>65</v>
      </c>
      <c r="I845" s="29" t="s">
        <v>190</v>
      </c>
      <c r="J845" s="29" t="s">
        <v>191</v>
      </c>
      <c r="K845" s="29" t="s">
        <v>192</v>
      </c>
      <c r="L845" s="29" t="s">
        <v>30</v>
      </c>
      <c r="M845" s="29" t="n">
        <v>1809</v>
      </c>
      <c r="N845" s="29" t="n">
        <v>2009</v>
      </c>
      <c r="O845" s="29"/>
      <c r="P845" s="30" t="n">
        <f aca="false">(M845*N845/1000000)*(INDEX(AreaRate_Vals,MATCH(C845,AreaRate_Keys,0))+IFERROR(INDEX(GlazingUpg_Vals,MATCH(H845,GlazingUpg_Keys,0)),0))+INDEX(Hardware_Vals,MATCH("Doors",Hardware_Keys,0))</f>
        <v>8000.27605</v>
      </c>
      <c r="Q845" s="31" t="n">
        <f aca="false">INDEX(Markup_Vals,MATCH("Doors",MarkupCat_Keys,0))</f>
        <v>0.4</v>
      </c>
      <c r="R845" s="32" t="n">
        <f aca="false">P845*(1+Q845)</f>
        <v>11200.38647</v>
      </c>
      <c r="S845" s="32" t="n">
        <f aca="false">R845*(1-TradeDiscount)</f>
        <v>9856.3400936</v>
      </c>
      <c r="T845" s="32" t="n">
        <f aca="false">R845*(1-VolumeDiscount)</f>
        <v>8960.309176</v>
      </c>
    </row>
    <row r="846" customFormat="false" ht="15" hidden="false" customHeight="false" outlineLevel="0" collapsed="false">
      <c r="A846" s="25" t="s">
        <v>1925</v>
      </c>
      <c r="B846" s="25" t="s">
        <v>97</v>
      </c>
      <c r="C846" s="25" t="s">
        <v>49</v>
      </c>
      <c r="D846" s="25" t="s">
        <v>1926</v>
      </c>
      <c r="E846" s="25" t="s">
        <v>1922</v>
      </c>
      <c r="F846" s="25" t="s">
        <v>1632</v>
      </c>
      <c r="G846" s="25" t="s">
        <v>37</v>
      </c>
      <c r="H846" s="25" t="s">
        <v>65</v>
      </c>
      <c r="I846" s="25" t="s">
        <v>190</v>
      </c>
      <c r="J846" s="25" t="s">
        <v>191</v>
      </c>
      <c r="K846" s="25" t="s">
        <v>192</v>
      </c>
      <c r="L846" s="25" t="s">
        <v>30</v>
      </c>
      <c r="M846" s="25" t="n">
        <v>1809</v>
      </c>
      <c r="N846" s="25" t="n">
        <v>2009</v>
      </c>
      <c r="O846" s="25"/>
      <c r="P846" s="26" t="n">
        <f aca="false">(M846*N846/1000000)*(INDEX(AreaRate_Vals,MATCH(C846,AreaRate_Keys,0))+IFERROR(INDEX(GlazingUpg_Vals,MATCH(H846,GlazingUpg_Keys,0)),0))+INDEX(Hardware_Vals,MATCH("Doors",Hardware_Keys,0))</f>
        <v>8000.27605</v>
      </c>
      <c r="Q846" s="27" t="n">
        <f aca="false">INDEX(Markup_Vals,MATCH("Doors",MarkupCat_Keys,0))</f>
        <v>0.4</v>
      </c>
      <c r="R846" s="28" t="n">
        <f aca="false">P846*(1+Q846)</f>
        <v>11200.38647</v>
      </c>
      <c r="S846" s="28" t="n">
        <f aca="false">R846*(1-TradeDiscount)</f>
        <v>9856.3400936</v>
      </c>
      <c r="T846" s="28" t="n">
        <f aca="false">R846*(1-VolumeDiscount)</f>
        <v>8960.309176</v>
      </c>
    </row>
    <row r="847" customFormat="false" ht="15" hidden="false" customHeight="false" outlineLevel="0" collapsed="false">
      <c r="A847" s="29" t="s">
        <v>1927</v>
      </c>
      <c r="B847" s="29" t="s">
        <v>97</v>
      </c>
      <c r="C847" s="29" t="s">
        <v>49</v>
      </c>
      <c r="D847" s="29" t="s">
        <v>1928</v>
      </c>
      <c r="E847" s="29" t="s">
        <v>1922</v>
      </c>
      <c r="F847" s="29" t="s">
        <v>1632</v>
      </c>
      <c r="G847" s="29" t="s">
        <v>39</v>
      </c>
      <c r="H847" s="29" t="s">
        <v>65</v>
      </c>
      <c r="I847" s="29" t="s">
        <v>190</v>
      </c>
      <c r="J847" s="29" t="s">
        <v>191</v>
      </c>
      <c r="K847" s="29" t="s">
        <v>192</v>
      </c>
      <c r="L847" s="29" t="s">
        <v>30</v>
      </c>
      <c r="M847" s="29" t="n">
        <v>1809</v>
      </c>
      <c r="N847" s="29" t="n">
        <v>2009</v>
      </c>
      <c r="O847" s="29"/>
      <c r="P847" s="30" t="n">
        <f aca="false">(M847*N847/1000000)*(INDEX(AreaRate_Vals,MATCH(C847,AreaRate_Keys,0))+IFERROR(INDEX(GlazingUpg_Vals,MATCH(H847,GlazingUpg_Keys,0)),0))+INDEX(Hardware_Vals,MATCH("Doors",Hardware_Keys,0))</f>
        <v>8000.27605</v>
      </c>
      <c r="Q847" s="31" t="n">
        <f aca="false">INDEX(Markup_Vals,MATCH("Doors",MarkupCat_Keys,0))</f>
        <v>0.4</v>
      </c>
      <c r="R847" s="32" t="n">
        <f aca="false">P847*(1+Q847)</f>
        <v>11200.38647</v>
      </c>
      <c r="S847" s="32" t="n">
        <f aca="false">R847*(1-TradeDiscount)</f>
        <v>9856.3400936</v>
      </c>
      <c r="T847" s="32" t="n">
        <f aca="false">R847*(1-VolumeDiscount)</f>
        <v>8960.309176</v>
      </c>
    </row>
    <row r="848" customFormat="false" ht="15" hidden="false" customHeight="false" outlineLevel="0" collapsed="false">
      <c r="A848" s="25" t="s">
        <v>1929</v>
      </c>
      <c r="B848" s="25" t="s">
        <v>97</v>
      </c>
      <c r="C848" s="25" t="s">
        <v>49</v>
      </c>
      <c r="D848" s="25" t="s">
        <v>1930</v>
      </c>
      <c r="E848" s="25" t="s">
        <v>1922</v>
      </c>
      <c r="F848" s="25" t="s">
        <v>1632</v>
      </c>
      <c r="G848" s="25" t="s">
        <v>38</v>
      </c>
      <c r="H848" s="25" t="s">
        <v>65</v>
      </c>
      <c r="I848" s="25" t="s">
        <v>190</v>
      </c>
      <c r="J848" s="25" t="s">
        <v>191</v>
      </c>
      <c r="K848" s="25" t="s">
        <v>192</v>
      </c>
      <c r="L848" s="25" t="s">
        <v>30</v>
      </c>
      <c r="M848" s="25" t="n">
        <v>1809</v>
      </c>
      <c r="N848" s="25" t="n">
        <v>2009</v>
      </c>
      <c r="O848" s="25"/>
      <c r="P848" s="26" t="n">
        <f aca="false">(M848*N848/1000000)*(INDEX(AreaRate_Vals,MATCH(C848,AreaRate_Keys,0))+IFERROR(INDEX(GlazingUpg_Vals,MATCH(H848,GlazingUpg_Keys,0)),0))+INDEX(Hardware_Vals,MATCH("Doors",Hardware_Keys,0))</f>
        <v>8000.27605</v>
      </c>
      <c r="Q848" s="27" t="n">
        <f aca="false">INDEX(Markup_Vals,MATCH("Doors",MarkupCat_Keys,0))</f>
        <v>0.4</v>
      </c>
      <c r="R848" s="28" t="n">
        <f aca="false">P848*(1+Q848)</f>
        <v>11200.38647</v>
      </c>
      <c r="S848" s="28" t="n">
        <f aca="false">R848*(1-TradeDiscount)</f>
        <v>9856.3400936</v>
      </c>
      <c r="T848" s="28" t="n">
        <f aca="false">R848*(1-VolumeDiscount)</f>
        <v>8960.309176</v>
      </c>
    </row>
    <row r="849" customFormat="false" ht="15" hidden="false" customHeight="false" outlineLevel="0" collapsed="false">
      <c r="A849" s="29" t="s">
        <v>1931</v>
      </c>
      <c r="B849" s="29" t="s">
        <v>97</v>
      </c>
      <c r="C849" s="29" t="s">
        <v>49</v>
      </c>
      <c r="D849" s="29" t="s">
        <v>1932</v>
      </c>
      <c r="E849" s="29" t="s">
        <v>1922</v>
      </c>
      <c r="F849" s="29" t="s">
        <v>1632</v>
      </c>
      <c r="G849" s="29" t="s">
        <v>35</v>
      </c>
      <c r="H849" s="29" t="s">
        <v>66</v>
      </c>
      <c r="I849" s="29" t="s">
        <v>190</v>
      </c>
      <c r="J849" s="29" t="s">
        <v>191</v>
      </c>
      <c r="K849" s="29" t="s">
        <v>192</v>
      </c>
      <c r="L849" s="29" t="s">
        <v>30</v>
      </c>
      <c r="M849" s="29" t="n">
        <v>1809</v>
      </c>
      <c r="N849" s="29" t="n">
        <v>2009</v>
      </c>
      <c r="O849" s="29"/>
      <c r="P849" s="30" t="n">
        <f aca="false">(M849*N849/1000000)*(INDEX(AreaRate_Vals,MATCH(C849,AreaRate_Keys,0))+IFERROR(INDEX(GlazingUpg_Vals,MATCH(H849,GlazingUpg_Keys,0)),0))+INDEX(Hardware_Vals,MATCH("Doors",Hardware_Keys,0))</f>
        <v>10544.27275</v>
      </c>
      <c r="Q849" s="31" t="n">
        <f aca="false">INDEX(Markup_Vals,MATCH("Doors",MarkupCat_Keys,0))</f>
        <v>0.4</v>
      </c>
      <c r="R849" s="32" t="n">
        <f aca="false">P849*(1+Q849)</f>
        <v>14761.98185</v>
      </c>
      <c r="S849" s="32" t="n">
        <f aca="false">R849*(1-TradeDiscount)</f>
        <v>12990.544028</v>
      </c>
      <c r="T849" s="32" t="n">
        <f aca="false">R849*(1-VolumeDiscount)</f>
        <v>11809.58548</v>
      </c>
    </row>
    <row r="850" customFormat="false" ht="15" hidden="false" customHeight="false" outlineLevel="0" collapsed="false">
      <c r="A850" s="25" t="s">
        <v>1933</v>
      </c>
      <c r="B850" s="25" t="s">
        <v>97</v>
      </c>
      <c r="C850" s="25" t="s">
        <v>49</v>
      </c>
      <c r="D850" s="25" t="s">
        <v>1934</v>
      </c>
      <c r="E850" s="25" t="s">
        <v>1922</v>
      </c>
      <c r="F850" s="25" t="s">
        <v>1632</v>
      </c>
      <c r="G850" s="25" t="s">
        <v>36</v>
      </c>
      <c r="H850" s="25" t="s">
        <v>66</v>
      </c>
      <c r="I850" s="25" t="s">
        <v>190</v>
      </c>
      <c r="J850" s="25" t="s">
        <v>191</v>
      </c>
      <c r="K850" s="25" t="s">
        <v>192</v>
      </c>
      <c r="L850" s="25" t="s">
        <v>30</v>
      </c>
      <c r="M850" s="25" t="n">
        <v>1809</v>
      </c>
      <c r="N850" s="25" t="n">
        <v>2009</v>
      </c>
      <c r="O850" s="25"/>
      <c r="P850" s="26" t="n">
        <f aca="false">(M850*N850/1000000)*(INDEX(AreaRate_Vals,MATCH(C850,AreaRate_Keys,0))+IFERROR(INDEX(GlazingUpg_Vals,MATCH(H850,GlazingUpg_Keys,0)),0))+INDEX(Hardware_Vals,MATCH("Doors",Hardware_Keys,0))</f>
        <v>10544.27275</v>
      </c>
      <c r="Q850" s="27" t="n">
        <f aca="false">INDEX(Markup_Vals,MATCH("Doors",MarkupCat_Keys,0))</f>
        <v>0.4</v>
      </c>
      <c r="R850" s="28" t="n">
        <f aca="false">P850*(1+Q850)</f>
        <v>14761.98185</v>
      </c>
      <c r="S850" s="28" t="n">
        <f aca="false">R850*(1-TradeDiscount)</f>
        <v>12990.544028</v>
      </c>
      <c r="T850" s="28" t="n">
        <f aca="false">R850*(1-VolumeDiscount)</f>
        <v>11809.58548</v>
      </c>
    </row>
    <row r="851" customFormat="false" ht="15" hidden="false" customHeight="false" outlineLevel="0" collapsed="false">
      <c r="A851" s="29" t="s">
        <v>1935</v>
      </c>
      <c r="B851" s="29" t="s">
        <v>97</v>
      </c>
      <c r="C851" s="29" t="s">
        <v>49</v>
      </c>
      <c r="D851" s="29" t="s">
        <v>1936</v>
      </c>
      <c r="E851" s="29" t="s">
        <v>1922</v>
      </c>
      <c r="F851" s="29" t="s">
        <v>1632</v>
      </c>
      <c r="G851" s="29" t="s">
        <v>37</v>
      </c>
      <c r="H851" s="29" t="s">
        <v>66</v>
      </c>
      <c r="I851" s="29" t="s">
        <v>190</v>
      </c>
      <c r="J851" s="29" t="s">
        <v>191</v>
      </c>
      <c r="K851" s="29" t="s">
        <v>192</v>
      </c>
      <c r="L851" s="29" t="s">
        <v>30</v>
      </c>
      <c r="M851" s="29" t="n">
        <v>1809</v>
      </c>
      <c r="N851" s="29" t="n">
        <v>2009</v>
      </c>
      <c r="O851" s="29"/>
      <c r="P851" s="30" t="n">
        <f aca="false">(M851*N851/1000000)*(INDEX(AreaRate_Vals,MATCH(C851,AreaRate_Keys,0))+IFERROR(INDEX(GlazingUpg_Vals,MATCH(H851,GlazingUpg_Keys,0)),0))+INDEX(Hardware_Vals,MATCH("Doors",Hardware_Keys,0))</f>
        <v>10544.27275</v>
      </c>
      <c r="Q851" s="31" t="n">
        <f aca="false">INDEX(Markup_Vals,MATCH("Doors",MarkupCat_Keys,0))</f>
        <v>0.4</v>
      </c>
      <c r="R851" s="32" t="n">
        <f aca="false">P851*(1+Q851)</f>
        <v>14761.98185</v>
      </c>
      <c r="S851" s="32" t="n">
        <f aca="false">R851*(1-TradeDiscount)</f>
        <v>12990.544028</v>
      </c>
      <c r="T851" s="32" t="n">
        <f aca="false">R851*(1-VolumeDiscount)</f>
        <v>11809.58548</v>
      </c>
    </row>
    <row r="852" customFormat="false" ht="15" hidden="false" customHeight="false" outlineLevel="0" collapsed="false">
      <c r="A852" s="25" t="s">
        <v>1937</v>
      </c>
      <c r="B852" s="25" t="s">
        <v>97</v>
      </c>
      <c r="C852" s="25" t="s">
        <v>49</v>
      </c>
      <c r="D852" s="25" t="s">
        <v>1938</v>
      </c>
      <c r="E852" s="25" t="s">
        <v>1922</v>
      </c>
      <c r="F852" s="25" t="s">
        <v>1632</v>
      </c>
      <c r="G852" s="25" t="s">
        <v>39</v>
      </c>
      <c r="H852" s="25" t="s">
        <v>66</v>
      </c>
      <c r="I852" s="25" t="s">
        <v>190</v>
      </c>
      <c r="J852" s="25" t="s">
        <v>191</v>
      </c>
      <c r="K852" s="25" t="s">
        <v>192</v>
      </c>
      <c r="L852" s="25" t="s">
        <v>30</v>
      </c>
      <c r="M852" s="25" t="n">
        <v>1809</v>
      </c>
      <c r="N852" s="25" t="n">
        <v>2009</v>
      </c>
      <c r="O852" s="25"/>
      <c r="P852" s="26" t="n">
        <f aca="false">(M852*N852/1000000)*(INDEX(AreaRate_Vals,MATCH(C852,AreaRate_Keys,0))+IFERROR(INDEX(GlazingUpg_Vals,MATCH(H852,GlazingUpg_Keys,0)),0))+INDEX(Hardware_Vals,MATCH("Doors",Hardware_Keys,0))</f>
        <v>10544.27275</v>
      </c>
      <c r="Q852" s="27" t="n">
        <f aca="false">INDEX(Markup_Vals,MATCH("Doors",MarkupCat_Keys,0))</f>
        <v>0.4</v>
      </c>
      <c r="R852" s="28" t="n">
        <f aca="false">P852*(1+Q852)</f>
        <v>14761.98185</v>
      </c>
      <c r="S852" s="28" t="n">
        <f aca="false">R852*(1-TradeDiscount)</f>
        <v>12990.544028</v>
      </c>
      <c r="T852" s="28" t="n">
        <f aca="false">R852*(1-VolumeDiscount)</f>
        <v>11809.58548</v>
      </c>
    </row>
    <row r="853" customFormat="false" ht="15" hidden="false" customHeight="false" outlineLevel="0" collapsed="false">
      <c r="A853" s="29" t="s">
        <v>1939</v>
      </c>
      <c r="B853" s="29" t="s">
        <v>97</v>
      </c>
      <c r="C853" s="29" t="s">
        <v>49</v>
      </c>
      <c r="D853" s="29" t="s">
        <v>1940</v>
      </c>
      <c r="E853" s="29" t="s">
        <v>1922</v>
      </c>
      <c r="F853" s="29" t="s">
        <v>1632</v>
      </c>
      <c r="G853" s="29" t="s">
        <v>38</v>
      </c>
      <c r="H853" s="29" t="s">
        <v>66</v>
      </c>
      <c r="I853" s="29" t="s">
        <v>190</v>
      </c>
      <c r="J853" s="29" t="s">
        <v>191</v>
      </c>
      <c r="K853" s="29" t="s">
        <v>192</v>
      </c>
      <c r="L853" s="29" t="s">
        <v>30</v>
      </c>
      <c r="M853" s="29" t="n">
        <v>1809</v>
      </c>
      <c r="N853" s="29" t="n">
        <v>2009</v>
      </c>
      <c r="O853" s="29"/>
      <c r="P853" s="30" t="n">
        <f aca="false">(M853*N853/1000000)*(INDEX(AreaRate_Vals,MATCH(C853,AreaRate_Keys,0))+IFERROR(INDEX(GlazingUpg_Vals,MATCH(H853,GlazingUpg_Keys,0)),0))+INDEX(Hardware_Vals,MATCH("Doors",Hardware_Keys,0))</f>
        <v>10544.27275</v>
      </c>
      <c r="Q853" s="31" t="n">
        <f aca="false">INDEX(Markup_Vals,MATCH("Doors",MarkupCat_Keys,0))</f>
        <v>0.4</v>
      </c>
      <c r="R853" s="32" t="n">
        <f aca="false">P853*(1+Q853)</f>
        <v>14761.98185</v>
      </c>
      <c r="S853" s="32" t="n">
        <f aca="false">R853*(1-TradeDiscount)</f>
        <v>12990.544028</v>
      </c>
      <c r="T853" s="32" t="n">
        <f aca="false">R853*(1-VolumeDiscount)</f>
        <v>11809.58548</v>
      </c>
    </row>
    <row r="854" customFormat="false" ht="15" hidden="false" customHeight="false" outlineLevel="0" collapsed="false">
      <c r="A854" s="25" t="s">
        <v>1941</v>
      </c>
      <c r="B854" s="25" t="s">
        <v>97</v>
      </c>
      <c r="C854" s="25" t="s">
        <v>49</v>
      </c>
      <c r="D854" s="25" t="s">
        <v>1942</v>
      </c>
      <c r="E854" s="25" t="s">
        <v>1922</v>
      </c>
      <c r="F854" s="25" t="s">
        <v>1775</v>
      </c>
      <c r="G854" s="25" t="s">
        <v>35</v>
      </c>
      <c r="H854" s="25" t="s">
        <v>65</v>
      </c>
      <c r="I854" s="25" t="s">
        <v>190</v>
      </c>
      <c r="J854" s="25" t="s">
        <v>191</v>
      </c>
      <c r="K854" s="25" t="s">
        <v>192</v>
      </c>
      <c r="L854" s="25" t="s">
        <v>30</v>
      </c>
      <c r="M854" s="25" t="n">
        <v>2409</v>
      </c>
      <c r="N854" s="25" t="n">
        <v>2009</v>
      </c>
      <c r="O854" s="25"/>
      <c r="P854" s="26" t="n">
        <f aca="false">(M854*N854/1000000)*(INDEX(AreaRate_Vals,MATCH(C854,AreaRate_Keys,0))+IFERROR(INDEX(GlazingUpg_Vals,MATCH(H854,GlazingUpg_Keys,0)),0))+INDEX(Hardware_Vals,MATCH("Doors",Hardware_Keys,0))</f>
        <v>10471.34605</v>
      </c>
      <c r="Q854" s="27" t="n">
        <f aca="false">INDEX(Markup_Vals,MATCH("Doors",MarkupCat_Keys,0))</f>
        <v>0.4</v>
      </c>
      <c r="R854" s="28" t="n">
        <f aca="false">P854*(1+Q854)</f>
        <v>14659.88447</v>
      </c>
      <c r="S854" s="28" t="n">
        <f aca="false">R854*(1-TradeDiscount)</f>
        <v>12900.6983336</v>
      </c>
      <c r="T854" s="28" t="n">
        <f aca="false">R854*(1-VolumeDiscount)</f>
        <v>11727.907576</v>
      </c>
    </row>
    <row r="855" customFormat="false" ht="15" hidden="false" customHeight="false" outlineLevel="0" collapsed="false">
      <c r="A855" s="29" t="s">
        <v>1943</v>
      </c>
      <c r="B855" s="29" t="s">
        <v>97</v>
      </c>
      <c r="C855" s="29" t="s">
        <v>49</v>
      </c>
      <c r="D855" s="29" t="s">
        <v>1944</v>
      </c>
      <c r="E855" s="29" t="s">
        <v>1922</v>
      </c>
      <c r="F855" s="29" t="s">
        <v>1775</v>
      </c>
      <c r="G855" s="29" t="s">
        <v>36</v>
      </c>
      <c r="H855" s="29" t="s">
        <v>65</v>
      </c>
      <c r="I855" s="29" t="s">
        <v>190</v>
      </c>
      <c r="J855" s="29" t="s">
        <v>191</v>
      </c>
      <c r="K855" s="29" t="s">
        <v>192</v>
      </c>
      <c r="L855" s="29" t="s">
        <v>30</v>
      </c>
      <c r="M855" s="29" t="n">
        <v>2409</v>
      </c>
      <c r="N855" s="29" t="n">
        <v>2009</v>
      </c>
      <c r="O855" s="29"/>
      <c r="P855" s="30" t="n">
        <f aca="false">(M855*N855/1000000)*(INDEX(AreaRate_Vals,MATCH(C855,AreaRate_Keys,0))+IFERROR(INDEX(GlazingUpg_Vals,MATCH(H855,GlazingUpg_Keys,0)),0))+INDEX(Hardware_Vals,MATCH("Doors",Hardware_Keys,0))</f>
        <v>10471.34605</v>
      </c>
      <c r="Q855" s="31" t="n">
        <f aca="false">INDEX(Markup_Vals,MATCH("Doors",MarkupCat_Keys,0))</f>
        <v>0.4</v>
      </c>
      <c r="R855" s="32" t="n">
        <f aca="false">P855*(1+Q855)</f>
        <v>14659.88447</v>
      </c>
      <c r="S855" s="32" t="n">
        <f aca="false">R855*(1-TradeDiscount)</f>
        <v>12900.6983336</v>
      </c>
      <c r="T855" s="32" t="n">
        <f aca="false">R855*(1-VolumeDiscount)</f>
        <v>11727.907576</v>
      </c>
    </row>
    <row r="856" customFormat="false" ht="15" hidden="false" customHeight="false" outlineLevel="0" collapsed="false">
      <c r="A856" s="25" t="s">
        <v>1945</v>
      </c>
      <c r="B856" s="25" t="s">
        <v>97</v>
      </c>
      <c r="C856" s="25" t="s">
        <v>49</v>
      </c>
      <c r="D856" s="25" t="s">
        <v>1946</v>
      </c>
      <c r="E856" s="25" t="s">
        <v>1922</v>
      </c>
      <c r="F856" s="25" t="s">
        <v>1775</v>
      </c>
      <c r="G856" s="25" t="s">
        <v>37</v>
      </c>
      <c r="H856" s="25" t="s">
        <v>65</v>
      </c>
      <c r="I856" s="25" t="s">
        <v>190</v>
      </c>
      <c r="J856" s="25" t="s">
        <v>191</v>
      </c>
      <c r="K856" s="25" t="s">
        <v>192</v>
      </c>
      <c r="L856" s="25" t="s">
        <v>30</v>
      </c>
      <c r="M856" s="25" t="n">
        <v>2409</v>
      </c>
      <c r="N856" s="25" t="n">
        <v>2009</v>
      </c>
      <c r="O856" s="25"/>
      <c r="P856" s="26" t="n">
        <f aca="false">(M856*N856/1000000)*(INDEX(AreaRate_Vals,MATCH(C856,AreaRate_Keys,0))+IFERROR(INDEX(GlazingUpg_Vals,MATCH(H856,GlazingUpg_Keys,0)),0))+INDEX(Hardware_Vals,MATCH("Doors",Hardware_Keys,0))</f>
        <v>10471.34605</v>
      </c>
      <c r="Q856" s="27" t="n">
        <f aca="false">INDEX(Markup_Vals,MATCH("Doors",MarkupCat_Keys,0))</f>
        <v>0.4</v>
      </c>
      <c r="R856" s="28" t="n">
        <f aca="false">P856*(1+Q856)</f>
        <v>14659.88447</v>
      </c>
      <c r="S856" s="28" t="n">
        <f aca="false">R856*(1-TradeDiscount)</f>
        <v>12900.6983336</v>
      </c>
      <c r="T856" s="28" t="n">
        <f aca="false">R856*(1-VolumeDiscount)</f>
        <v>11727.907576</v>
      </c>
    </row>
    <row r="857" customFormat="false" ht="15" hidden="false" customHeight="false" outlineLevel="0" collapsed="false">
      <c r="A857" s="29" t="s">
        <v>1947</v>
      </c>
      <c r="B857" s="29" t="s">
        <v>97</v>
      </c>
      <c r="C857" s="29" t="s">
        <v>49</v>
      </c>
      <c r="D857" s="29" t="s">
        <v>1948</v>
      </c>
      <c r="E857" s="29" t="s">
        <v>1922</v>
      </c>
      <c r="F857" s="29" t="s">
        <v>1775</v>
      </c>
      <c r="G857" s="29" t="s">
        <v>39</v>
      </c>
      <c r="H857" s="29" t="s">
        <v>65</v>
      </c>
      <c r="I857" s="29" t="s">
        <v>190</v>
      </c>
      <c r="J857" s="29" t="s">
        <v>191</v>
      </c>
      <c r="K857" s="29" t="s">
        <v>192</v>
      </c>
      <c r="L857" s="29" t="s">
        <v>30</v>
      </c>
      <c r="M857" s="29" t="n">
        <v>2409</v>
      </c>
      <c r="N857" s="29" t="n">
        <v>2009</v>
      </c>
      <c r="O857" s="29"/>
      <c r="P857" s="30" t="n">
        <f aca="false">(M857*N857/1000000)*(INDEX(AreaRate_Vals,MATCH(C857,AreaRate_Keys,0))+IFERROR(INDEX(GlazingUpg_Vals,MATCH(H857,GlazingUpg_Keys,0)),0))+INDEX(Hardware_Vals,MATCH("Doors",Hardware_Keys,0))</f>
        <v>10471.34605</v>
      </c>
      <c r="Q857" s="31" t="n">
        <f aca="false">INDEX(Markup_Vals,MATCH("Doors",MarkupCat_Keys,0))</f>
        <v>0.4</v>
      </c>
      <c r="R857" s="32" t="n">
        <f aca="false">P857*(1+Q857)</f>
        <v>14659.88447</v>
      </c>
      <c r="S857" s="32" t="n">
        <f aca="false">R857*(1-TradeDiscount)</f>
        <v>12900.6983336</v>
      </c>
      <c r="T857" s="32" t="n">
        <f aca="false">R857*(1-VolumeDiscount)</f>
        <v>11727.907576</v>
      </c>
    </row>
    <row r="858" customFormat="false" ht="15" hidden="false" customHeight="false" outlineLevel="0" collapsed="false">
      <c r="A858" s="25" t="s">
        <v>1949</v>
      </c>
      <c r="B858" s="25" t="s">
        <v>97</v>
      </c>
      <c r="C858" s="25" t="s">
        <v>49</v>
      </c>
      <c r="D858" s="25" t="s">
        <v>1950</v>
      </c>
      <c r="E858" s="25" t="s">
        <v>1922</v>
      </c>
      <c r="F858" s="25" t="s">
        <v>1775</v>
      </c>
      <c r="G858" s="25" t="s">
        <v>38</v>
      </c>
      <c r="H858" s="25" t="s">
        <v>65</v>
      </c>
      <c r="I858" s="25" t="s">
        <v>190</v>
      </c>
      <c r="J858" s="25" t="s">
        <v>191</v>
      </c>
      <c r="K858" s="25" t="s">
        <v>192</v>
      </c>
      <c r="L858" s="25" t="s">
        <v>30</v>
      </c>
      <c r="M858" s="25" t="n">
        <v>2409</v>
      </c>
      <c r="N858" s="25" t="n">
        <v>2009</v>
      </c>
      <c r="O858" s="25"/>
      <c r="P858" s="26" t="n">
        <f aca="false">(M858*N858/1000000)*(INDEX(AreaRate_Vals,MATCH(C858,AreaRate_Keys,0))+IFERROR(INDEX(GlazingUpg_Vals,MATCH(H858,GlazingUpg_Keys,0)),0))+INDEX(Hardware_Vals,MATCH("Doors",Hardware_Keys,0))</f>
        <v>10471.34605</v>
      </c>
      <c r="Q858" s="27" t="n">
        <f aca="false">INDEX(Markup_Vals,MATCH("Doors",MarkupCat_Keys,0))</f>
        <v>0.4</v>
      </c>
      <c r="R858" s="28" t="n">
        <f aca="false">P858*(1+Q858)</f>
        <v>14659.88447</v>
      </c>
      <c r="S858" s="28" t="n">
        <f aca="false">R858*(1-TradeDiscount)</f>
        <v>12900.6983336</v>
      </c>
      <c r="T858" s="28" t="n">
        <f aca="false">R858*(1-VolumeDiscount)</f>
        <v>11727.907576</v>
      </c>
    </row>
    <row r="859" customFormat="false" ht="15" hidden="false" customHeight="false" outlineLevel="0" collapsed="false">
      <c r="A859" s="29" t="s">
        <v>1951</v>
      </c>
      <c r="B859" s="29" t="s">
        <v>97</v>
      </c>
      <c r="C859" s="29" t="s">
        <v>49</v>
      </c>
      <c r="D859" s="29" t="s">
        <v>1952</v>
      </c>
      <c r="E859" s="29" t="s">
        <v>1922</v>
      </c>
      <c r="F859" s="29" t="s">
        <v>1775</v>
      </c>
      <c r="G859" s="29" t="s">
        <v>35</v>
      </c>
      <c r="H859" s="29" t="s">
        <v>66</v>
      </c>
      <c r="I859" s="29" t="s">
        <v>190</v>
      </c>
      <c r="J859" s="29" t="s">
        <v>191</v>
      </c>
      <c r="K859" s="29" t="s">
        <v>192</v>
      </c>
      <c r="L859" s="29" t="s">
        <v>30</v>
      </c>
      <c r="M859" s="29" t="n">
        <v>2409</v>
      </c>
      <c r="N859" s="29" t="n">
        <v>2009</v>
      </c>
      <c r="O859" s="29"/>
      <c r="P859" s="30" t="n">
        <f aca="false">(M859*N859/1000000)*(INDEX(AreaRate_Vals,MATCH(C859,AreaRate_Keys,0))+IFERROR(INDEX(GlazingUpg_Vals,MATCH(H859,GlazingUpg_Keys,0)),0))+INDEX(Hardware_Vals,MATCH("Doors",Hardware_Keys,0))</f>
        <v>13859.12275</v>
      </c>
      <c r="Q859" s="31" t="n">
        <f aca="false">INDEX(Markup_Vals,MATCH("Doors",MarkupCat_Keys,0))</f>
        <v>0.4</v>
      </c>
      <c r="R859" s="32" t="n">
        <f aca="false">P859*(1+Q859)</f>
        <v>19402.77185</v>
      </c>
      <c r="S859" s="32" t="n">
        <f aca="false">R859*(1-TradeDiscount)</f>
        <v>17074.439228</v>
      </c>
      <c r="T859" s="32" t="n">
        <f aca="false">R859*(1-VolumeDiscount)</f>
        <v>15522.21748</v>
      </c>
    </row>
    <row r="860" customFormat="false" ht="15" hidden="false" customHeight="false" outlineLevel="0" collapsed="false">
      <c r="A860" s="25" t="s">
        <v>1953</v>
      </c>
      <c r="B860" s="25" t="s">
        <v>97</v>
      </c>
      <c r="C860" s="25" t="s">
        <v>49</v>
      </c>
      <c r="D860" s="25" t="s">
        <v>1954</v>
      </c>
      <c r="E860" s="25" t="s">
        <v>1922</v>
      </c>
      <c r="F860" s="25" t="s">
        <v>1775</v>
      </c>
      <c r="G860" s="25" t="s">
        <v>36</v>
      </c>
      <c r="H860" s="25" t="s">
        <v>66</v>
      </c>
      <c r="I860" s="25" t="s">
        <v>190</v>
      </c>
      <c r="J860" s="25" t="s">
        <v>191</v>
      </c>
      <c r="K860" s="25" t="s">
        <v>192</v>
      </c>
      <c r="L860" s="25" t="s">
        <v>30</v>
      </c>
      <c r="M860" s="25" t="n">
        <v>2409</v>
      </c>
      <c r="N860" s="25" t="n">
        <v>2009</v>
      </c>
      <c r="O860" s="25"/>
      <c r="P860" s="26" t="n">
        <f aca="false">(M860*N860/1000000)*(INDEX(AreaRate_Vals,MATCH(C860,AreaRate_Keys,0))+IFERROR(INDEX(GlazingUpg_Vals,MATCH(H860,GlazingUpg_Keys,0)),0))+INDEX(Hardware_Vals,MATCH("Doors",Hardware_Keys,0))</f>
        <v>13859.12275</v>
      </c>
      <c r="Q860" s="27" t="n">
        <f aca="false">INDEX(Markup_Vals,MATCH("Doors",MarkupCat_Keys,0))</f>
        <v>0.4</v>
      </c>
      <c r="R860" s="28" t="n">
        <f aca="false">P860*(1+Q860)</f>
        <v>19402.77185</v>
      </c>
      <c r="S860" s="28" t="n">
        <f aca="false">R860*(1-TradeDiscount)</f>
        <v>17074.439228</v>
      </c>
      <c r="T860" s="28" t="n">
        <f aca="false">R860*(1-VolumeDiscount)</f>
        <v>15522.21748</v>
      </c>
    </row>
    <row r="861" customFormat="false" ht="15" hidden="false" customHeight="false" outlineLevel="0" collapsed="false">
      <c r="A861" s="29" t="s">
        <v>1955</v>
      </c>
      <c r="B861" s="29" t="s">
        <v>97</v>
      </c>
      <c r="C861" s="29" t="s">
        <v>49</v>
      </c>
      <c r="D861" s="29" t="s">
        <v>1956</v>
      </c>
      <c r="E861" s="29" t="s">
        <v>1922</v>
      </c>
      <c r="F861" s="29" t="s">
        <v>1775</v>
      </c>
      <c r="G861" s="29" t="s">
        <v>37</v>
      </c>
      <c r="H861" s="29" t="s">
        <v>66</v>
      </c>
      <c r="I861" s="29" t="s">
        <v>190</v>
      </c>
      <c r="J861" s="29" t="s">
        <v>191</v>
      </c>
      <c r="K861" s="29" t="s">
        <v>192</v>
      </c>
      <c r="L861" s="29" t="s">
        <v>30</v>
      </c>
      <c r="M861" s="29" t="n">
        <v>2409</v>
      </c>
      <c r="N861" s="29" t="n">
        <v>2009</v>
      </c>
      <c r="O861" s="29"/>
      <c r="P861" s="30" t="n">
        <f aca="false">(M861*N861/1000000)*(INDEX(AreaRate_Vals,MATCH(C861,AreaRate_Keys,0))+IFERROR(INDEX(GlazingUpg_Vals,MATCH(H861,GlazingUpg_Keys,0)),0))+INDEX(Hardware_Vals,MATCH("Doors",Hardware_Keys,0))</f>
        <v>13859.12275</v>
      </c>
      <c r="Q861" s="31" t="n">
        <f aca="false">INDEX(Markup_Vals,MATCH("Doors",MarkupCat_Keys,0))</f>
        <v>0.4</v>
      </c>
      <c r="R861" s="32" t="n">
        <f aca="false">P861*(1+Q861)</f>
        <v>19402.77185</v>
      </c>
      <c r="S861" s="32" t="n">
        <f aca="false">R861*(1-TradeDiscount)</f>
        <v>17074.439228</v>
      </c>
      <c r="T861" s="32" t="n">
        <f aca="false">R861*(1-VolumeDiscount)</f>
        <v>15522.21748</v>
      </c>
    </row>
    <row r="862" customFormat="false" ht="15" hidden="false" customHeight="false" outlineLevel="0" collapsed="false">
      <c r="A862" s="25" t="s">
        <v>1957</v>
      </c>
      <c r="B862" s="25" t="s">
        <v>97</v>
      </c>
      <c r="C862" s="25" t="s">
        <v>49</v>
      </c>
      <c r="D862" s="25" t="s">
        <v>1958</v>
      </c>
      <c r="E862" s="25" t="s">
        <v>1922</v>
      </c>
      <c r="F862" s="25" t="s">
        <v>1775</v>
      </c>
      <c r="G862" s="25" t="s">
        <v>39</v>
      </c>
      <c r="H862" s="25" t="s">
        <v>66</v>
      </c>
      <c r="I862" s="25" t="s">
        <v>190</v>
      </c>
      <c r="J862" s="25" t="s">
        <v>191</v>
      </c>
      <c r="K862" s="25" t="s">
        <v>192</v>
      </c>
      <c r="L862" s="25" t="s">
        <v>30</v>
      </c>
      <c r="M862" s="25" t="n">
        <v>2409</v>
      </c>
      <c r="N862" s="25" t="n">
        <v>2009</v>
      </c>
      <c r="O862" s="25"/>
      <c r="P862" s="26" t="n">
        <f aca="false">(M862*N862/1000000)*(INDEX(AreaRate_Vals,MATCH(C862,AreaRate_Keys,0))+IFERROR(INDEX(GlazingUpg_Vals,MATCH(H862,GlazingUpg_Keys,0)),0))+INDEX(Hardware_Vals,MATCH("Doors",Hardware_Keys,0))</f>
        <v>13859.12275</v>
      </c>
      <c r="Q862" s="27" t="n">
        <f aca="false">INDEX(Markup_Vals,MATCH("Doors",MarkupCat_Keys,0))</f>
        <v>0.4</v>
      </c>
      <c r="R862" s="28" t="n">
        <f aca="false">P862*(1+Q862)</f>
        <v>19402.77185</v>
      </c>
      <c r="S862" s="28" t="n">
        <f aca="false">R862*(1-TradeDiscount)</f>
        <v>17074.439228</v>
      </c>
      <c r="T862" s="28" t="n">
        <f aca="false">R862*(1-VolumeDiscount)</f>
        <v>15522.21748</v>
      </c>
    </row>
    <row r="863" customFormat="false" ht="15" hidden="false" customHeight="false" outlineLevel="0" collapsed="false">
      <c r="A863" s="29" t="s">
        <v>1959</v>
      </c>
      <c r="B863" s="29" t="s">
        <v>97</v>
      </c>
      <c r="C863" s="29" t="s">
        <v>49</v>
      </c>
      <c r="D863" s="29" t="s">
        <v>1960</v>
      </c>
      <c r="E863" s="29" t="s">
        <v>1922</v>
      </c>
      <c r="F863" s="29" t="s">
        <v>1775</v>
      </c>
      <c r="G863" s="29" t="s">
        <v>38</v>
      </c>
      <c r="H863" s="29" t="s">
        <v>66</v>
      </c>
      <c r="I863" s="29" t="s">
        <v>190</v>
      </c>
      <c r="J863" s="29" t="s">
        <v>191</v>
      </c>
      <c r="K863" s="29" t="s">
        <v>192</v>
      </c>
      <c r="L863" s="29" t="s">
        <v>30</v>
      </c>
      <c r="M863" s="29" t="n">
        <v>2409</v>
      </c>
      <c r="N863" s="29" t="n">
        <v>2009</v>
      </c>
      <c r="O863" s="29"/>
      <c r="P863" s="30" t="n">
        <f aca="false">(M863*N863/1000000)*(INDEX(AreaRate_Vals,MATCH(C863,AreaRate_Keys,0))+IFERROR(INDEX(GlazingUpg_Vals,MATCH(H863,GlazingUpg_Keys,0)),0))+INDEX(Hardware_Vals,MATCH("Doors",Hardware_Keys,0))</f>
        <v>13859.12275</v>
      </c>
      <c r="Q863" s="31" t="n">
        <f aca="false">INDEX(Markup_Vals,MATCH("Doors",MarkupCat_Keys,0))</f>
        <v>0.4</v>
      </c>
      <c r="R863" s="32" t="n">
        <f aca="false">P863*(1+Q863)</f>
        <v>19402.77185</v>
      </c>
      <c r="S863" s="32" t="n">
        <f aca="false">R863*(1-TradeDiscount)</f>
        <v>17074.439228</v>
      </c>
      <c r="T863" s="32" t="n">
        <f aca="false">R863*(1-VolumeDiscount)</f>
        <v>15522.21748</v>
      </c>
    </row>
    <row r="864" customFormat="false" ht="15" hidden="false" customHeight="false" outlineLevel="0" collapsed="false">
      <c r="A864" s="25" t="s">
        <v>1961</v>
      </c>
      <c r="B864" s="25" t="s">
        <v>97</v>
      </c>
      <c r="C864" s="25" t="s">
        <v>49</v>
      </c>
      <c r="D864" s="25" t="s">
        <v>1962</v>
      </c>
      <c r="E864" s="25" t="s">
        <v>1922</v>
      </c>
      <c r="F864" s="25" t="s">
        <v>1796</v>
      </c>
      <c r="G864" s="25" t="s">
        <v>35</v>
      </c>
      <c r="H864" s="25" t="s">
        <v>65</v>
      </c>
      <c r="I864" s="25" t="s">
        <v>190</v>
      </c>
      <c r="J864" s="25" t="s">
        <v>191</v>
      </c>
      <c r="K864" s="25" t="s">
        <v>192</v>
      </c>
      <c r="L864" s="25" t="s">
        <v>30</v>
      </c>
      <c r="M864" s="25" t="n">
        <v>1809</v>
      </c>
      <c r="N864" s="25" t="n">
        <v>2090</v>
      </c>
      <c r="O864" s="25"/>
      <c r="P864" s="26" t="n">
        <f aca="false">(M864*N864/1000000)*(INDEX(AreaRate_Vals,MATCH(C864,AreaRate_Keys,0))+IFERROR(INDEX(GlazingUpg_Vals,MATCH(H864,GlazingUpg_Keys,0)),0))+INDEX(Hardware_Vals,MATCH("Doors",Hardware_Keys,0))</f>
        <v>8300.6605</v>
      </c>
      <c r="Q864" s="27" t="n">
        <f aca="false">INDEX(Markup_Vals,MATCH("Doors",MarkupCat_Keys,0))</f>
        <v>0.4</v>
      </c>
      <c r="R864" s="28" t="n">
        <f aca="false">P864*(1+Q864)</f>
        <v>11620.9247</v>
      </c>
      <c r="S864" s="28" t="n">
        <f aca="false">R864*(1-TradeDiscount)</f>
        <v>10226.413736</v>
      </c>
      <c r="T864" s="28" t="n">
        <f aca="false">R864*(1-VolumeDiscount)</f>
        <v>9296.73976</v>
      </c>
    </row>
    <row r="865" customFormat="false" ht="15" hidden="false" customHeight="false" outlineLevel="0" collapsed="false">
      <c r="A865" s="29" t="s">
        <v>1963</v>
      </c>
      <c r="B865" s="29" t="s">
        <v>97</v>
      </c>
      <c r="C865" s="29" t="s">
        <v>49</v>
      </c>
      <c r="D865" s="29" t="s">
        <v>1964</v>
      </c>
      <c r="E865" s="29" t="s">
        <v>1922</v>
      </c>
      <c r="F865" s="29" t="s">
        <v>1796</v>
      </c>
      <c r="G865" s="29" t="s">
        <v>36</v>
      </c>
      <c r="H865" s="29" t="s">
        <v>65</v>
      </c>
      <c r="I865" s="29" t="s">
        <v>190</v>
      </c>
      <c r="J865" s="29" t="s">
        <v>191</v>
      </c>
      <c r="K865" s="29" t="s">
        <v>192</v>
      </c>
      <c r="L865" s="29" t="s">
        <v>30</v>
      </c>
      <c r="M865" s="29" t="n">
        <v>1809</v>
      </c>
      <c r="N865" s="29" t="n">
        <v>2090</v>
      </c>
      <c r="O865" s="29"/>
      <c r="P865" s="30" t="n">
        <f aca="false">(M865*N865/1000000)*(INDEX(AreaRate_Vals,MATCH(C865,AreaRate_Keys,0))+IFERROR(INDEX(GlazingUpg_Vals,MATCH(H865,GlazingUpg_Keys,0)),0))+INDEX(Hardware_Vals,MATCH("Doors",Hardware_Keys,0))</f>
        <v>8300.6605</v>
      </c>
      <c r="Q865" s="31" t="n">
        <f aca="false">INDEX(Markup_Vals,MATCH("Doors",MarkupCat_Keys,0))</f>
        <v>0.4</v>
      </c>
      <c r="R865" s="32" t="n">
        <f aca="false">P865*(1+Q865)</f>
        <v>11620.9247</v>
      </c>
      <c r="S865" s="32" t="n">
        <f aca="false">R865*(1-TradeDiscount)</f>
        <v>10226.413736</v>
      </c>
      <c r="T865" s="32" t="n">
        <f aca="false">R865*(1-VolumeDiscount)</f>
        <v>9296.73976</v>
      </c>
    </row>
    <row r="866" customFormat="false" ht="15" hidden="false" customHeight="false" outlineLevel="0" collapsed="false">
      <c r="A866" s="25" t="s">
        <v>1965</v>
      </c>
      <c r="B866" s="25" t="s">
        <v>97</v>
      </c>
      <c r="C866" s="25" t="s">
        <v>49</v>
      </c>
      <c r="D866" s="25" t="s">
        <v>1966</v>
      </c>
      <c r="E866" s="25" t="s">
        <v>1922</v>
      </c>
      <c r="F866" s="25" t="s">
        <v>1796</v>
      </c>
      <c r="G866" s="25" t="s">
        <v>37</v>
      </c>
      <c r="H866" s="25" t="s">
        <v>65</v>
      </c>
      <c r="I866" s="25" t="s">
        <v>190</v>
      </c>
      <c r="J866" s="25" t="s">
        <v>191</v>
      </c>
      <c r="K866" s="25" t="s">
        <v>192</v>
      </c>
      <c r="L866" s="25" t="s">
        <v>30</v>
      </c>
      <c r="M866" s="25" t="n">
        <v>1809</v>
      </c>
      <c r="N866" s="25" t="n">
        <v>2090</v>
      </c>
      <c r="O866" s="25"/>
      <c r="P866" s="26" t="n">
        <f aca="false">(M866*N866/1000000)*(INDEX(AreaRate_Vals,MATCH(C866,AreaRate_Keys,0))+IFERROR(INDEX(GlazingUpg_Vals,MATCH(H866,GlazingUpg_Keys,0)),0))+INDEX(Hardware_Vals,MATCH("Doors",Hardware_Keys,0))</f>
        <v>8300.6605</v>
      </c>
      <c r="Q866" s="27" t="n">
        <f aca="false">INDEX(Markup_Vals,MATCH("Doors",MarkupCat_Keys,0))</f>
        <v>0.4</v>
      </c>
      <c r="R866" s="28" t="n">
        <f aca="false">P866*(1+Q866)</f>
        <v>11620.9247</v>
      </c>
      <c r="S866" s="28" t="n">
        <f aca="false">R866*(1-TradeDiscount)</f>
        <v>10226.413736</v>
      </c>
      <c r="T866" s="28" t="n">
        <f aca="false">R866*(1-VolumeDiscount)</f>
        <v>9296.73976</v>
      </c>
    </row>
    <row r="867" customFormat="false" ht="15" hidden="false" customHeight="false" outlineLevel="0" collapsed="false">
      <c r="A867" s="29" t="s">
        <v>1967</v>
      </c>
      <c r="B867" s="29" t="s">
        <v>97</v>
      </c>
      <c r="C867" s="29" t="s">
        <v>49</v>
      </c>
      <c r="D867" s="29" t="s">
        <v>1968</v>
      </c>
      <c r="E867" s="29" t="s">
        <v>1922</v>
      </c>
      <c r="F867" s="29" t="s">
        <v>1796</v>
      </c>
      <c r="G867" s="29" t="s">
        <v>39</v>
      </c>
      <c r="H867" s="29" t="s">
        <v>65</v>
      </c>
      <c r="I867" s="29" t="s">
        <v>190</v>
      </c>
      <c r="J867" s="29" t="s">
        <v>191</v>
      </c>
      <c r="K867" s="29" t="s">
        <v>192</v>
      </c>
      <c r="L867" s="29" t="s">
        <v>30</v>
      </c>
      <c r="M867" s="29" t="n">
        <v>1809</v>
      </c>
      <c r="N867" s="29" t="n">
        <v>2090</v>
      </c>
      <c r="O867" s="29"/>
      <c r="P867" s="30" t="n">
        <f aca="false">(M867*N867/1000000)*(INDEX(AreaRate_Vals,MATCH(C867,AreaRate_Keys,0))+IFERROR(INDEX(GlazingUpg_Vals,MATCH(H867,GlazingUpg_Keys,0)),0))+INDEX(Hardware_Vals,MATCH("Doors",Hardware_Keys,0))</f>
        <v>8300.6605</v>
      </c>
      <c r="Q867" s="31" t="n">
        <f aca="false">INDEX(Markup_Vals,MATCH("Doors",MarkupCat_Keys,0))</f>
        <v>0.4</v>
      </c>
      <c r="R867" s="32" t="n">
        <f aca="false">P867*(1+Q867)</f>
        <v>11620.9247</v>
      </c>
      <c r="S867" s="32" t="n">
        <f aca="false">R867*(1-TradeDiscount)</f>
        <v>10226.413736</v>
      </c>
      <c r="T867" s="32" t="n">
        <f aca="false">R867*(1-VolumeDiscount)</f>
        <v>9296.73976</v>
      </c>
    </row>
    <row r="868" customFormat="false" ht="15" hidden="false" customHeight="false" outlineLevel="0" collapsed="false">
      <c r="A868" s="25" t="s">
        <v>1969</v>
      </c>
      <c r="B868" s="25" t="s">
        <v>97</v>
      </c>
      <c r="C868" s="25" t="s">
        <v>49</v>
      </c>
      <c r="D868" s="25" t="s">
        <v>1970</v>
      </c>
      <c r="E868" s="25" t="s">
        <v>1922</v>
      </c>
      <c r="F868" s="25" t="s">
        <v>1796</v>
      </c>
      <c r="G868" s="25" t="s">
        <v>38</v>
      </c>
      <c r="H868" s="25" t="s">
        <v>65</v>
      </c>
      <c r="I868" s="25" t="s">
        <v>190</v>
      </c>
      <c r="J868" s="25" t="s">
        <v>191</v>
      </c>
      <c r="K868" s="25" t="s">
        <v>192</v>
      </c>
      <c r="L868" s="25" t="s">
        <v>30</v>
      </c>
      <c r="M868" s="25" t="n">
        <v>1809</v>
      </c>
      <c r="N868" s="25" t="n">
        <v>2090</v>
      </c>
      <c r="O868" s="25"/>
      <c r="P868" s="26" t="n">
        <f aca="false">(M868*N868/1000000)*(INDEX(AreaRate_Vals,MATCH(C868,AreaRate_Keys,0))+IFERROR(INDEX(GlazingUpg_Vals,MATCH(H868,GlazingUpg_Keys,0)),0))+INDEX(Hardware_Vals,MATCH("Doors",Hardware_Keys,0))</f>
        <v>8300.6605</v>
      </c>
      <c r="Q868" s="27" t="n">
        <f aca="false">INDEX(Markup_Vals,MATCH("Doors",MarkupCat_Keys,0))</f>
        <v>0.4</v>
      </c>
      <c r="R868" s="28" t="n">
        <f aca="false">P868*(1+Q868)</f>
        <v>11620.9247</v>
      </c>
      <c r="S868" s="28" t="n">
        <f aca="false">R868*(1-TradeDiscount)</f>
        <v>10226.413736</v>
      </c>
      <c r="T868" s="28" t="n">
        <f aca="false">R868*(1-VolumeDiscount)</f>
        <v>9296.73976</v>
      </c>
    </row>
    <row r="869" customFormat="false" ht="15" hidden="false" customHeight="false" outlineLevel="0" collapsed="false">
      <c r="A869" s="29" t="s">
        <v>1971</v>
      </c>
      <c r="B869" s="29" t="s">
        <v>97</v>
      </c>
      <c r="C869" s="29" t="s">
        <v>49</v>
      </c>
      <c r="D869" s="29" t="s">
        <v>1972</v>
      </c>
      <c r="E869" s="29" t="s">
        <v>1922</v>
      </c>
      <c r="F869" s="29" t="s">
        <v>1796</v>
      </c>
      <c r="G869" s="29" t="s">
        <v>35</v>
      </c>
      <c r="H869" s="29" t="s">
        <v>66</v>
      </c>
      <c r="I869" s="29" t="s">
        <v>190</v>
      </c>
      <c r="J869" s="29" t="s">
        <v>191</v>
      </c>
      <c r="K869" s="29" t="s">
        <v>192</v>
      </c>
      <c r="L869" s="29" t="s">
        <v>30</v>
      </c>
      <c r="M869" s="29" t="n">
        <v>1809</v>
      </c>
      <c r="N869" s="29" t="n">
        <v>2090</v>
      </c>
      <c r="O869" s="29"/>
      <c r="P869" s="30" t="n">
        <f aca="false">(M869*N869/1000000)*(INDEX(AreaRate_Vals,MATCH(C869,AreaRate_Keys,0))+IFERROR(INDEX(GlazingUpg_Vals,MATCH(H869,GlazingUpg_Keys,0)),0))+INDEX(Hardware_Vals,MATCH("Doors",Hardware_Keys,0))</f>
        <v>10947.2275</v>
      </c>
      <c r="Q869" s="31" t="n">
        <f aca="false">INDEX(Markup_Vals,MATCH("Doors",MarkupCat_Keys,0))</f>
        <v>0.4</v>
      </c>
      <c r="R869" s="32" t="n">
        <f aca="false">P869*(1+Q869)</f>
        <v>15326.1185</v>
      </c>
      <c r="S869" s="32" t="n">
        <f aca="false">R869*(1-TradeDiscount)</f>
        <v>13486.98428</v>
      </c>
      <c r="T869" s="32" t="n">
        <f aca="false">R869*(1-VolumeDiscount)</f>
        <v>12260.8948</v>
      </c>
    </row>
    <row r="870" customFormat="false" ht="15" hidden="false" customHeight="false" outlineLevel="0" collapsed="false">
      <c r="A870" s="25" t="s">
        <v>1973</v>
      </c>
      <c r="B870" s="25" t="s">
        <v>97</v>
      </c>
      <c r="C870" s="25" t="s">
        <v>49</v>
      </c>
      <c r="D870" s="25" t="s">
        <v>1974</v>
      </c>
      <c r="E870" s="25" t="s">
        <v>1922</v>
      </c>
      <c r="F870" s="25" t="s">
        <v>1796</v>
      </c>
      <c r="G870" s="25" t="s">
        <v>36</v>
      </c>
      <c r="H870" s="25" t="s">
        <v>66</v>
      </c>
      <c r="I870" s="25" t="s">
        <v>190</v>
      </c>
      <c r="J870" s="25" t="s">
        <v>191</v>
      </c>
      <c r="K870" s="25" t="s">
        <v>192</v>
      </c>
      <c r="L870" s="25" t="s">
        <v>30</v>
      </c>
      <c r="M870" s="25" t="n">
        <v>1809</v>
      </c>
      <c r="N870" s="25" t="n">
        <v>2090</v>
      </c>
      <c r="O870" s="25"/>
      <c r="P870" s="26" t="n">
        <f aca="false">(M870*N870/1000000)*(INDEX(AreaRate_Vals,MATCH(C870,AreaRate_Keys,0))+IFERROR(INDEX(GlazingUpg_Vals,MATCH(H870,GlazingUpg_Keys,0)),0))+INDEX(Hardware_Vals,MATCH("Doors",Hardware_Keys,0))</f>
        <v>10947.2275</v>
      </c>
      <c r="Q870" s="27" t="n">
        <f aca="false">INDEX(Markup_Vals,MATCH("Doors",MarkupCat_Keys,0))</f>
        <v>0.4</v>
      </c>
      <c r="R870" s="28" t="n">
        <f aca="false">P870*(1+Q870)</f>
        <v>15326.1185</v>
      </c>
      <c r="S870" s="28" t="n">
        <f aca="false">R870*(1-TradeDiscount)</f>
        <v>13486.98428</v>
      </c>
      <c r="T870" s="28" t="n">
        <f aca="false">R870*(1-VolumeDiscount)</f>
        <v>12260.8948</v>
      </c>
    </row>
    <row r="871" customFormat="false" ht="15" hidden="false" customHeight="false" outlineLevel="0" collapsed="false">
      <c r="A871" s="29" t="s">
        <v>1975</v>
      </c>
      <c r="B871" s="29" t="s">
        <v>97</v>
      </c>
      <c r="C871" s="29" t="s">
        <v>49</v>
      </c>
      <c r="D871" s="29" t="s">
        <v>1976</v>
      </c>
      <c r="E871" s="29" t="s">
        <v>1922</v>
      </c>
      <c r="F871" s="29" t="s">
        <v>1796</v>
      </c>
      <c r="G871" s="29" t="s">
        <v>37</v>
      </c>
      <c r="H871" s="29" t="s">
        <v>66</v>
      </c>
      <c r="I871" s="29" t="s">
        <v>190</v>
      </c>
      <c r="J871" s="29" t="s">
        <v>191</v>
      </c>
      <c r="K871" s="29" t="s">
        <v>192</v>
      </c>
      <c r="L871" s="29" t="s">
        <v>30</v>
      </c>
      <c r="M871" s="29" t="n">
        <v>1809</v>
      </c>
      <c r="N871" s="29" t="n">
        <v>2090</v>
      </c>
      <c r="O871" s="29"/>
      <c r="P871" s="30" t="n">
        <f aca="false">(M871*N871/1000000)*(INDEX(AreaRate_Vals,MATCH(C871,AreaRate_Keys,0))+IFERROR(INDEX(GlazingUpg_Vals,MATCH(H871,GlazingUpg_Keys,0)),0))+INDEX(Hardware_Vals,MATCH("Doors",Hardware_Keys,0))</f>
        <v>10947.2275</v>
      </c>
      <c r="Q871" s="31" t="n">
        <f aca="false">INDEX(Markup_Vals,MATCH("Doors",MarkupCat_Keys,0))</f>
        <v>0.4</v>
      </c>
      <c r="R871" s="32" t="n">
        <f aca="false">P871*(1+Q871)</f>
        <v>15326.1185</v>
      </c>
      <c r="S871" s="32" t="n">
        <f aca="false">R871*(1-TradeDiscount)</f>
        <v>13486.98428</v>
      </c>
      <c r="T871" s="32" t="n">
        <f aca="false">R871*(1-VolumeDiscount)</f>
        <v>12260.8948</v>
      </c>
    </row>
    <row r="872" customFormat="false" ht="15" hidden="false" customHeight="false" outlineLevel="0" collapsed="false">
      <c r="A872" s="25" t="s">
        <v>1977</v>
      </c>
      <c r="B872" s="25" t="s">
        <v>97</v>
      </c>
      <c r="C872" s="25" t="s">
        <v>49</v>
      </c>
      <c r="D872" s="25" t="s">
        <v>1978</v>
      </c>
      <c r="E872" s="25" t="s">
        <v>1922</v>
      </c>
      <c r="F872" s="25" t="s">
        <v>1796</v>
      </c>
      <c r="G872" s="25" t="s">
        <v>39</v>
      </c>
      <c r="H872" s="25" t="s">
        <v>66</v>
      </c>
      <c r="I872" s="25" t="s">
        <v>190</v>
      </c>
      <c r="J872" s="25" t="s">
        <v>191</v>
      </c>
      <c r="K872" s="25" t="s">
        <v>192</v>
      </c>
      <c r="L872" s="25" t="s">
        <v>30</v>
      </c>
      <c r="M872" s="25" t="n">
        <v>1809</v>
      </c>
      <c r="N872" s="25" t="n">
        <v>2090</v>
      </c>
      <c r="O872" s="25"/>
      <c r="P872" s="26" t="n">
        <f aca="false">(M872*N872/1000000)*(INDEX(AreaRate_Vals,MATCH(C872,AreaRate_Keys,0))+IFERROR(INDEX(GlazingUpg_Vals,MATCH(H872,GlazingUpg_Keys,0)),0))+INDEX(Hardware_Vals,MATCH("Doors",Hardware_Keys,0))</f>
        <v>10947.2275</v>
      </c>
      <c r="Q872" s="27" t="n">
        <f aca="false">INDEX(Markup_Vals,MATCH("Doors",MarkupCat_Keys,0))</f>
        <v>0.4</v>
      </c>
      <c r="R872" s="28" t="n">
        <f aca="false">P872*(1+Q872)</f>
        <v>15326.1185</v>
      </c>
      <c r="S872" s="28" t="n">
        <f aca="false">R872*(1-TradeDiscount)</f>
        <v>13486.98428</v>
      </c>
      <c r="T872" s="28" t="n">
        <f aca="false">R872*(1-VolumeDiscount)</f>
        <v>12260.8948</v>
      </c>
    </row>
    <row r="873" customFormat="false" ht="15" hidden="false" customHeight="false" outlineLevel="0" collapsed="false">
      <c r="A873" s="29" t="s">
        <v>1979</v>
      </c>
      <c r="B873" s="29" t="s">
        <v>97</v>
      </c>
      <c r="C873" s="29" t="s">
        <v>49</v>
      </c>
      <c r="D873" s="29" t="s">
        <v>1980</v>
      </c>
      <c r="E873" s="29" t="s">
        <v>1922</v>
      </c>
      <c r="F873" s="29" t="s">
        <v>1796</v>
      </c>
      <c r="G873" s="29" t="s">
        <v>38</v>
      </c>
      <c r="H873" s="29" t="s">
        <v>66</v>
      </c>
      <c r="I873" s="29" t="s">
        <v>190</v>
      </c>
      <c r="J873" s="29" t="s">
        <v>191</v>
      </c>
      <c r="K873" s="29" t="s">
        <v>192</v>
      </c>
      <c r="L873" s="29" t="s">
        <v>30</v>
      </c>
      <c r="M873" s="29" t="n">
        <v>1809</v>
      </c>
      <c r="N873" s="29" t="n">
        <v>2090</v>
      </c>
      <c r="O873" s="29"/>
      <c r="P873" s="30" t="n">
        <f aca="false">(M873*N873/1000000)*(INDEX(AreaRate_Vals,MATCH(C873,AreaRate_Keys,0))+IFERROR(INDEX(GlazingUpg_Vals,MATCH(H873,GlazingUpg_Keys,0)),0))+INDEX(Hardware_Vals,MATCH("Doors",Hardware_Keys,0))</f>
        <v>10947.2275</v>
      </c>
      <c r="Q873" s="31" t="n">
        <f aca="false">INDEX(Markup_Vals,MATCH("Doors",MarkupCat_Keys,0))</f>
        <v>0.4</v>
      </c>
      <c r="R873" s="32" t="n">
        <f aca="false">P873*(1+Q873)</f>
        <v>15326.1185</v>
      </c>
      <c r="S873" s="32" t="n">
        <f aca="false">R873*(1-TradeDiscount)</f>
        <v>13486.98428</v>
      </c>
      <c r="T873" s="32" t="n">
        <f aca="false">R873*(1-VolumeDiscount)</f>
        <v>12260.8948</v>
      </c>
    </row>
    <row r="874" customFormat="false" ht="15" hidden="false" customHeight="false" outlineLevel="0" collapsed="false">
      <c r="A874" s="25" t="s">
        <v>1981</v>
      </c>
      <c r="B874" s="25" t="s">
        <v>97</v>
      </c>
      <c r="C874" s="25" t="s">
        <v>49</v>
      </c>
      <c r="D874" s="25" t="s">
        <v>1982</v>
      </c>
      <c r="E874" s="25" t="s">
        <v>1922</v>
      </c>
      <c r="F874" s="25" t="s">
        <v>1817</v>
      </c>
      <c r="G874" s="25" t="s">
        <v>35</v>
      </c>
      <c r="H874" s="25" t="s">
        <v>65</v>
      </c>
      <c r="I874" s="25" t="s">
        <v>190</v>
      </c>
      <c r="J874" s="25" t="s">
        <v>191</v>
      </c>
      <c r="K874" s="25" t="s">
        <v>192</v>
      </c>
      <c r="L874" s="25" t="s">
        <v>30</v>
      </c>
      <c r="M874" s="25" t="n">
        <v>2409</v>
      </c>
      <c r="N874" s="25" t="n">
        <v>2090</v>
      </c>
      <c r="O874" s="25"/>
      <c r="P874" s="26" t="n">
        <f aca="false">(M874*N874/1000000)*(INDEX(AreaRate_Vals,MATCH(C874,AreaRate_Keys,0))+IFERROR(INDEX(GlazingUpg_Vals,MATCH(H874,GlazingUpg_Keys,0)),0))+INDEX(Hardware_Vals,MATCH("Doors",Hardware_Keys,0))</f>
        <v>10871.3605</v>
      </c>
      <c r="Q874" s="27" t="n">
        <f aca="false">INDEX(Markup_Vals,MATCH("Doors",MarkupCat_Keys,0))</f>
        <v>0.4</v>
      </c>
      <c r="R874" s="28" t="n">
        <f aca="false">P874*(1+Q874)</f>
        <v>15219.9047</v>
      </c>
      <c r="S874" s="28" t="n">
        <f aca="false">R874*(1-TradeDiscount)</f>
        <v>13393.516136</v>
      </c>
      <c r="T874" s="28" t="n">
        <f aca="false">R874*(1-VolumeDiscount)</f>
        <v>12175.92376</v>
      </c>
    </row>
    <row r="875" customFormat="false" ht="15" hidden="false" customHeight="false" outlineLevel="0" collapsed="false">
      <c r="A875" s="29" t="s">
        <v>1983</v>
      </c>
      <c r="B875" s="29" t="s">
        <v>97</v>
      </c>
      <c r="C875" s="29" t="s">
        <v>49</v>
      </c>
      <c r="D875" s="29" t="s">
        <v>1984</v>
      </c>
      <c r="E875" s="29" t="s">
        <v>1922</v>
      </c>
      <c r="F875" s="29" t="s">
        <v>1817</v>
      </c>
      <c r="G875" s="29" t="s">
        <v>36</v>
      </c>
      <c r="H875" s="29" t="s">
        <v>65</v>
      </c>
      <c r="I875" s="29" t="s">
        <v>190</v>
      </c>
      <c r="J875" s="29" t="s">
        <v>191</v>
      </c>
      <c r="K875" s="29" t="s">
        <v>192</v>
      </c>
      <c r="L875" s="29" t="s">
        <v>30</v>
      </c>
      <c r="M875" s="29" t="n">
        <v>2409</v>
      </c>
      <c r="N875" s="29" t="n">
        <v>2090</v>
      </c>
      <c r="O875" s="29"/>
      <c r="P875" s="30" t="n">
        <f aca="false">(M875*N875/1000000)*(INDEX(AreaRate_Vals,MATCH(C875,AreaRate_Keys,0))+IFERROR(INDEX(GlazingUpg_Vals,MATCH(H875,GlazingUpg_Keys,0)),0))+INDEX(Hardware_Vals,MATCH("Doors",Hardware_Keys,0))</f>
        <v>10871.3605</v>
      </c>
      <c r="Q875" s="31" t="n">
        <f aca="false">INDEX(Markup_Vals,MATCH("Doors",MarkupCat_Keys,0))</f>
        <v>0.4</v>
      </c>
      <c r="R875" s="32" t="n">
        <f aca="false">P875*(1+Q875)</f>
        <v>15219.9047</v>
      </c>
      <c r="S875" s="32" t="n">
        <f aca="false">R875*(1-TradeDiscount)</f>
        <v>13393.516136</v>
      </c>
      <c r="T875" s="32" t="n">
        <f aca="false">R875*(1-VolumeDiscount)</f>
        <v>12175.92376</v>
      </c>
    </row>
    <row r="876" customFormat="false" ht="15" hidden="false" customHeight="false" outlineLevel="0" collapsed="false">
      <c r="A876" s="25" t="s">
        <v>1985</v>
      </c>
      <c r="B876" s="25" t="s">
        <v>97</v>
      </c>
      <c r="C876" s="25" t="s">
        <v>49</v>
      </c>
      <c r="D876" s="25" t="s">
        <v>1986</v>
      </c>
      <c r="E876" s="25" t="s">
        <v>1922</v>
      </c>
      <c r="F876" s="25" t="s">
        <v>1817</v>
      </c>
      <c r="G876" s="25" t="s">
        <v>37</v>
      </c>
      <c r="H876" s="25" t="s">
        <v>65</v>
      </c>
      <c r="I876" s="25" t="s">
        <v>190</v>
      </c>
      <c r="J876" s="25" t="s">
        <v>191</v>
      </c>
      <c r="K876" s="25" t="s">
        <v>192</v>
      </c>
      <c r="L876" s="25" t="s">
        <v>30</v>
      </c>
      <c r="M876" s="25" t="n">
        <v>2409</v>
      </c>
      <c r="N876" s="25" t="n">
        <v>2090</v>
      </c>
      <c r="O876" s="25"/>
      <c r="P876" s="26" t="n">
        <f aca="false">(M876*N876/1000000)*(INDEX(AreaRate_Vals,MATCH(C876,AreaRate_Keys,0))+IFERROR(INDEX(GlazingUpg_Vals,MATCH(H876,GlazingUpg_Keys,0)),0))+INDEX(Hardware_Vals,MATCH("Doors",Hardware_Keys,0))</f>
        <v>10871.3605</v>
      </c>
      <c r="Q876" s="27" t="n">
        <f aca="false">INDEX(Markup_Vals,MATCH("Doors",MarkupCat_Keys,0))</f>
        <v>0.4</v>
      </c>
      <c r="R876" s="28" t="n">
        <f aca="false">P876*(1+Q876)</f>
        <v>15219.9047</v>
      </c>
      <c r="S876" s="28" t="n">
        <f aca="false">R876*(1-TradeDiscount)</f>
        <v>13393.516136</v>
      </c>
      <c r="T876" s="28" t="n">
        <f aca="false">R876*(1-VolumeDiscount)</f>
        <v>12175.92376</v>
      </c>
    </row>
    <row r="877" customFormat="false" ht="15" hidden="false" customHeight="false" outlineLevel="0" collapsed="false">
      <c r="A877" s="29" t="s">
        <v>1987</v>
      </c>
      <c r="B877" s="29" t="s">
        <v>97</v>
      </c>
      <c r="C877" s="29" t="s">
        <v>49</v>
      </c>
      <c r="D877" s="29" t="s">
        <v>1988</v>
      </c>
      <c r="E877" s="29" t="s">
        <v>1922</v>
      </c>
      <c r="F877" s="29" t="s">
        <v>1817</v>
      </c>
      <c r="G877" s="29" t="s">
        <v>39</v>
      </c>
      <c r="H877" s="29" t="s">
        <v>65</v>
      </c>
      <c r="I877" s="29" t="s">
        <v>190</v>
      </c>
      <c r="J877" s="29" t="s">
        <v>191</v>
      </c>
      <c r="K877" s="29" t="s">
        <v>192</v>
      </c>
      <c r="L877" s="29" t="s">
        <v>30</v>
      </c>
      <c r="M877" s="29" t="n">
        <v>2409</v>
      </c>
      <c r="N877" s="29" t="n">
        <v>2090</v>
      </c>
      <c r="O877" s="29"/>
      <c r="P877" s="30" t="n">
        <f aca="false">(M877*N877/1000000)*(INDEX(AreaRate_Vals,MATCH(C877,AreaRate_Keys,0))+IFERROR(INDEX(GlazingUpg_Vals,MATCH(H877,GlazingUpg_Keys,0)),0))+INDEX(Hardware_Vals,MATCH("Doors",Hardware_Keys,0))</f>
        <v>10871.3605</v>
      </c>
      <c r="Q877" s="31" t="n">
        <f aca="false">INDEX(Markup_Vals,MATCH("Doors",MarkupCat_Keys,0))</f>
        <v>0.4</v>
      </c>
      <c r="R877" s="32" t="n">
        <f aca="false">P877*(1+Q877)</f>
        <v>15219.9047</v>
      </c>
      <c r="S877" s="32" t="n">
        <f aca="false">R877*(1-TradeDiscount)</f>
        <v>13393.516136</v>
      </c>
      <c r="T877" s="32" t="n">
        <f aca="false">R877*(1-VolumeDiscount)</f>
        <v>12175.92376</v>
      </c>
    </row>
    <row r="878" customFormat="false" ht="15" hidden="false" customHeight="false" outlineLevel="0" collapsed="false">
      <c r="A878" s="25" t="s">
        <v>1989</v>
      </c>
      <c r="B878" s="25" t="s">
        <v>97</v>
      </c>
      <c r="C878" s="25" t="s">
        <v>49</v>
      </c>
      <c r="D878" s="25" t="s">
        <v>1990</v>
      </c>
      <c r="E878" s="25" t="s">
        <v>1922</v>
      </c>
      <c r="F878" s="25" t="s">
        <v>1817</v>
      </c>
      <c r="G878" s="25" t="s">
        <v>38</v>
      </c>
      <c r="H878" s="25" t="s">
        <v>65</v>
      </c>
      <c r="I878" s="25" t="s">
        <v>190</v>
      </c>
      <c r="J878" s="25" t="s">
        <v>191</v>
      </c>
      <c r="K878" s="25" t="s">
        <v>192</v>
      </c>
      <c r="L878" s="25" t="s">
        <v>30</v>
      </c>
      <c r="M878" s="25" t="n">
        <v>2409</v>
      </c>
      <c r="N878" s="25" t="n">
        <v>2090</v>
      </c>
      <c r="O878" s="25"/>
      <c r="P878" s="26" t="n">
        <f aca="false">(M878*N878/1000000)*(INDEX(AreaRate_Vals,MATCH(C878,AreaRate_Keys,0))+IFERROR(INDEX(GlazingUpg_Vals,MATCH(H878,GlazingUpg_Keys,0)),0))+INDEX(Hardware_Vals,MATCH("Doors",Hardware_Keys,0))</f>
        <v>10871.3605</v>
      </c>
      <c r="Q878" s="27" t="n">
        <f aca="false">INDEX(Markup_Vals,MATCH("Doors",MarkupCat_Keys,0))</f>
        <v>0.4</v>
      </c>
      <c r="R878" s="28" t="n">
        <f aca="false">P878*(1+Q878)</f>
        <v>15219.9047</v>
      </c>
      <c r="S878" s="28" t="n">
        <f aca="false">R878*(1-TradeDiscount)</f>
        <v>13393.516136</v>
      </c>
      <c r="T878" s="28" t="n">
        <f aca="false">R878*(1-VolumeDiscount)</f>
        <v>12175.92376</v>
      </c>
    </row>
    <row r="879" customFormat="false" ht="15" hidden="false" customHeight="false" outlineLevel="0" collapsed="false">
      <c r="A879" s="29" t="s">
        <v>1991</v>
      </c>
      <c r="B879" s="29" t="s">
        <v>97</v>
      </c>
      <c r="C879" s="29" t="s">
        <v>49</v>
      </c>
      <c r="D879" s="29" t="s">
        <v>1992</v>
      </c>
      <c r="E879" s="29" t="s">
        <v>1922</v>
      </c>
      <c r="F879" s="29" t="s">
        <v>1817</v>
      </c>
      <c r="G879" s="29" t="s">
        <v>35</v>
      </c>
      <c r="H879" s="29" t="s">
        <v>66</v>
      </c>
      <c r="I879" s="29" t="s">
        <v>190</v>
      </c>
      <c r="J879" s="29" t="s">
        <v>191</v>
      </c>
      <c r="K879" s="29" t="s">
        <v>192</v>
      </c>
      <c r="L879" s="29" t="s">
        <v>30</v>
      </c>
      <c r="M879" s="29" t="n">
        <v>2409</v>
      </c>
      <c r="N879" s="29" t="n">
        <v>2090</v>
      </c>
      <c r="O879" s="29"/>
      <c r="P879" s="30" t="n">
        <f aca="false">(M879*N879/1000000)*(INDEX(AreaRate_Vals,MATCH(C879,AreaRate_Keys,0))+IFERROR(INDEX(GlazingUpg_Vals,MATCH(H879,GlazingUpg_Keys,0)),0))+INDEX(Hardware_Vals,MATCH("Doors",Hardware_Keys,0))</f>
        <v>14395.7275</v>
      </c>
      <c r="Q879" s="31" t="n">
        <f aca="false">INDEX(Markup_Vals,MATCH("Doors",MarkupCat_Keys,0))</f>
        <v>0.4</v>
      </c>
      <c r="R879" s="32" t="n">
        <f aca="false">P879*(1+Q879)</f>
        <v>20154.0185</v>
      </c>
      <c r="S879" s="32" t="n">
        <f aca="false">R879*(1-TradeDiscount)</f>
        <v>17735.53628</v>
      </c>
      <c r="T879" s="32" t="n">
        <f aca="false">R879*(1-VolumeDiscount)</f>
        <v>16123.2148</v>
      </c>
    </row>
    <row r="880" customFormat="false" ht="15" hidden="false" customHeight="false" outlineLevel="0" collapsed="false">
      <c r="A880" s="25" t="s">
        <v>1993</v>
      </c>
      <c r="B880" s="25" t="s">
        <v>97</v>
      </c>
      <c r="C880" s="25" t="s">
        <v>49</v>
      </c>
      <c r="D880" s="25" t="s">
        <v>1994</v>
      </c>
      <c r="E880" s="25" t="s">
        <v>1922</v>
      </c>
      <c r="F880" s="25" t="s">
        <v>1817</v>
      </c>
      <c r="G880" s="25" t="s">
        <v>36</v>
      </c>
      <c r="H880" s="25" t="s">
        <v>66</v>
      </c>
      <c r="I880" s="25" t="s">
        <v>190</v>
      </c>
      <c r="J880" s="25" t="s">
        <v>191</v>
      </c>
      <c r="K880" s="25" t="s">
        <v>192</v>
      </c>
      <c r="L880" s="25" t="s">
        <v>30</v>
      </c>
      <c r="M880" s="25" t="n">
        <v>2409</v>
      </c>
      <c r="N880" s="25" t="n">
        <v>2090</v>
      </c>
      <c r="O880" s="25"/>
      <c r="P880" s="26" t="n">
        <f aca="false">(M880*N880/1000000)*(INDEX(AreaRate_Vals,MATCH(C880,AreaRate_Keys,0))+IFERROR(INDEX(GlazingUpg_Vals,MATCH(H880,GlazingUpg_Keys,0)),0))+INDEX(Hardware_Vals,MATCH("Doors",Hardware_Keys,0))</f>
        <v>14395.7275</v>
      </c>
      <c r="Q880" s="27" t="n">
        <f aca="false">INDEX(Markup_Vals,MATCH("Doors",MarkupCat_Keys,0))</f>
        <v>0.4</v>
      </c>
      <c r="R880" s="28" t="n">
        <f aca="false">P880*(1+Q880)</f>
        <v>20154.0185</v>
      </c>
      <c r="S880" s="28" t="n">
        <f aca="false">R880*(1-TradeDiscount)</f>
        <v>17735.53628</v>
      </c>
      <c r="T880" s="28" t="n">
        <f aca="false">R880*(1-VolumeDiscount)</f>
        <v>16123.2148</v>
      </c>
    </row>
    <row r="881" customFormat="false" ht="15" hidden="false" customHeight="false" outlineLevel="0" collapsed="false">
      <c r="A881" s="29" t="s">
        <v>1995</v>
      </c>
      <c r="B881" s="29" t="s">
        <v>97</v>
      </c>
      <c r="C881" s="29" t="s">
        <v>49</v>
      </c>
      <c r="D881" s="29" t="s">
        <v>1996</v>
      </c>
      <c r="E881" s="29" t="s">
        <v>1922</v>
      </c>
      <c r="F881" s="29" t="s">
        <v>1817</v>
      </c>
      <c r="G881" s="29" t="s">
        <v>37</v>
      </c>
      <c r="H881" s="29" t="s">
        <v>66</v>
      </c>
      <c r="I881" s="29" t="s">
        <v>190</v>
      </c>
      <c r="J881" s="29" t="s">
        <v>191</v>
      </c>
      <c r="K881" s="29" t="s">
        <v>192</v>
      </c>
      <c r="L881" s="29" t="s">
        <v>30</v>
      </c>
      <c r="M881" s="29" t="n">
        <v>2409</v>
      </c>
      <c r="N881" s="29" t="n">
        <v>2090</v>
      </c>
      <c r="O881" s="29"/>
      <c r="P881" s="30" t="n">
        <f aca="false">(M881*N881/1000000)*(INDEX(AreaRate_Vals,MATCH(C881,AreaRate_Keys,0))+IFERROR(INDEX(GlazingUpg_Vals,MATCH(H881,GlazingUpg_Keys,0)),0))+INDEX(Hardware_Vals,MATCH("Doors",Hardware_Keys,0))</f>
        <v>14395.7275</v>
      </c>
      <c r="Q881" s="31" t="n">
        <f aca="false">INDEX(Markup_Vals,MATCH("Doors",MarkupCat_Keys,0))</f>
        <v>0.4</v>
      </c>
      <c r="R881" s="32" t="n">
        <f aca="false">P881*(1+Q881)</f>
        <v>20154.0185</v>
      </c>
      <c r="S881" s="32" t="n">
        <f aca="false">R881*(1-TradeDiscount)</f>
        <v>17735.53628</v>
      </c>
      <c r="T881" s="32" t="n">
        <f aca="false">R881*(1-VolumeDiscount)</f>
        <v>16123.2148</v>
      </c>
    </row>
    <row r="882" customFormat="false" ht="15" hidden="false" customHeight="false" outlineLevel="0" collapsed="false">
      <c r="A882" s="25" t="s">
        <v>1997</v>
      </c>
      <c r="B882" s="25" t="s">
        <v>97</v>
      </c>
      <c r="C882" s="25" t="s">
        <v>49</v>
      </c>
      <c r="D882" s="25" t="s">
        <v>1998</v>
      </c>
      <c r="E882" s="25" t="s">
        <v>1922</v>
      </c>
      <c r="F882" s="25" t="s">
        <v>1817</v>
      </c>
      <c r="G882" s="25" t="s">
        <v>39</v>
      </c>
      <c r="H882" s="25" t="s">
        <v>66</v>
      </c>
      <c r="I882" s="25" t="s">
        <v>190</v>
      </c>
      <c r="J882" s="25" t="s">
        <v>191</v>
      </c>
      <c r="K882" s="25" t="s">
        <v>192</v>
      </c>
      <c r="L882" s="25" t="s">
        <v>30</v>
      </c>
      <c r="M882" s="25" t="n">
        <v>2409</v>
      </c>
      <c r="N882" s="25" t="n">
        <v>2090</v>
      </c>
      <c r="O882" s="25"/>
      <c r="P882" s="26" t="n">
        <f aca="false">(M882*N882/1000000)*(INDEX(AreaRate_Vals,MATCH(C882,AreaRate_Keys,0))+IFERROR(INDEX(GlazingUpg_Vals,MATCH(H882,GlazingUpg_Keys,0)),0))+INDEX(Hardware_Vals,MATCH("Doors",Hardware_Keys,0))</f>
        <v>14395.7275</v>
      </c>
      <c r="Q882" s="27" t="n">
        <f aca="false">INDEX(Markup_Vals,MATCH("Doors",MarkupCat_Keys,0))</f>
        <v>0.4</v>
      </c>
      <c r="R882" s="28" t="n">
        <f aca="false">P882*(1+Q882)</f>
        <v>20154.0185</v>
      </c>
      <c r="S882" s="28" t="n">
        <f aca="false">R882*(1-TradeDiscount)</f>
        <v>17735.53628</v>
      </c>
      <c r="T882" s="28" t="n">
        <f aca="false">R882*(1-VolumeDiscount)</f>
        <v>16123.2148</v>
      </c>
    </row>
    <row r="883" customFormat="false" ht="15" hidden="false" customHeight="false" outlineLevel="0" collapsed="false">
      <c r="A883" s="29" t="s">
        <v>1999</v>
      </c>
      <c r="B883" s="29" t="s">
        <v>97</v>
      </c>
      <c r="C883" s="29" t="s">
        <v>49</v>
      </c>
      <c r="D883" s="29" t="s">
        <v>2000</v>
      </c>
      <c r="E883" s="29" t="s">
        <v>1922</v>
      </c>
      <c r="F883" s="29" t="s">
        <v>1817</v>
      </c>
      <c r="G883" s="29" t="s">
        <v>38</v>
      </c>
      <c r="H883" s="29" t="s">
        <v>66</v>
      </c>
      <c r="I883" s="29" t="s">
        <v>190</v>
      </c>
      <c r="J883" s="29" t="s">
        <v>191</v>
      </c>
      <c r="K883" s="29" t="s">
        <v>192</v>
      </c>
      <c r="L883" s="29" t="s">
        <v>30</v>
      </c>
      <c r="M883" s="29" t="n">
        <v>2409</v>
      </c>
      <c r="N883" s="29" t="n">
        <v>2090</v>
      </c>
      <c r="O883" s="29"/>
      <c r="P883" s="30" t="n">
        <f aca="false">(M883*N883/1000000)*(INDEX(AreaRate_Vals,MATCH(C883,AreaRate_Keys,0))+IFERROR(INDEX(GlazingUpg_Vals,MATCH(H883,GlazingUpg_Keys,0)),0))+INDEX(Hardware_Vals,MATCH("Doors",Hardware_Keys,0))</f>
        <v>14395.7275</v>
      </c>
      <c r="Q883" s="31" t="n">
        <f aca="false">INDEX(Markup_Vals,MATCH("Doors",MarkupCat_Keys,0))</f>
        <v>0.4</v>
      </c>
      <c r="R883" s="32" t="n">
        <f aca="false">P883*(1+Q883)</f>
        <v>20154.0185</v>
      </c>
      <c r="S883" s="32" t="n">
        <f aca="false">R883*(1-TradeDiscount)</f>
        <v>17735.53628</v>
      </c>
      <c r="T883" s="32" t="n">
        <f aca="false">R883*(1-VolumeDiscount)</f>
        <v>16123.2148</v>
      </c>
    </row>
    <row r="884" customFormat="false" ht="15" hidden="false" customHeight="false" outlineLevel="0" collapsed="false">
      <c r="A884" s="25" t="s">
        <v>2001</v>
      </c>
      <c r="B884" s="25" t="s">
        <v>97</v>
      </c>
      <c r="C884" s="25" t="s">
        <v>49</v>
      </c>
      <c r="D884" s="25" t="s">
        <v>2002</v>
      </c>
      <c r="E884" s="25" t="s">
        <v>1922</v>
      </c>
      <c r="F884" s="25" t="s">
        <v>1838</v>
      </c>
      <c r="G884" s="25" t="s">
        <v>35</v>
      </c>
      <c r="H884" s="25" t="s">
        <v>65</v>
      </c>
      <c r="I884" s="25" t="s">
        <v>190</v>
      </c>
      <c r="J884" s="25" t="s">
        <v>191</v>
      </c>
      <c r="K884" s="25" t="s">
        <v>298</v>
      </c>
      <c r="L884" s="25" t="s">
        <v>30</v>
      </c>
      <c r="M884" s="25" t="n">
        <v>3009</v>
      </c>
      <c r="N884" s="25" t="n">
        <v>2090</v>
      </c>
      <c r="O884" s="25"/>
      <c r="P884" s="26" t="n">
        <f aca="false">(M884*N884/1000000)*(INDEX(AreaRate_Vals,MATCH(C884,AreaRate_Keys,0))+IFERROR(INDEX(GlazingUpg_Vals,MATCH(H884,GlazingUpg_Keys,0)),0))+INDEX(Hardware_Vals,MATCH("Doors",Hardware_Keys,0))</f>
        <v>13442.0605</v>
      </c>
      <c r="Q884" s="27" t="n">
        <f aca="false">INDEX(Markup_Vals,MATCH("Doors",MarkupCat_Keys,0))</f>
        <v>0.4</v>
      </c>
      <c r="R884" s="28" t="n">
        <f aca="false">P884*(1+Q884)</f>
        <v>18818.8847</v>
      </c>
      <c r="S884" s="28" t="n">
        <f aca="false">R884*(1-TradeDiscount)</f>
        <v>16560.618536</v>
      </c>
      <c r="T884" s="28" t="n">
        <f aca="false">R884*(1-VolumeDiscount)</f>
        <v>15055.10776</v>
      </c>
    </row>
    <row r="885" customFormat="false" ht="15" hidden="false" customHeight="false" outlineLevel="0" collapsed="false">
      <c r="A885" s="29" t="s">
        <v>2003</v>
      </c>
      <c r="B885" s="29" t="s">
        <v>97</v>
      </c>
      <c r="C885" s="29" t="s">
        <v>49</v>
      </c>
      <c r="D885" s="29" t="s">
        <v>2004</v>
      </c>
      <c r="E885" s="29" t="s">
        <v>1922</v>
      </c>
      <c r="F885" s="29" t="s">
        <v>1838</v>
      </c>
      <c r="G885" s="29" t="s">
        <v>36</v>
      </c>
      <c r="H885" s="29" t="s">
        <v>65</v>
      </c>
      <c r="I885" s="29" t="s">
        <v>190</v>
      </c>
      <c r="J885" s="29" t="s">
        <v>191</v>
      </c>
      <c r="K885" s="29" t="s">
        <v>298</v>
      </c>
      <c r="L885" s="29" t="s">
        <v>30</v>
      </c>
      <c r="M885" s="29" t="n">
        <v>3009</v>
      </c>
      <c r="N885" s="29" t="n">
        <v>2090</v>
      </c>
      <c r="O885" s="29"/>
      <c r="P885" s="30" t="n">
        <f aca="false">(M885*N885/1000000)*(INDEX(AreaRate_Vals,MATCH(C885,AreaRate_Keys,0))+IFERROR(INDEX(GlazingUpg_Vals,MATCH(H885,GlazingUpg_Keys,0)),0))+INDEX(Hardware_Vals,MATCH("Doors",Hardware_Keys,0))</f>
        <v>13442.0605</v>
      </c>
      <c r="Q885" s="31" t="n">
        <f aca="false">INDEX(Markup_Vals,MATCH("Doors",MarkupCat_Keys,0))</f>
        <v>0.4</v>
      </c>
      <c r="R885" s="32" t="n">
        <f aca="false">P885*(1+Q885)</f>
        <v>18818.8847</v>
      </c>
      <c r="S885" s="32" t="n">
        <f aca="false">R885*(1-TradeDiscount)</f>
        <v>16560.618536</v>
      </c>
      <c r="T885" s="32" t="n">
        <f aca="false">R885*(1-VolumeDiscount)</f>
        <v>15055.10776</v>
      </c>
    </row>
    <row r="886" customFormat="false" ht="15" hidden="false" customHeight="false" outlineLevel="0" collapsed="false">
      <c r="A886" s="25" t="s">
        <v>2005</v>
      </c>
      <c r="B886" s="25" t="s">
        <v>97</v>
      </c>
      <c r="C886" s="25" t="s">
        <v>49</v>
      </c>
      <c r="D886" s="25" t="s">
        <v>2006</v>
      </c>
      <c r="E886" s="25" t="s">
        <v>1922</v>
      </c>
      <c r="F886" s="25" t="s">
        <v>1838</v>
      </c>
      <c r="G886" s="25" t="s">
        <v>37</v>
      </c>
      <c r="H886" s="25" t="s">
        <v>65</v>
      </c>
      <c r="I886" s="25" t="s">
        <v>190</v>
      </c>
      <c r="J886" s="25" t="s">
        <v>191</v>
      </c>
      <c r="K886" s="25" t="s">
        <v>298</v>
      </c>
      <c r="L886" s="25" t="s">
        <v>30</v>
      </c>
      <c r="M886" s="25" t="n">
        <v>3009</v>
      </c>
      <c r="N886" s="25" t="n">
        <v>2090</v>
      </c>
      <c r="O886" s="25"/>
      <c r="P886" s="26" t="n">
        <f aca="false">(M886*N886/1000000)*(INDEX(AreaRate_Vals,MATCH(C886,AreaRate_Keys,0))+IFERROR(INDEX(GlazingUpg_Vals,MATCH(H886,GlazingUpg_Keys,0)),0))+INDEX(Hardware_Vals,MATCH("Doors",Hardware_Keys,0))</f>
        <v>13442.0605</v>
      </c>
      <c r="Q886" s="27" t="n">
        <f aca="false">INDEX(Markup_Vals,MATCH("Doors",MarkupCat_Keys,0))</f>
        <v>0.4</v>
      </c>
      <c r="R886" s="28" t="n">
        <f aca="false">P886*(1+Q886)</f>
        <v>18818.8847</v>
      </c>
      <c r="S886" s="28" t="n">
        <f aca="false">R886*(1-TradeDiscount)</f>
        <v>16560.618536</v>
      </c>
      <c r="T886" s="28" t="n">
        <f aca="false">R886*(1-VolumeDiscount)</f>
        <v>15055.10776</v>
      </c>
    </row>
    <row r="887" customFormat="false" ht="15" hidden="false" customHeight="false" outlineLevel="0" collapsed="false">
      <c r="A887" s="29" t="s">
        <v>2007</v>
      </c>
      <c r="B887" s="29" t="s">
        <v>97</v>
      </c>
      <c r="C887" s="29" t="s">
        <v>49</v>
      </c>
      <c r="D887" s="29" t="s">
        <v>2008</v>
      </c>
      <c r="E887" s="29" t="s">
        <v>1922</v>
      </c>
      <c r="F887" s="29" t="s">
        <v>1838</v>
      </c>
      <c r="G887" s="29" t="s">
        <v>39</v>
      </c>
      <c r="H887" s="29" t="s">
        <v>65</v>
      </c>
      <c r="I887" s="29" t="s">
        <v>190</v>
      </c>
      <c r="J887" s="29" t="s">
        <v>191</v>
      </c>
      <c r="K887" s="29" t="s">
        <v>298</v>
      </c>
      <c r="L887" s="29" t="s">
        <v>30</v>
      </c>
      <c r="M887" s="29" t="n">
        <v>3009</v>
      </c>
      <c r="N887" s="29" t="n">
        <v>2090</v>
      </c>
      <c r="O887" s="29"/>
      <c r="P887" s="30" t="n">
        <f aca="false">(M887*N887/1000000)*(INDEX(AreaRate_Vals,MATCH(C887,AreaRate_Keys,0))+IFERROR(INDEX(GlazingUpg_Vals,MATCH(H887,GlazingUpg_Keys,0)),0))+INDEX(Hardware_Vals,MATCH("Doors",Hardware_Keys,0))</f>
        <v>13442.0605</v>
      </c>
      <c r="Q887" s="31" t="n">
        <f aca="false">INDEX(Markup_Vals,MATCH("Doors",MarkupCat_Keys,0))</f>
        <v>0.4</v>
      </c>
      <c r="R887" s="32" t="n">
        <f aca="false">P887*(1+Q887)</f>
        <v>18818.8847</v>
      </c>
      <c r="S887" s="32" t="n">
        <f aca="false">R887*(1-TradeDiscount)</f>
        <v>16560.618536</v>
      </c>
      <c r="T887" s="32" t="n">
        <f aca="false">R887*(1-VolumeDiscount)</f>
        <v>15055.10776</v>
      </c>
    </row>
    <row r="888" customFormat="false" ht="15" hidden="false" customHeight="false" outlineLevel="0" collapsed="false">
      <c r="A888" s="25" t="s">
        <v>2009</v>
      </c>
      <c r="B888" s="25" t="s">
        <v>97</v>
      </c>
      <c r="C888" s="25" t="s">
        <v>49</v>
      </c>
      <c r="D888" s="25" t="s">
        <v>2010</v>
      </c>
      <c r="E888" s="25" t="s">
        <v>1922</v>
      </c>
      <c r="F888" s="25" t="s">
        <v>1838</v>
      </c>
      <c r="G888" s="25" t="s">
        <v>38</v>
      </c>
      <c r="H888" s="25" t="s">
        <v>65</v>
      </c>
      <c r="I888" s="25" t="s">
        <v>190</v>
      </c>
      <c r="J888" s="25" t="s">
        <v>191</v>
      </c>
      <c r="K888" s="25" t="s">
        <v>298</v>
      </c>
      <c r="L888" s="25" t="s">
        <v>30</v>
      </c>
      <c r="M888" s="25" t="n">
        <v>3009</v>
      </c>
      <c r="N888" s="25" t="n">
        <v>2090</v>
      </c>
      <c r="O888" s="25"/>
      <c r="P888" s="26" t="n">
        <f aca="false">(M888*N888/1000000)*(INDEX(AreaRate_Vals,MATCH(C888,AreaRate_Keys,0))+IFERROR(INDEX(GlazingUpg_Vals,MATCH(H888,GlazingUpg_Keys,0)),0))+INDEX(Hardware_Vals,MATCH("Doors",Hardware_Keys,0))</f>
        <v>13442.0605</v>
      </c>
      <c r="Q888" s="27" t="n">
        <f aca="false">INDEX(Markup_Vals,MATCH("Doors",MarkupCat_Keys,0))</f>
        <v>0.4</v>
      </c>
      <c r="R888" s="28" t="n">
        <f aca="false">P888*(1+Q888)</f>
        <v>18818.8847</v>
      </c>
      <c r="S888" s="28" t="n">
        <f aca="false">R888*(1-TradeDiscount)</f>
        <v>16560.618536</v>
      </c>
      <c r="T888" s="28" t="n">
        <f aca="false">R888*(1-VolumeDiscount)</f>
        <v>15055.10776</v>
      </c>
    </row>
    <row r="889" customFormat="false" ht="15" hidden="false" customHeight="false" outlineLevel="0" collapsed="false">
      <c r="A889" s="29" t="s">
        <v>2011</v>
      </c>
      <c r="B889" s="29" t="s">
        <v>97</v>
      </c>
      <c r="C889" s="29" t="s">
        <v>49</v>
      </c>
      <c r="D889" s="29" t="s">
        <v>2012</v>
      </c>
      <c r="E889" s="29" t="s">
        <v>1922</v>
      </c>
      <c r="F889" s="29" t="s">
        <v>1838</v>
      </c>
      <c r="G889" s="29" t="s">
        <v>35</v>
      </c>
      <c r="H889" s="29" t="s">
        <v>66</v>
      </c>
      <c r="I889" s="29" t="s">
        <v>190</v>
      </c>
      <c r="J889" s="29" t="s">
        <v>191</v>
      </c>
      <c r="K889" s="29" t="s">
        <v>298</v>
      </c>
      <c r="L889" s="29" t="s">
        <v>30</v>
      </c>
      <c r="M889" s="29" t="n">
        <v>3009</v>
      </c>
      <c r="N889" s="29" t="n">
        <v>2090</v>
      </c>
      <c r="O889" s="29"/>
      <c r="P889" s="30" t="n">
        <f aca="false">(M889*N889/1000000)*(INDEX(AreaRate_Vals,MATCH(C889,AreaRate_Keys,0))+IFERROR(INDEX(GlazingUpg_Vals,MATCH(H889,GlazingUpg_Keys,0)),0))+INDEX(Hardware_Vals,MATCH("Doors",Hardware_Keys,0))</f>
        <v>17844.2275</v>
      </c>
      <c r="Q889" s="31" t="n">
        <f aca="false">INDEX(Markup_Vals,MATCH("Doors",MarkupCat_Keys,0))</f>
        <v>0.4</v>
      </c>
      <c r="R889" s="32" t="n">
        <f aca="false">P889*(1+Q889)</f>
        <v>24981.9185</v>
      </c>
      <c r="S889" s="32" t="n">
        <f aca="false">R889*(1-TradeDiscount)</f>
        <v>21984.08828</v>
      </c>
      <c r="T889" s="32" t="n">
        <f aca="false">R889*(1-VolumeDiscount)</f>
        <v>19985.5348</v>
      </c>
    </row>
    <row r="890" customFormat="false" ht="15" hidden="false" customHeight="false" outlineLevel="0" collapsed="false">
      <c r="A890" s="25" t="s">
        <v>2013</v>
      </c>
      <c r="B890" s="25" t="s">
        <v>97</v>
      </c>
      <c r="C890" s="25" t="s">
        <v>49</v>
      </c>
      <c r="D890" s="25" t="s">
        <v>2014</v>
      </c>
      <c r="E890" s="25" t="s">
        <v>1922</v>
      </c>
      <c r="F890" s="25" t="s">
        <v>1838</v>
      </c>
      <c r="G890" s="25" t="s">
        <v>36</v>
      </c>
      <c r="H890" s="25" t="s">
        <v>66</v>
      </c>
      <c r="I890" s="25" t="s">
        <v>190</v>
      </c>
      <c r="J890" s="25" t="s">
        <v>191</v>
      </c>
      <c r="K890" s="25" t="s">
        <v>298</v>
      </c>
      <c r="L890" s="25" t="s">
        <v>30</v>
      </c>
      <c r="M890" s="25" t="n">
        <v>3009</v>
      </c>
      <c r="N890" s="25" t="n">
        <v>2090</v>
      </c>
      <c r="O890" s="25"/>
      <c r="P890" s="26" t="n">
        <f aca="false">(M890*N890/1000000)*(INDEX(AreaRate_Vals,MATCH(C890,AreaRate_Keys,0))+IFERROR(INDEX(GlazingUpg_Vals,MATCH(H890,GlazingUpg_Keys,0)),0))+INDEX(Hardware_Vals,MATCH("Doors",Hardware_Keys,0))</f>
        <v>17844.2275</v>
      </c>
      <c r="Q890" s="27" t="n">
        <f aca="false">INDEX(Markup_Vals,MATCH("Doors",MarkupCat_Keys,0))</f>
        <v>0.4</v>
      </c>
      <c r="R890" s="28" t="n">
        <f aca="false">P890*(1+Q890)</f>
        <v>24981.9185</v>
      </c>
      <c r="S890" s="28" t="n">
        <f aca="false">R890*(1-TradeDiscount)</f>
        <v>21984.08828</v>
      </c>
      <c r="T890" s="28" t="n">
        <f aca="false">R890*(1-VolumeDiscount)</f>
        <v>19985.5348</v>
      </c>
    </row>
    <row r="891" customFormat="false" ht="15" hidden="false" customHeight="false" outlineLevel="0" collapsed="false">
      <c r="A891" s="29" t="s">
        <v>2015</v>
      </c>
      <c r="B891" s="29" t="s">
        <v>97</v>
      </c>
      <c r="C891" s="29" t="s">
        <v>49</v>
      </c>
      <c r="D891" s="29" t="s">
        <v>2016</v>
      </c>
      <c r="E891" s="29" t="s">
        <v>1922</v>
      </c>
      <c r="F891" s="29" t="s">
        <v>1838</v>
      </c>
      <c r="G891" s="29" t="s">
        <v>37</v>
      </c>
      <c r="H891" s="29" t="s">
        <v>66</v>
      </c>
      <c r="I891" s="29" t="s">
        <v>190</v>
      </c>
      <c r="J891" s="29" t="s">
        <v>191</v>
      </c>
      <c r="K891" s="29" t="s">
        <v>298</v>
      </c>
      <c r="L891" s="29" t="s">
        <v>30</v>
      </c>
      <c r="M891" s="29" t="n">
        <v>3009</v>
      </c>
      <c r="N891" s="29" t="n">
        <v>2090</v>
      </c>
      <c r="O891" s="29"/>
      <c r="P891" s="30" t="n">
        <f aca="false">(M891*N891/1000000)*(INDEX(AreaRate_Vals,MATCH(C891,AreaRate_Keys,0))+IFERROR(INDEX(GlazingUpg_Vals,MATCH(H891,GlazingUpg_Keys,0)),0))+INDEX(Hardware_Vals,MATCH("Doors",Hardware_Keys,0))</f>
        <v>17844.2275</v>
      </c>
      <c r="Q891" s="31" t="n">
        <f aca="false">INDEX(Markup_Vals,MATCH("Doors",MarkupCat_Keys,0))</f>
        <v>0.4</v>
      </c>
      <c r="R891" s="32" t="n">
        <f aca="false">P891*(1+Q891)</f>
        <v>24981.9185</v>
      </c>
      <c r="S891" s="32" t="n">
        <f aca="false">R891*(1-TradeDiscount)</f>
        <v>21984.08828</v>
      </c>
      <c r="T891" s="32" t="n">
        <f aca="false">R891*(1-VolumeDiscount)</f>
        <v>19985.5348</v>
      </c>
    </row>
    <row r="892" customFormat="false" ht="15" hidden="false" customHeight="false" outlineLevel="0" collapsed="false">
      <c r="A892" s="25" t="s">
        <v>2017</v>
      </c>
      <c r="B892" s="25" t="s">
        <v>97</v>
      </c>
      <c r="C892" s="25" t="s">
        <v>49</v>
      </c>
      <c r="D892" s="25" t="s">
        <v>2018</v>
      </c>
      <c r="E892" s="25" t="s">
        <v>1922</v>
      </c>
      <c r="F892" s="25" t="s">
        <v>1838</v>
      </c>
      <c r="G892" s="25" t="s">
        <v>39</v>
      </c>
      <c r="H892" s="25" t="s">
        <v>66</v>
      </c>
      <c r="I892" s="25" t="s">
        <v>190</v>
      </c>
      <c r="J892" s="25" t="s">
        <v>191</v>
      </c>
      <c r="K892" s="25" t="s">
        <v>298</v>
      </c>
      <c r="L892" s="25" t="s">
        <v>30</v>
      </c>
      <c r="M892" s="25" t="n">
        <v>3009</v>
      </c>
      <c r="N892" s="25" t="n">
        <v>2090</v>
      </c>
      <c r="O892" s="25"/>
      <c r="P892" s="26" t="n">
        <f aca="false">(M892*N892/1000000)*(INDEX(AreaRate_Vals,MATCH(C892,AreaRate_Keys,0))+IFERROR(INDEX(GlazingUpg_Vals,MATCH(H892,GlazingUpg_Keys,0)),0))+INDEX(Hardware_Vals,MATCH("Doors",Hardware_Keys,0))</f>
        <v>17844.2275</v>
      </c>
      <c r="Q892" s="27" t="n">
        <f aca="false">INDEX(Markup_Vals,MATCH("Doors",MarkupCat_Keys,0))</f>
        <v>0.4</v>
      </c>
      <c r="R892" s="28" t="n">
        <f aca="false">P892*(1+Q892)</f>
        <v>24981.9185</v>
      </c>
      <c r="S892" s="28" t="n">
        <f aca="false">R892*(1-TradeDiscount)</f>
        <v>21984.08828</v>
      </c>
      <c r="T892" s="28" t="n">
        <f aca="false">R892*(1-VolumeDiscount)</f>
        <v>19985.5348</v>
      </c>
    </row>
    <row r="893" customFormat="false" ht="15" hidden="false" customHeight="false" outlineLevel="0" collapsed="false">
      <c r="A893" s="29" t="s">
        <v>2019</v>
      </c>
      <c r="B893" s="29" t="s">
        <v>97</v>
      </c>
      <c r="C893" s="29" t="s">
        <v>49</v>
      </c>
      <c r="D893" s="29" t="s">
        <v>2020</v>
      </c>
      <c r="E893" s="29" t="s">
        <v>1922</v>
      </c>
      <c r="F893" s="29" t="s">
        <v>1838</v>
      </c>
      <c r="G893" s="29" t="s">
        <v>38</v>
      </c>
      <c r="H893" s="29" t="s">
        <v>66</v>
      </c>
      <c r="I893" s="29" t="s">
        <v>190</v>
      </c>
      <c r="J893" s="29" t="s">
        <v>191</v>
      </c>
      <c r="K893" s="29" t="s">
        <v>298</v>
      </c>
      <c r="L893" s="29" t="s">
        <v>30</v>
      </c>
      <c r="M893" s="29" t="n">
        <v>3009</v>
      </c>
      <c r="N893" s="29" t="n">
        <v>2090</v>
      </c>
      <c r="O893" s="29"/>
      <c r="P893" s="30" t="n">
        <f aca="false">(M893*N893/1000000)*(INDEX(AreaRate_Vals,MATCH(C893,AreaRate_Keys,0))+IFERROR(INDEX(GlazingUpg_Vals,MATCH(H893,GlazingUpg_Keys,0)),0))+INDEX(Hardware_Vals,MATCH("Doors",Hardware_Keys,0))</f>
        <v>17844.2275</v>
      </c>
      <c r="Q893" s="31" t="n">
        <f aca="false">INDEX(Markup_Vals,MATCH("Doors",MarkupCat_Keys,0))</f>
        <v>0.4</v>
      </c>
      <c r="R893" s="32" t="n">
        <f aca="false">P893*(1+Q893)</f>
        <v>24981.9185</v>
      </c>
      <c r="S893" s="32" t="n">
        <f aca="false">R893*(1-TradeDiscount)</f>
        <v>21984.08828</v>
      </c>
      <c r="T893" s="32" t="n">
        <f aca="false">R893*(1-VolumeDiscount)</f>
        <v>19985.5348</v>
      </c>
    </row>
    <row r="894" customFormat="false" ht="15" hidden="false" customHeight="false" outlineLevel="0" collapsed="false">
      <c r="A894" s="25" t="s">
        <v>2021</v>
      </c>
      <c r="B894" s="25" t="s">
        <v>97</v>
      </c>
      <c r="C894" s="25" t="s">
        <v>49</v>
      </c>
      <c r="D894" s="25" t="s">
        <v>2022</v>
      </c>
      <c r="E894" s="25" t="s">
        <v>1922</v>
      </c>
      <c r="F894" s="25" t="s">
        <v>1859</v>
      </c>
      <c r="G894" s="25" t="s">
        <v>35</v>
      </c>
      <c r="H894" s="25" t="s">
        <v>65</v>
      </c>
      <c r="I894" s="25" t="s">
        <v>190</v>
      </c>
      <c r="J894" s="25" t="s">
        <v>191</v>
      </c>
      <c r="K894" s="25" t="s">
        <v>298</v>
      </c>
      <c r="L894" s="25" t="s">
        <v>30</v>
      </c>
      <c r="M894" s="25" t="n">
        <v>3609</v>
      </c>
      <c r="N894" s="25" t="n">
        <v>2090</v>
      </c>
      <c r="O894" s="25"/>
      <c r="P894" s="26" t="n">
        <f aca="false">(M894*N894/1000000)*(INDEX(AreaRate_Vals,MATCH(C894,AreaRate_Keys,0))+IFERROR(INDEX(GlazingUpg_Vals,MATCH(H894,GlazingUpg_Keys,0)),0))+INDEX(Hardware_Vals,MATCH("Doors",Hardware_Keys,0))</f>
        <v>16012.7605</v>
      </c>
      <c r="Q894" s="27" t="n">
        <f aca="false">INDEX(Markup_Vals,MATCH("Doors",MarkupCat_Keys,0))</f>
        <v>0.4</v>
      </c>
      <c r="R894" s="28" t="n">
        <f aca="false">P894*(1+Q894)</f>
        <v>22417.8647</v>
      </c>
      <c r="S894" s="28" t="n">
        <f aca="false">R894*(1-TradeDiscount)</f>
        <v>19727.720936</v>
      </c>
      <c r="T894" s="28" t="n">
        <f aca="false">R894*(1-VolumeDiscount)</f>
        <v>17934.29176</v>
      </c>
    </row>
    <row r="895" customFormat="false" ht="15" hidden="false" customHeight="false" outlineLevel="0" collapsed="false">
      <c r="A895" s="29" t="s">
        <v>2023</v>
      </c>
      <c r="B895" s="29" t="s">
        <v>97</v>
      </c>
      <c r="C895" s="29" t="s">
        <v>49</v>
      </c>
      <c r="D895" s="29" t="s">
        <v>2024</v>
      </c>
      <c r="E895" s="29" t="s">
        <v>1922</v>
      </c>
      <c r="F895" s="29" t="s">
        <v>1859</v>
      </c>
      <c r="G895" s="29" t="s">
        <v>36</v>
      </c>
      <c r="H895" s="29" t="s">
        <v>65</v>
      </c>
      <c r="I895" s="29" t="s">
        <v>190</v>
      </c>
      <c r="J895" s="29" t="s">
        <v>191</v>
      </c>
      <c r="K895" s="29" t="s">
        <v>298</v>
      </c>
      <c r="L895" s="29" t="s">
        <v>30</v>
      </c>
      <c r="M895" s="29" t="n">
        <v>3609</v>
      </c>
      <c r="N895" s="29" t="n">
        <v>2090</v>
      </c>
      <c r="O895" s="29"/>
      <c r="P895" s="30" t="n">
        <f aca="false">(M895*N895/1000000)*(INDEX(AreaRate_Vals,MATCH(C895,AreaRate_Keys,0))+IFERROR(INDEX(GlazingUpg_Vals,MATCH(H895,GlazingUpg_Keys,0)),0))+INDEX(Hardware_Vals,MATCH("Doors",Hardware_Keys,0))</f>
        <v>16012.7605</v>
      </c>
      <c r="Q895" s="31" t="n">
        <f aca="false">INDEX(Markup_Vals,MATCH("Doors",MarkupCat_Keys,0))</f>
        <v>0.4</v>
      </c>
      <c r="R895" s="32" t="n">
        <f aca="false">P895*(1+Q895)</f>
        <v>22417.8647</v>
      </c>
      <c r="S895" s="32" t="n">
        <f aca="false">R895*(1-TradeDiscount)</f>
        <v>19727.720936</v>
      </c>
      <c r="T895" s="32" t="n">
        <f aca="false">R895*(1-VolumeDiscount)</f>
        <v>17934.29176</v>
      </c>
    </row>
    <row r="896" customFormat="false" ht="15" hidden="false" customHeight="false" outlineLevel="0" collapsed="false">
      <c r="A896" s="25" t="s">
        <v>2025</v>
      </c>
      <c r="B896" s="25" t="s">
        <v>97</v>
      </c>
      <c r="C896" s="25" t="s">
        <v>49</v>
      </c>
      <c r="D896" s="25" t="s">
        <v>2026</v>
      </c>
      <c r="E896" s="25" t="s">
        <v>1922</v>
      </c>
      <c r="F896" s="25" t="s">
        <v>1859</v>
      </c>
      <c r="G896" s="25" t="s">
        <v>37</v>
      </c>
      <c r="H896" s="25" t="s">
        <v>65</v>
      </c>
      <c r="I896" s="25" t="s">
        <v>190</v>
      </c>
      <c r="J896" s="25" t="s">
        <v>191</v>
      </c>
      <c r="K896" s="25" t="s">
        <v>298</v>
      </c>
      <c r="L896" s="25" t="s">
        <v>30</v>
      </c>
      <c r="M896" s="25" t="n">
        <v>3609</v>
      </c>
      <c r="N896" s="25" t="n">
        <v>2090</v>
      </c>
      <c r="O896" s="25"/>
      <c r="P896" s="26" t="n">
        <f aca="false">(M896*N896/1000000)*(INDEX(AreaRate_Vals,MATCH(C896,AreaRate_Keys,0))+IFERROR(INDEX(GlazingUpg_Vals,MATCH(H896,GlazingUpg_Keys,0)),0))+INDEX(Hardware_Vals,MATCH("Doors",Hardware_Keys,0))</f>
        <v>16012.7605</v>
      </c>
      <c r="Q896" s="27" t="n">
        <f aca="false">INDEX(Markup_Vals,MATCH("Doors",MarkupCat_Keys,0))</f>
        <v>0.4</v>
      </c>
      <c r="R896" s="28" t="n">
        <f aca="false">P896*(1+Q896)</f>
        <v>22417.8647</v>
      </c>
      <c r="S896" s="28" t="n">
        <f aca="false">R896*(1-TradeDiscount)</f>
        <v>19727.720936</v>
      </c>
      <c r="T896" s="28" t="n">
        <f aca="false">R896*(1-VolumeDiscount)</f>
        <v>17934.29176</v>
      </c>
    </row>
    <row r="897" customFormat="false" ht="15" hidden="false" customHeight="false" outlineLevel="0" collapsed="false">
      <c r="A897" s="29" t="s">
        <v>2027</v>
      </c>
      <c r="B897" s="29" t="s">
        <v>97</v>
      </c>
      <c r="C897" s="29" t="s">
        <v>49</v>
      </c>
      <c r="D897" s="29" t="s">
        <v>2028</v>
      </c>
      <c r="E897" s="29" t="s">
        <v>1922</v>
      </c>
      <c r="F897" s="29" t="s">
        <v>1859</v>
      </c>
      <c r="G897" s="29" t="s">
        <v>39</v>
      </c>
      <c r="H897" s="29" t="s">
        <v>65</v>
      </c>
      <c r="I897" s="29" t="s">
        <v>190</v>
      </c>
      <c r="J897" s="29" t="s">
        <v>191</v>
      </c>
      <c r="K897" s="29" t="s">
        <v>298</v>
      </c>
      <c r="L897" s="29" t="s">
        <v>30</v>
      </c>
      <c r="M897" s="29" t="n">
        <v>3609</v>
      </c>
      <c r="N897" s="29" t="n">
        <v>2090</v>
      </c>
      <c r="O897" s="29"/>
      <c r="P897" s="30" t="n">
        <f aca="false">(M897*N897/1000000)*(INDEX(AreaRate_Vals,MATCH(C897,AreaRate_Keys,0))+IFERROR(INDEX(GlazingUpg_Vals,MATCH(H897,GlazingUpg_Keys,0)),0))+INDEX(Hardware_Vals,MATCH("Doors",Hardware_Keys,0))</f>
        <v>16012.7605</v>
      </c>
      <c r="Q897" s="31" t="n">
        <f aca="false">INDEX(Markup_Vals,MATCH("Doors",MarkupCat_Keys,0))</f>
        <v>0.4</v>
      </c>
      <c r="R897" s="32" t="n">
        <f aca="false">P897*(1+Q897)</f>
        <v>22417.8647</v>
      </c>
      <c r="S897" s="32" t="n">
        <f aca="false">R897*(1-TradeDiscount)</f>
        <v>19727.720936</v>
      </c>
      <c r="T897" s="32" t="n">
        <f aca="false">R897*(1-VolumeDiscount)</f>
        <v>17934.29176</v>
      </c>
    </row>
    <row r="898" customFormat="false" ht="15" hidden="false" customHeight="false" outlineLevel="0" collapsed="false">
      <c r="A898" s="25" t="s">
        <v>2029</v>
      </c>
      <c r="B898" s="25" t="s">
        <v>97</v>
      </c>
      <c r="C898" s="25" t="s">
        <v>49</v>
      </c>
      <c r="D898" s="25" t="s">
        <v>2030</v>
      </c>
      <c r="E898" s="25" t="s">
        <v>1922</v>
      </c>
      <c r="F898" s="25" t="s">
        <v>1859</v>
      </c>
      <c r="G898" s="25" t="s">
        <v>38</v>
      </c>
      <c r="H898" s="25" t="s">
        <v>65</v>
      </c>
      <c r="I898" s="25" t="s">
        <v>190</v>
      </c>
      <c r="J898" s="25" t="s">
        <v>191</v>
      </c>
      <c r="K898" s="25" t="s">
        <v>298</v>
      </c>
      <c r="L898" s="25" t="s">
        <v>30</v>
      </c>
      <c r="M898" s="25" t="n">
        <v>3609</v>
      </c>
      <c r="N898" s="25" t="n">
        <v>2090</v>
      </c>
      <c r="O898" s="25"/>
      <c r="P898" s="26" t="n">
        <f aca="false">(M898*N898/1000000)*(INDEX(AreaRate_Vals,MATCH(C898,AreaRate_Keys,0))+IFERROR(INDEX(GlazingUpg_Vals,MATCH(H898,GlazingUpg_Keys,0)),0))+INDEX(Hardware_Vals,MATCH("Doors",Hardware_Keys,0))</f>
        <v>16012.7605</v>
      </c>
      <c r="Q898" s="27" t="n">
        <f aca="false">INDEX(Markup_Vals,MATCH("Doors",MarkupCat_Keys,0))</f>
        <v>0.4</v>
      </c>
      <c r="R898" s="28" t="n">
        <f aca="false">P898*(1+Q898)</f>
        <v>22417.8647</v>
      </c>
      <c r="S898" s="28" t="n">
        <f aca="false">R898*(1-TradeDiscount)</f>
        <v>19727.720936</v>
      </c>
      <c r="T898" s="28" t="n">
        <f aca="false">R898*(1-VolumeDiscount)</f>
        <v>17934.29176</v>
      </c>
    </row>
    <row r="899" customFormat="false" ht="15" hidden="false" customHeight="false" outlineLevel="0" collapsed="false">
      <c r="A899" s="29" t="s">
        <v>2031</v>
      </c>
      <c r="B899" s="29" t="s">
        <v>97</v>
      </c>
      <c r="C899" s="29" t="s">
        <v>49</v>
      </c>
      <c r="D899" s="29" t="s">
        <v>2032</v>
      </c>
      <c r="E899" s="29" t="s">
        <v>1922</v>
      </c>
      <c r="F899" s="29" t="s">
        <v>1859</v>
      </c>
      <c r="G899" s="29" t="s">
        <v>35</v>
      </c>
      <c r="H899" s="29" t="s">
        <v>66</v>
      </c>
      <c r="I899" s="29" t="s">
        <v>190</v>
      </c>
      <c r="J899" s="29" t="s">
        <v>191</v>
      </c>
      <c r="K899" s="29" t="s">
        <v>298</v>
      </c>
      <c r="L899" s="29" t="s">
        <v>30</v>
      </c>
      <c r="M899" s="29" t="n">
        <v>3609</v>
      </c>
      <c r="N899" s="29" t="n">
        <v>2090</v>
      </c>
      <c r="O899" s="29"/>
      <c r="P899" s="30" t="n">
        <f aca="false">(M899*N899/1000000)*(INDEX(AreaRate_Vals,MATCH(C899,AreaRate_Keys,0))+IFERROR(INDEX(GlazingUpg_Vals,MATCH(H899,GlazingUpg_Keys,0)),0))+INDEX(Hardware_Vals,MATCH("Doors",Hardware_Keys,0))</f>
        <v>21292.7275</v>
      </c>
      <c r="Q899" s="31" t="n">
        <f aca="false">INDEX(Markup_Vals,MATCH("Doors",MarkupCat_Keys,0))</f>
        <v>0.4</v>
      </c>
      <c r="R899" s="32" t="n">
        <f aca="false">P899*(1+Q899)</f>
        <v>29809.8185</v>
      </c>
      <c r="S899" s="32" t="n">
        <f aca="false">R899*(1-TradeDiscount)</f>
        <v>26232.64028</v>
      </c>
      <c r="T899" s="32" t="n">
        <f aca="false">R899*(1-VolumeDiscount)</f>
        <v>23847.8548</v>
      </c>
    </row>
    <row r="900" customFormat="false" ht="15" hidden="false" customHeight="false" outlineLevel="0" collapsed="false">
      <c r="A900" s="25" t="s">
        <v>2033</v>
      </c>
      <c r="B900" s="25" t="s">
        <v>97</v>
      </c>
      <c r="C900" s="25" t="s">
        <v>49</v>
      </c>
      <c r="D900" s="25" t="s">
        <v>2034</v>
      </c>
      <c r="E900" s="25" t="s">
        <v>1922</v>
      </c>
      <c r="F900" s="25" t="s">
        <v>1859</v>
      </c>
      <c r="G900" s="25" t="s">
        <v>36</v>
      </c>
      <c r="H900" s="25" t="s">
        <v>66</v>
      </c>
      <c r="I900" s="25" t="s">
        <v>190</v>
      </c>
      <c r="J900" s="25" t="s">
        <v>191</v>
      </c>
      <c r="K900" s="25" t="s">
        <v>298</v>
      </c>
      <c r="L900" s="25" t="s">
        <v>30</v>
      </c>
      <c r="M900" s="25" t="n">
        <v>3609</v>
      </c>
      <c r="N900" s="25" t="n">
        <v>2090</v>
      </c>
      <c r="O900" s="25"/>
      <c r="P900" s="26" t="n">
        <f aca="false">(M900*N900/1000000)*(INDEX(AreaRate_Vals,MATCH(C900,AreaRate_Keys,0))+IFERROR(INDEX(GlazingUpg_Vals,MATCH(H900,GlazingUpg_Keys,0)),0))+INDEX(Hardware_Vals,MATCH("Doors",Hardware_Keys,0))</f>
        <v>21292.7275</v>
      </c>
      <c r="Q900" s="27" t="n">
        <f aca="false">INDEX(Markup_Vals,MATCH("Doors",MarkupCat_Keys,0))</f>
        <v>0.4</v>
      </c>
      <c r="R900" s="28" t="n">
        <f aca="false">P900*(1+Q900)</f>
        <v>29809.8185</v>
      </c>
      <c r="S900" s="28" t="n">
        <f aca="false">R900*(1-TradeDiscount)</f>
        <v>26232.64028</v>
      </c>
      <c r="T900" s="28" t="n">
        <f aca="false">R900*(1-VolumeDiscount)</f>
        <v>23847.8548</v>
      </c>
    </row>
    <row r="901" customFormat="false" ht="15" hidden="false" customHeight="false" outlineLevel="0" collapsed="false">
      <c r="A901" s="29" t="s">
        <v>2035</v>
      </c>
      <c r="B901" s="29" t="s">
        <v>97</v>
      </c>
      <c r="C901" s="29" t="s">
        <v>49</v>
      </c>
      <c r="D901" s="29" t="s">
        <v>2036</v>
      </c>
      <c r="E901" s="29" t="s">
        <v>1922</v>
      </c>
      <c r="F901" s="29" t="s">
        <v>1859</v>
      </c>
      <c r="G901" s="29" t="s">
        <v>37</v>
      </c>
      <c r="H901" s="29" t="s">
        <v>66</v>
      </c>
      <c r="I901" s="29" t="s">
        <v>190</v>
      </c>
      <c r="J901" s="29" t="s">
        <v>191</v>
      </c>
      <c r="K901" s="29" t="s">
        <v>298</v>
      </c>
      <c r="L901" s="29" t="s">
        <v>30</v>
      </c>
      <c r="M901" s="29" t="n">
        <v>3609</v>
      </c>
      <c r="N901" s="29" t="n">
        <v>2090</v>
      </c>
      <c r="O901" s="29"/>
      <c r="P901" s="30" t="n">
        <f aca="false">(M901*N901/1000000)*(INDEX(AreaRate_Vals,MATCH(C901,AreaRate_Keys,0))+IFERROR(INDEX(GlazingUpg_Vals,MATCH(H901,GlazingUpg_Keys,0)),0))+INDEX(Hardware_Vals,MATCH("Doors",Hardware_Keys,0))</f>
        <v>21292.7275</v>
      </c>
      <c r="Q901" s="31" t="n">
        <f aca="false">INDEX(Markup_Vals,MATCH("Doors",MarkupCat_Keys,0))</f>
        <v>0.4</v>
      </c>
      <c r="R901" s="32" t="n">
        <f aca="false">P901*(1+Q901)</f>
        <v>29809.8185</v>
      </c>
      <c r="S901" s="32" t="n">
        <f aca="false">R901*(1-TradeDiscount)</f>
        <v>26232.64028</v>
      </c>
      <c r="T901" s="32" t="n">
        <f aca="false">R901*(1-VolumeDiscount)</f>
        <v>23847.8548</v>
      </c>
    </row>
    <row r="902" customFormat="false" ht="15" hidden="false" customHeight="false" outlineLevel="0" collapsed="false">
      <c r="A902" s="25" t="s">
        <v>2037</v>
      </c>
      <c r="B902" s="25" t="s">
        <v>97</v>
      </c>
      <c r="C902" s="25" t="s">
        <v>49</v>
      </c>
      <c r="D902" s="25" t="s">
        <v>2038</v>
      </c>
      <c r="E902" s="25" t="s">
        <v>1922</v>
      </c>
      <c r="F902" s="25" t="s">
        <v>1859</v>
      </c>
      <c r="G902" s="25" t="s">
        <v>39</v>
      </c>
      <c r="H902" s="25" t="s">
        <v>66</v>
      </c>
      <c r="I902" s="25" t="s">
        <v>190</v>
      </c>
      <c r="J902" s="25" t="s">
        <v>191</v>
      </c>
      <c r="K902" s="25" t="s">
        <v>298</v>
      </c>
      <c r="L902" s="25" t="s">
        <v>30</v>
      </c>
      <c r="M902" s="25" t="n">
        <v>3609</v>
      </c>
      <c r="N902" s="25" t="n">
        <v>2090</v>
      </c>
      <c r="O902" s="25"/>
      <c r="P902" s="26" t="n">
        <f aca="false">(M902*N902/1000000)*(INDEX(AreaRate_Vals,MATCH(C902,AreaRate_Keys,0))+IFERROR(INDEX(GlazingUpg_Vals,MATCH(H902,GlazingUpg_Keys,0)),0))+INDEX(Hardware_Vals,MATCH("Doors",Hardware_Keys,0))</f>
        <v>21292.7275</v>
      </c>
      <c r="Q902" s="27" t="n">
        <f aca="false">INDEX(Markup_Vals,MATCH("Doors",MarkupCat_Keys,0))</f>
        <v>0.4</v>
      </c>
      <c r="R902" s="28" t="n">
        <f aca="false">P902*(1+Q902)</f>
        <v>29809.8185</v>
      </c>
      <c r="S902" s="28" t="n">
        <f aca="false">R902*(1-TradeDiscount)</f>
        <v>26232.64028</v>
      </c>
      <c r="T902" s="28" t="n">
        <f aca="false">R902*(1-VolumeDiscount)</f>
        <v>23847.8548</v>
      </c>
    </row>
    <row r="903" customFormat="false" ht="15" hidden="false" customHeight="false" outlineLevel="0" collapsed="false">
      <c r="A903" s="29" t="s">
        <v>2039</v>
      </c>
      <c r="B903" s="29" t="s">
        <v>97</v>
      </c>
      <c r="C903" s="29" t="s">
        <v>49</v>
      </c>
      <c r="D903" s="29" t="s">
        <v>2040</v>
      </c>
      <c r="E903" s="29" t="s">
        <v>1922</v>
      </c>
      <c r="F903" s="29" t="s">
        <v>1859</v>
      </c>
      <c r="G903" s="29" t="s">
        <v>38</v>
      </c>
      <c r="H903" s="29" t="s">
        <v>66</v>
      </c>
      <c r="I903" s="29" t="s">
        <v>190</v>
      </c>
      <c r="J903" s="29" t="s">
        <v>191</v>
      </c>
      <c r="K903" s="29" t="s">
        <v>298</v>
      </c>
      <c r="L903" s="29" t="s">
        <v>30</v>
      </c>
      <c r="M903" s="29" t="n">
        <v>3609</v>
      </c>
      <c r="N903" s="29" t="n">
        <v>2090</v>
      </c>
      <c r="O903" s="29"/>
      <c r="P903" s="30" t="n">
        <f aca="false">(M903*N903/1000000)*(INDEX(AreaRate_Vals,MATCH(C903,AreaRate_Keys,0))+IFERROR(INDEX(GlazingUpg_Vals,MATCH(H903,GlazingUpg_Keys,0)),0))+INDEX(Hardware_Vals,MATCH("Doors",Hardware_Keys,0))</f>
        <v>21292.7275</v>
      </c>
      <c r="Q903" s="31" t="n">
        <f aca="false">INDEX(Markup_Vals,MATCH("Doors",MarkupCat_Keys,0))</f>
        <v>0.4</v>
      </c>
      <c r="R903" s="32" t="n">
        <f aca="false">P903*(1+Q903)</f>
        <v>29809.8185</v>
      </c>
      <c r="S903" s="32" t="n">
        <f aca="false">R903*(1-TradeDiscount)</f>
        <v>26232.64028</v>
      </c>
      <c r="T903" s="32" t="n">
        <f aca="false">R903*(1-VolumeDiscount)</f>
        <v>23847.8548</v>
      </c>
    </row>
    <row r="904" customFormat="false" ht="15" hidden="false" customHeight="false" outlineLevel="0" collapsed="false">
      <c r="A904" s="25" t="s">
        <v>2041</v>
      </c>
      <c r="B904" s="25" t="s">
        <v>97</v>
      </c>
      <c r="C904" s="25" t="s">
        <v>49</v>
      </c>
      <c r="D904" s="25" t="s">
        <v>2042</v>
      </c>
      <c r="E904" s="25" t="s">
        <v>1922</v>
      </c>
      <c r="F904" s="25" t="s">
        <v>1880</v>
      </c>
      <c r="G904" s="25" t="s">
        <v>35</v>
      </c>
      <c r="H904" s="25" t="s">
        <v>65</v>
      </c>
      <c r="I904" s="25" t="s">
        <v>190</v>
      </c>
      <c r="J904" s="25" t="s">
        <v>191</v>
      </c>
      <c r="K904" s="25" t="s">
        <v>298</v>
      </c>
      <c r="L904" s="25" t="s">
        <v>30</v>
      </c>
      <c r="M904" s="25" t="n">
        <v>4209</v>
      </c>
      <c r="N904" s="25" t="n">
        <v>2090</v>
      </c>
      <c r="O904" s="25"/>
      <c r="P904" s="26" t="n">
        <f aca="false">(M904*N904/1000000)*(INDEX(AreaRate_Vals,MATCH(C904,AreaRate_Keys,0))+IFERROR(INDEX(GlazingUpg_Vals,MATCH(H904,GlazingUpg_Keys,0)),0))+INDEX(Hardware_Vals,MATCH("Doors",Hardware_Keys,0))</f>
        <v>18583.4605</v>
      </c>
      <c r="Q904" s="27" t="n">
        <f aca="false">INDEX(Markup_Vals,MATCH("Doors",MarkupCat_Keys,0))</f>
        <v>0.4</v>
      </c>
      <c r="R904" s="28" t="n">
        <f aca="false">P904*(1+Q904)</f>
        <v>26016.8447</v>
      </c>
      <c r="S904" s="28" t="n">
        <f aca="false">R904*(1-TradeDiscount)</f>
        <v>22894.823336</v>
      </c>
      <c r="T904" s="28" t="n">
        <f aca="false">R904*(1-VolumeDiscount)</f>
        <v>20813.47576</v>
      </c>
    </row>
    <row r="905" customFormat="false" ht="15" hidden="false" customHeight="false" outlineLevel="0" collapsed="false">
      <c r="A905" s="29" t="s">
        <v>2043</v>
      </c>
      <c r="B905" s="29" t="s">
        <v>97</v>
      </c>
      <c r="C905" s="29" t="s">
        <v>49</v>
      </c>
      <c r="D905" s="29" t="s">
        <v>2044</v>
      </c>
      <c r="E905" s="29" t="s">
        <v>1922</v>
      </c>
      <c r="F905" s="29" t="s">
        <v>1880</v>
      </c>
      <c r="G905" s="29" t="s">
        <v>36</v>
      </c>
      <c r="H905" s="29" t="s">
        <v>65</v>
      </c>
      <c r="I905" s="29" t="s">
        <v>190</v>
      </c>
      <c r="J905" s="29" t="s">
        <v>191</v>
      </c>
      <c r="K905" s="29" t="s">
        <v>298</v>
      </c>
      <c r="L905" s="29" t="s">
        <v>30</v>
      </c>
      <c r="M905" s="29" t="n">
        <v>4209</v>
      </c>
      <c r="N905" s="29" t="n">
        <v>2090</v>
      </c>
      <c r="O905" s="29"/>
      <c r="P905" s="30" t="n">
        <f aca="false">(M905*N905/1000000)*(INDEX(AreaRate_Vals,MATCH(C905,AreaRate_Keys,0))+IFERROR(INDEX(GlazingUpg_Vals,MATCH(H905,GlazingUpg_Keys,0)),0))+INDEX(Hardware_Vals,MATCH("Doors",Hardware_Keys,0))</f>
        <v>18583.4605</v>
      </c>
      <c r="Q905" s="31" t="n">
        <f aca="false">INDEX(Markup_Vals,MATCH("Doors",MarkupCat_Keys,0))</f>
        <v>0.4</v>
      </c>
      <c r="R905" s="32" t="n">
        <f aca="false">P905*(1+Q905)</f>
        <v>26016.8447</v>
      </c>
      <c r="S905" s="32" t="n">
        <f aca="false">R905*(1-TradeDiscount)</f>
        <v>22894.823336</v>
      </c>
      <c r="T905" s="32" t="n">
        <f aca="false">R905*(1-VolumeDiscount)</f>
        <v>20813.47576</v>
      </c>
    </row>
    <row r="906" customFormat="false" ht="15" hidden="false" customHeight="false" outlineLevel="0" collapsed="false">
      <c r="A906" s="25" t="s">
        <v>2045</v>
      </c>
      <c r="B906" s="25" t="s">
        <v>97</v>
      </c>
      <c r="C906" s="25" t="s">
        <v>49</v>
      </c>
      <c r="D906" s="25" t="s">
        <v>2046</v>
      </c>
      <c r="E906" s="25" t="s">
        <v>1922</v>
      </c>
      <c r="F906" s="25" t="s">
        <v>1880</v>
      </c>
      <c r="G906" s="25" t="s">
        <v>37</v>
      </c>
      <c r="H906" s="25" t="s">
        <v>65</v>
      </c>
      <c r="I906" s="25" t="s">
        <v>190</v>
      </c>
      <c r="J906" s="25" t="s">
        <v>191</v>
      </c>
      <c r="K906" s="25" t="s">
        <v>298</v>
      </c>
      <c r="L906" s="25" t="s">
        <v>30</v>
      </c>
      <c r="M906" s="25" t="n">
        <v>4209</v>
      </c>
      <c r="N906" s="25" t="n">
        <v>2090</v>
      </c>
      <c r="O906" s="25"/>
      <c r="P906" s="26" t="n">
        <f aca="false">(M906*N906/1000000)*(INDEX(AreaRate_Vals,MATCH(C906,AreaRate_Keys,0))+IFERROR(INDEX(GlazingUpg_Vals,MATCH(H906,GlazingUpg_Keys,0)),0))+INDEX(Hardware_Vals,MATCH("Doors",Hardware_Keys,0))</f>
        <v>18583.4605</v>
      </c>
      <c r="Q906" s="27" t="n">
        <f aca="false">INDEX(Markup_Vals,MATCH("Doors",MarkupCat_Keys,0))</f>
        <v>0.4</v>
      </c>
      <c r="R906" s="28" t="n">
        <f aca="false">P906*(1+Q906)</f>
        <v>26016.8447</v>
      </c>
      <c r="S906" s="28" t="n">
        <f aca="false">R906*(1-TradeDiscount)</f>
        <v>22894.823336</v>
      </c>
      <c r="T906" s="28" t="n">
        <f aca="false">R906*(1-VolumeDiscount)</f>
        <v>20813.47576</v>
      </c>
    </row>
    <row r="907" customFormat="false" ht="15" hidden="false" customHeight="false" outlineLevel="0" collapsed="false">
      <c r="A907" s="29" t="s">
        <v>2047</v>
      </c>
      <c r="B907" s="29" t="s">
        <v>97</v>
      </c>
      <c r="C907" s="29" t="s">
        <v>49</v>
      </c>
      <c r="D907" s="29" t="s">
        <v>2048</v>
      </c>
      <c r="E907" s="29" t="s">
        <v>1922</v>
      </c>
      <c r="F907" s="29" t="s">
        <v>1880</v>
      </c>
      <c r="G907" s="29" t="s">
        <v>39</v>
      </c>
      <c r="H907" s="29" t="s">
        <v>65</v>
      </c>
      <c r="I907" s="29" t="s">
        <v>190</v>
      </c>
      <c r="J907" s="29" t="s">
        <v>191</v>
      </c>
      <c r="K907" s="29" t="s">
        <v>298</v>
      </c>
      <c r="L907" s="29" t="s">
        <v>30</v>
      </c>
      <c r="M907" s="29" t="n">
        <v>4209</v>
      </c>
      <c r="N907" s="29" t="n">
        <v>2090</v>
      </c>
      <c r="O907" s="29"/>
      <c r="P907" s="30" t="n">
        <f aca="false">(M907*N907/1000000)*(INDEX(AreaRate_Vals,MATCH(C907,AreaRate_Keys,0))+IFERROR(INDEX(GlazingUpg_Vals,MATCH(H907,GlazingUpg_Keys,0)),0))+INDEX(Hardware_Vals,MATCH("Doors",Hardware_Keys,0))</f>
        <v>18583.4605</v>
      </c>
      <c r="Q907" s="31" t="n">
        <f aca="false">INDEX(Markup_Vals,MATCH("Doors",MarkupCat_Keys,0))</f>
        <v>0.4</v>
      </c>
      <c r="R907" s="32" t="n">
        <f aca="false">P907*(1+Q907)</f>
        <v>26016.8447</v>
      </c>
      <c r="S907" s="32" t="n">
        <f aca="false">R907*(1-TradeDiscount)</f>
        <v>22894.823336</v>
      </c>
      <c r="T907" s="32" t="n">
        <f aca="false">R907*(1-VolumeDiscount)</f>
        <v>20813.47576</v>
      </c>
    </row>
    <row r="908" customFormat="false" ht="15" hidden="false" customHeight="false" outlineLevel="0" collapsed="false">
      <c r="A908" s="25" t="s">
        <v>2049</v>
      </c>
      <c r="B908" s="25" t="s">
        <v>97</v>
      </c>
      <c r="C908" s="25" t="s">
        <v>49</v>
      </c>
      <c r="D908" s="25" t="s">
        <v>2050</v>
      </c>
      <c r="E908" s="25" t="s">
        <v>1922</v>
      </c>
      <c r="F908" s="25" t="s">
        <v>1880</v>
      </c>
      <c r="G908" s="25" t="s">
        <v>38</v>
      </c>
      <c r="H908" s="25" t="s">
        <v>65</v>
      </c>
      <c r="I908" s="25" t="s">
        <v>190</v>
      </c>
      <c r="J908" s="25" t="s">
        <v>191</v>
      </c>
      <c r="K908" s="25" t="s">
        <v>298</v>
      </c>
      <c r="L908" s="25" t="s">
        <v>30</v>
      </c>
      <c r="M908" s="25" t="n">
        <v>4209</v>
      </c>
      <c r="N908" s="25" t="n">
        <v>2090</v>
      </c>
      <c r="O908" s="25"/>
      <c r="P908" s="26" t="n">
        <f aca="false">(M908*N908/1000000)*(INDEX(AreaRate_Vals,MATCH(C908,AreaRate_Keys,0))+IFERROR(INDEX(GlazingUpg_Vals,MATCH(H908,GlazingUpg_Keys,0)),0))+INDEX(Hardware_Vals,MATCH("Doors",Hardware_Keys,0))</f>
        <v>18583.4605</v>
      </c>
      <c r="Q908" s="27" t="n">
        <f aca="false">INDEX(Markup_Vals,MATCH("Doors",MarkupCat_Keys,0))</f>
        <v>0.4</v>
      </c>
      <c r="R908" s="28" t="n">
        <f aca="false">P908*(1+Q908)</f>
        <v>26016.8447</v>
      </c>
      <c r="S908" s="28" t="n">
        <f aca="false">R908*(1-TradeDiscount)</f>
        <v>22894.823336</v>
      </c>
      <c r="T908" s="28" t="n">
        <f aca="false">R908*(1-VolumeDiscount)</f>
        <v>20813.47576</v>
      </c>
    </row>
    <row r="909" customFormat="false" ht="15" hidden="false" customHeight="false" outlineLevel="0" collapsed="false">
      <c r="A909" s="29" t="s">
        <v>2051</v>
      </c>
      <c r="B909" s="29" t="s">
        <v>97</v>
      </c>
      <c r="C909" s="29" t="s">
        <v>49</v>
      </c>
      <c r="D909" s="29" t="s">
        <v>2052</v>
      </c>
      <c r="E909" s="29" t="s">
        <v>1922</v>
      </c>
      <c r="F909" s="29" t="s">
        <v>1880</v>
      </c>
      <c r="G909" s="29" t="s">
        <v>35</v>
      </c>
      <c r="H909" s="29" t="s">
        <v>66</v>
      </c>
      <c r="I909" s="29" t="s">
        <v>190</v>
      </c>
      <c r="J909" s="29" t="s">
        <v>191</v>
      </c>
      <c r="K909" s="29" t="s">
        <v>298</v>
      </c>
      <c r="L909" s="29" t="s">
        <v>30</v>
      </c>
      <c r="M909" s="29" t="n">
        <v>4209</v>
      </c>
      <c r="N909" s="29" t="n">
        <v>2090</v>
      </c>
      <c r="O909" s="29"/>
      <c r="P909" s="30" t="n">
        <f aca="false">(M909*N909/1000000)*(INDEX(AreaRate_Vals,MATCH(C909,AreaRate_Keys,0))+IFERROR(INDEX(GlazingUpg_Vals,MATCH(H909,GlazingUpg_Keys,0)),0))+INDEX(Hardware_Vals,MATCH("Doors",Hardware_Keys,0))</f>
        <v>24741.2275</v>
      </c>
      <c r="Q909" s="31" t="n">
        <f aca="false">INDEX(Markup_Vals,MATCH("Doors",MarkupCat_Keys,0))</f>
        <v>0.4</v>
      </c>
      <c r="R909" s="32" t="n">
        <f aca="false">P909*(1+Q909)</f>
        <v>34637.7185</v>
      </c>
      <c r="S909" s="32" t="n">
        <f aca="false">R909*(1-TradeDiscount)</f>
        <v>30481.19228</v>
      </c>
      <c r="T909" s="32" t="n">
        <f aca="false">R909*(1-VolumeDiscount)</f>
        <v>27710.1748</v>
      </c>
    </row>
    <row r="910" customFormat="false" ht="15" hidden="false" customHeight="false" outlineLevel="0" collapsed="false">
      <c r="A910" s="25" t="s">
        <v>2053</v>
      </c>
      <c r="B910" s="25" t="s">
        <v>97</v>
      </c>
      <c r="C910" s="25" t="s">
        <v>49</v>
      </c>
      <c r="D910" s="25" t="s">
        <v>2054</v>
      </c>
      <c r="E910" s="25" t="s">
        <v>1922</v>
      </c>
      <c r="F910" s="25" t="s">
        <v>1880</v>
      </c>
      <c r="G910" s="25" t="s">
        <v>36</v>
      </c>
      <c r="H910" s="25" t="s">
        <v>66</v>
      </c>
      <c r="I910" s="25" t="s">
        <v>190</v>
      </c>
      <c r="J910" s="25" t="s">
        <v>191</v>
      </c>
      <c r="K910" s="25" t="s">
        <v>298</v>
      </c>
      <c r="L910" s="25" t="s">
        <v>30</v>
      </c>
      <c r="M910" s="25" t="n">
        <v>4209</v>
      </c>
      <c r="N910" s="25" t="n">
        <v>2090</v>
      </c>
      <c r="O910" s="25"/>
      <c r="P910" s="26" t="n">
        <f aca="false">(M910*N910/1000000)*(INDEX(AreaRate_Vals,MATCH(C910,AreaRate_Keys,0))+IFERROR(INDEX(GlazingUpg_Vals,MATCH(H910,GlazingUpg_Keys,0)),0))+INDEX(Hardware_Vals,MATCH("Doors",Hardware_Keys,0))</f>
        <v>24741.2275</v>
      </c>
      <c r="Q910" s="27" t="n">
        <f aca="false">INDEX(Markup_Vals,MATCH("Doors",MarkupCat_Keys,0))</f>
        <v>0.4</v>
      </c>
      <c r="R910" s="28" t="n">
        <f aca="false">P910*(1+Q910)</f>
        <v>34637.7185</v>
      </c>
      <c r="S910" s="28" t="n">
        <f aca="false">R910*(1-TradeDiscount)</f>
        <v>30481.19228</v>
      </c>
      <c r="T910" s="28" t="n">
        <f aca="false">R910*(1-VolumeDiscount)</f>
        <v>27710.1748</v>
      </c>
    </row>
    <row r="911" customFormat="false" ht="15" hidden="false" customHeight="false" outlineLevel="0" collapsed="false">
      <c r="A911" s="29" t="s">
        <v>2055</v>
      </c>
      <c r="B911" s="29" t="s">
        <v>97</v>
      </c>
      <c r="C911" s="29" t="s">
        <v>49</v>
      </c>
      <c r="D911" s="29" t="s">
        <v>2056</v>
      </c>
      <c r="E911" s="29" t="s">
        <v>1922</v>
      </c>
      <c r="F911" s="29" t="s">
        <v>1880</v>
      </c>
      <c r="G911" s="29" t="s">
        <v>37</v>
      </c>
      <c r="H911" s="29" t="s">
        <v>66</v>
      </c>
      <c r="I911" s="29" t="s">
        <v>190</v>
      </c>
      <c r="J911" s="29" t="s">
        <v>191</v>
      </c>
      <c r="K911" s="29" t="s">
        <v>298</v>
      </c>
      <c r="L911" s="29" t="s">
        <v>30</v>
      </c>
      <c r="M911" s="29" t="n">
        <v>4209</v>
      </c>
      <c r="N911" s="29" t="n">
        <v>2090</v>
      </c>
      <c r="O911" s="29"/>
      <c r="P911" s="30" t="n">
        <f aca="false">(M911*N911/1000000)*(INDEX(AreaRate_Vals,MATCH(C911,AreaRate_Keys,0))+IFERROR(INDEX(GlazingUpg_Vals,MATCH(H911,GlazingUpg_Keys,0)),0))+INDEX(Hardware_Vals,MATCH("Doors",Hardware_Keys,0))</f>
        <v>24741.2275</v>
      </c>
      <c r="Q911" s="31" t="n">
        <f aca="false">INDEX(Markup_Vals,MATCH("Doors",MarkupCat_Keys,0))</f>
        <v>0.4</v>
      </c>
      <c r="R911" s="32" t="n">
        <f aca="false">P911*(1+Q911)</f>
        <v>34637.7185</v>
      </c>
      <c r="S911" s="32" t="n">
        <f aca="false">R911*(1-TradeDiscount)</f>
        <v>30481.19228</v>
      </c>
      <c r="T911" s="32" t="n">
        <f aca="false">R911*(1-VolumeDiscount)</f>
        <v>27710.1748</v>
      </c>
    </row>
    <row r="912" customFormat="false" ht="15" hidden="false" customHeight="false" outlineLevel="0" collapsed="false">
      <c r="A912" s="25" t="s">
        <v>2057</v>
      </c>
      <c r="B912" s="25" t="s">
        <v>97</v>
      </c>
      <c r="C912" s="25" t="s">
        <v>49</v>
      </c>
      <c r="D912" s="25" t="s">
        <v>2058</v>
      </c>
      <c r="E912" s="25" t="s">
        <v>1922</v>
      </c>
      <c r="F912" s="25" t="s">
        <v>1880</v>
      </c>
      <c r="G912" s="25" t="s">
        <v>39</v>
      </c>
      <c r="H912" s="25" t="s">
        <v>66</v>
      </c>
      <c r="I912" s="25" t="s">
        <v>190</v>
      </c>
      <c r="J912" s="25" t="s">
        <v>191</v>
      </c>
      <c r="K912" s="25" t="s">
        <v>298</v>
      </c>
      <c r="L912" s="25" t="s">
        <v>30</v>
      </c>
      <c r="M912" s="25" t="n">
        <v>4209</v>
      </c>
      <c r="N912" s="25" t="n">
        <v>2090</v>
      </c>
      <c r="O912" s="25"/>
      <c r="P912" s="26" t="n">
        <f aca="false">(M912*N912/1000000)*(INDEX(AreaRate_Vals,MATCH(C912,AreaRate_Keys,0))+IFERROR(INDEX(GlazingUpg_Vals,MATCH(H912,GlazingUpg_Keys,0)),0))+INDEX(Hardware_Vals,MATCH("Doors",Hardware_Keys,0))</f>
        <v>24741.2275</v>
      </c>
      <c r="Q912" s="27" t="n">
        <f aca="false">INDEX(Markup_Vals,MATCH("Doors",MarkupCat_Keys,0))</f>
        <v>0.4</v>
      </c>
      <c r="R912" s="28" t="n">
        <f aca="false">P912*(1+Q912)</f>
        <v>34637.7185</v>
      </c>
      <c r="S912" s="28" t="n">
        <f aca="false">R912*(1-TradeDiscount)</f>
        <v>30481.19228</v>
      </c>
      <c r="T912" s="28" t="n">
        <f aca="false">R912*(1-VolumeDiscount)</f>
        <v>27710.1748</v>
      </c>
    </row>
    <row r="913" customFormat="false" ht="15" hidden="false" customHeight="false" outlineLevel="0" collapsed="false">
      <c r="A913" s="29" t="s">
        <v>2059</v>
      </c>
      <c r="B913" s="29" t="s">
        <v>97</v>
      </c>
      <c r="C913" s="29" t="s">
        <v>49</v>
      </c>
      <c r="D913" s="29" t="s">
        <v>2060</v>
      </c>
      <c r="E913" s="29" t="s">
        <v>1922</v>
      </c>
      <c r="F913" s="29" t="s">
        <v>1880</v>
      </c>
      <c r="G913" s="29" t="s">
        <v>38</v>
      </c>
      <c r="H913" s="29" t="s">
        <v>66</v>
      </c>
      <c r="I913" s="29" t="s">
        <v>190</v>
      </c>
      <c r="J913" s="29" t="s">
        <v>191</v>
      </c>
      <c r="K913" s="29" t="s">
        <v>298</v>
      </c>
      <c r="L913" s="29" t="s">
        <v>30</v>
      </c>
      <c r="M913" s="29" t="n">
        <v>4209</v>
      </c>
      <c r="N913" s="29" t="n">
        <v>2090</v>
      </c>
      <c r="O913" s="29"/>
      <c r="P913" s="30" t="n">
        <f aca="false">(M913*N913/1000000)*(INDEX(AreaRate_Vals,MATCH(C913,AreaRate_Keys,0))+IFERROR(INDEX(GlazingUpg_Vals,MATCH(H913,GlazingUpg_Keys,0)),0))+INDEX(Hardware_Vals,MATCH("Doors",Hardware_Keys,0))</f>
        <v>24741.2275</v>
      </c>
      <c r="Q913" s="31" t="n">
        <f aca="false">INDEX(Markup_Vals,MATCH("Doors",MarkupCat_Keys,0))</f>
        <v>0.4</v>
      </c>
      <c r="R913" s="32" t="n">
        <f aca="false">P913*(1+Q913)</f>
        <v>34637.7185</v>
      </c>
      <c r="S913" s="32" t="n">
        <f aca="false">R913*(1-TradeDiscount)</f>
        <v>30481.19228</v>
      </c>
      <c r="T913" s="32" t="n">
        <f aca="false">R913*(1-VolumeDiscount)</f>
        <v>27710.1748</v>
      </c>
    </row>
    <row r="914" customFormat="false" ht="15" hidden="false" customHeight="false" outlineLevel="0" collapsed="false">
      <c r="A914" s="25" t="s">
        <v>2061</v>
      </c>
      <c r="B914" s="25" t="s">
        <v>97</v>
      </c>
      <c r="C914" s="25" t="s">
        <v>49</v>
      </c>
      <c r="D914" s="25" t="s">
        <v>2062</v>
      </c>
      <c r="E914" s="25" t="s">
        <v>1922</v>
      </c>
      <c r="F914" s="25" t="s">
        <v>1901</v>
      </c>
      <c r="G914" s="25" t="s">
        <v>35</v>
      </c>
      <c r="H914" s="25" t="s">
        <v>65</v>
      </c>
      <c r="I914" s="25" t="s">
        <v>190</v>
      </c>
      <c r="J914" s="25" t="s">
        <v>191</v>
      </c>
      <c r="K914" s="25" t="s">
        <v>298</v>
      </c>
      <c r="L914" s="25" t="s">
        <v>30</v>
      </c>
      <c r="M914" s="25" t="n">
        <v>4809</v>
      </c>
      <c r="N914" s="25" t="n">
        <v>2090</v>
      </c>
      <c r="O914" s="25"/>
      <c r="P914" s="26" t="n">
        <f aca="false">(M914*N914/1000000)*(INDEX(AreaRate_Vals,MATCH(C914,AreaRate_Keys,0))+IFERROR(INDEX(GlazingUpg_Vals,MATCH(H914,GlazingUpg_Keys,0)),0))+INDEX(Hardware_Vals,MATCH("Doors",Hardware_Keys,0))</f>
        <v>21154.1605</v>
      </c>
      <c r="Q914" s="27" t="n">
        <f aca="false">INDEX(Markup_Vals,MATCH("Doors",MarkupCat_Keys,0))</f>
        <v>0.4</v>
      </c>
      <c r="R914" s="28" t="n">
        <f aca="false">P914*(1+Q914)</f>
        <v>29615.8247</v>
      </c>
      <c r="S914" s="28" t="n">
        <f aca="false">R914*(1-TradeDiscount)</f>
        <v>26061.925736</v>
      </c>
      <c r="T914" s="28" t="n">
        <f aca="false">R914*(1-VolumeDiscount)</f>
        <v>23692.65976</v>
      </c>
    </row>
    <row r="915" customFormat="false" ht="15" hidden="false" customHeight="false" outlineLevel="0" collapsed="false">
      <c r="A915" s="29" t="s">
        <v>2063</v>
      </c>
      <c r="B915" s="29" t="s">
        <v>97</v>
      </c>
      <c r="C915" s="29" t="s">
        <v>49</v>
      </c>
      <c r="D915" s="29" t="s">
        <v>2064</v>
      </c>
      <c r="E915" s="29" t="s">
        <v>1922</v>
      </c>
      <c r="F915" s="29" t="s">
        <v>1901</v>
      </c>
      <c r="G915" s="29" t="s">
        <v>36</v>
      </c>
      <c r="H915" s="29" t="s">
        <v>65</v>
      </c>
      <c r="I915" s="29" t="s">
        <v>190</v>
      </c>
      <c r="J915" s="29" t="s">
        <v>191</v>
      </c>
      <c r="K915" s="29" t="s">
        <v>298</v>
      </c>
      <c r="L915" s="29" t="s">
        <v>30</v>
      </c>
      <c r="M915" s="29" t="n">
        <v>4809</v>
      </c>
      <c r="N915" s="29" t="n">
        <v>2090</v>
      </c>
      <c r="O915" s="29"/>
      <c r="P915" s="30" t="n">
        <f aca="false">(M915*N915/1000000)*(INDEX(AreaRate_Vals,MATCH(C915,AreaRate_Keys,0))+IFERROR(INDEX(GlazingUpg_Vals,MATCH(H915,GlazingUpg_Keys,0)),0))+INDEX(Hardware_Vals,MATCH("Doors",Hardware_Keys,0))</f>
        <v>21154.1605</v>
      </c>
      <c r="Q915" s="31" t="n">
        <f aca="false">INDEX(Markup_Vals,MATCH("Doors",MarkupCat_Keys,0))</f>
        <v>0.4</v>
      </c>
      <c r="R915" s="32" t="n">
        <f aca="false">P915*(1+Q915)</f>
        <v>29615.8247</v>
      </c>
      <c r="S915" s="32" t="n">
        <f aca="false">R915*(1-TradeDiscount)</f>
        <v>26061.925736</v>
      </c>
      <c r="T915" s="32" t="n">
        <f aca="false">R915*(1-VolumeDiscount)</f>
        <v>23692.65976</v>
      </c>
    </row>
    <row r="916" customFormat="false" ht="15" hidden="false" customHeight="false" outlineLevel="0" collapsed="false">
      <c r="A916" s="25" t="s">
        <v>2065</v>
      </c>
      <c r="B916" s="25" t="s">
        <v>97</v>
      </c>
      <c r="C916" s="25" t="s">
        <v>49</v>
      </c>
      <c r="D916" s="25" t="s">
        <v>2066</v>
      </c>
      <c r="E916" s="25" t="s">
        <v>1922</v>
      </c>
      <c r="F916" s="25" t="s">
        <v>1901</v>
      </c>
      <c r="G916" s="25" t="s">
        <v>37</v>
      </c>
      <c r="H916" s="25" t="s">
        <v>65</v>
      </c>
      <c r="I916" s="25" t="s">
        <v>190</v>
      </c>
      <c r="J916" s="25" t="s">
        <v>191</v>
      </c>
      <c r="K916" s="25" t="s">
        <v>298</v>
      </c>
      <c r="L916" s="25" t="s">
        <v>30</v>
      </c>
      <c r="M916" s="25" t="n">
        <v>4809</v>
      </c>
      <c r="N916" s="25" t="n">
        <v>2090</v>
      </c>
      <c r="O916" s="25"/>
      <c r="P916" s="26" t="n">
        <f aca="false">(M916*N916/1000000)*(INDEX(AreaRate_Vals,MATCH(C916,AreaRate_Keys,0))+IFERROR(INDEX(GlazingUpg_Vals,MATCH(H916,GlazingUpg_Keys,0)),0))+INDEX(Hardware_Vals,MATCH("Doors",Hardware_Keys,0))</f>
        <v>21154.1605</v>
      </c>
      <c r="Q916" s="27" t="n">
        <f aca="false">INDEX(Markup_Vals,MATCH("Doors",MarkupCat_Keys,0))</f>
        <v>0.4</v>
      </c>
      <c r="R916" s="28" t="n">
        <f aca="false">P916*(1+Q916)</f>
        <v>29615.8247</v>
      </c>
      <c r="S916" s="28" t="n">
        <f aca="false">R916*(1-TradeDiscount)</f>
        <v>26061.925736</v>
      </c>
      <c r="T916" s="28" t="n">
        <f aca="false">R916*(1-VolumeDiscount)</f>
        <v>23692.65976</v>
      </c>
    </row>
    <row r="917" customFormat="false" ht="15" hidden="false" customHeight="false" outlineLevel="0" collapsed="false">
      <c r="A917" s="29" t="s">
        <v>2067</v>
      </c>
      <c r="B917" s="29" t="s">
        <v>97</v>
      </c>
      <c r="C917" s="29" t="s">
        <v>49</v>
      </c>
      <c r="D917" s="29" t="s">
        <v>2068</v>
      </c>
      <c r="E917" s="29" t="s">
        <v>1922</v>
      </c>
      <c r="F917" s="29" t="s">
        <v>1901</v>
      </c>
      <c r="G917" s="29" t="s">
        <v>39</v>
      </c>
      <c r="H917" s="29" t="s">
        <v>65</v>
      </c>
      <c r="I917" s="29" t="s">
        <v>190</v>
      </c>
      <c r="J917" s="29" t="s">
        <v>191</v>
      </c>
      <c r="K917" s="29" t="s">
        <v>298</v>
      </c>
      <c r="L917" s="29" t="s">
        <v>30</v>
      </c>
      <c r="M917" s="29" t="n">
        <v>4809</v>
      </c>
      <c r="N917" s="29" t="n">
        <v>2090</v>
      </c>
      <c r="O917" s="29"/>
      <c r="P917" s="30" t="n">
        <f aca="false">(M917*N917/1000000)*(INDEX(AreaRate_Vals,MATCH(C917,AreaRate_Keys,0))+IFERROR(INDEX(GlazingUpg_Vals,MATCH(H917,GlazingUpg_Keys,0)),0))+INDEX(Hardware_Vals,MATCH("Doors",Hardware_Keys,0))</f>
        <v>21154.1605</v>
      </c>
      <c r="Q917" s="31" t="n">
        <f aca="false">INDEX(Markup_Vals,MATCH("Doors",MarkupCat_Keys,0))</f>
        <v>0.4</v>
      </c>
      <c r="R917" s="32" t="n">
        <f aca="false">P917*(1+Q917)</f>
        <v>29615.8247</v>
      </c>
      <c r="S917" s="32" t="n">
        <f aca="false">R917*(1-TradeDiscount)</f>
        <v>26061.925736</v>
      </c>
      <c r="T917" s="32" t="n">
        <f aca="false">R917*(1-VolumeDiscount)</f>
        <v>23692.65976</v>
      </c>
    </row>
    <row r="918" customFormat="false" ht="15" hidden="false" customHeight="false" outlineLevel="0" collapsed="false">
      <c r="A918" s="25" t="s">
        <v>2069</v>
      </c>
      <c r="B918" s="25" t="s">
        <v>97</v>
      </c>
      <c r="C918" s="25" t="s">
        <v>49</v>
      </c>
      <c r="D918" s="25" t="s">
        <v>2070</v>
      </c>
      <c r="E918" s="25" t="s">
        <v>1922</v>
      </c>
      <c r="F918" s="25" t="s">
        <v>1901</v>
      </c>
      <c r="G918" s="25" t="s">
        <v>38</v>
      </c>
      <c r="H918" s="25" t="s">
        <v>65</v>
      </c>
      <c r="I918" s="25" t="s">
        <v>190</v>
      </c>
      <c r="J918" s="25" t="s">
        <v>191</v>
      </c>
      <c r="K918" s="25" t="s">
        <v>298</v>
      </c>
      <c r="L918" s="25" t="s">
        <v>30</v>
      </c>
      <c r="M918" s="25" t="n">
        <v>4809</v>
      </c>
      <c r="N918" s="25" t="n">
        <v>2090</v>
      </c>
      <c r="O918" s="25"/>
      <c r="P918" s="26" t="n">
        <f aca="false">(M918*N918/1000000)*(INDEX(AreaRate_Vals,MATCH(C918,AreaRate_Keys,0))+IFERROR(INDEX(GlazingUpg_Vals,MATCH(H918,GlazingUpg_Keys,0)),0))+INDEX(Hardware_Vals,MATCH("Doors",Hardware_Keys,0))</f>
        <v>21154.1605</v>
      </c>
      <c r="Q918" s="27" t="n">
        <f aca="false">INDEX(Markup_Vals,MATCH("Doors",MarkupCat_Keys,0))</f>
        <v>0.4</v>
      </c>
      <c r="R918" s="28" t="n">
        <f aca="false">P918*(1+Q918)</f>
        <v>29615.8247</v>
      </c>
      <c r="S918" s="28" t="n">
        <f aca="false">R918*(1-TradeDiscount)</f>
        <v>26061.925736</v>
      </c>
      <c r="T918" s="28" t="n">
        <f aca="false">R918*(1-VolumeDiscount)</f>
        <v>23692.65976</v>
      </c>
    </row>
    <row r="919" customFormat="false" ht="15" hidden="false" customHeight="false" outlineLevel="0" collapsed="false">
      <c r="A919" s="29" t="s">
        <v>2071</v>
      </c>
      <c r="B919" s="29" t="s">
        <v>97</v>
      </c>
      <c r="C919" s="29" t="s">
        <v>49</v>
      </c>
      <c r="D919" s="29" t="s">
        <v>2072</v>
      </c>
      <c r="E919" s="29" t="s">
        <v>1922</v>
      </c>
      <c r="F919" s="29" t="s">
        <v>1901</v>
      </c>
      <c r="G919" s="29" t="s">
        <v>35</v>
      </c>
      <c r="H919" s="29" t="s">
        <v>66</v>
      </c>
      <c r="I919" s="29" t="s">
        <v>190</v>
      </c>
      <c r="J919" s="29" t="s">
        <v>191</v>
      </c>
      <c r="K919" s="29" t="s">
        <v>298</v>
      </c>
      <c r="L919" s="29" t="s">
        <v>30</v>
      </c>
      <c r="M919" s="29" t="n">
        <v>4809</v>
      </c>
      <c r="N919" s="29" t="n">
        <v>2090</v>
      </c>
      <c r="O919" s="29"/>
      <c r="P919" s="30" t="n">
        <f aca="false">(M919*N919/1000000)*(INDEX(AreaRate_Vals,MATCH(C919,AreaRate_Keys,0))+IFERROR(INDEX(GlazingUpg_Vals,MATCH(H919,GlazingUpg_Keys,0)),0))+INDEX(Hardware_Vals,MATCH("Doors",Hardware_Keys,0))</f>
        <v>28189.7275</v>
      </c>
      <c r="Q919" s="31" t="n">
        <f aca="false">INDEX(Markup_Vals,MATCH("Doors",MarkupCat_Keys,0))</f>
        <v>0.4</v>
      </c>
      <c r="R919" s="32" t="n">
        <f aca="false">P919*(1+Q919)</f>
        <v>39465.6185</v>
      </c>
      <c r="S919" s="32" t="n">
        <f aca="false">R919*(1-TradeDiscount)</f>
        <v>34729.74428</v>
      </c>
      <c r="T919" s="32" t="n">
        <f aca="false">R919*(1-VolumeDiscount)</f>
        <v>31572.4948</v>
      </c>
    </row>
    <row r="920" customFormat="false" ht="15" hidden="false" customHeight="false" outlineLevel="0" collapsed="false">
      <c r="A920" s="25" t="s">
        <v>2073</v>
      </c>
      <c r="B920" s="25" t="s">
        <v>97</v>
      </c>
      <c r="C920" s="25" t="s">
        <v>49</v>
      </c>
      <c r="D920" s="25" t="s">
        <v>2074</v>
      </c>
      <c r="E920" s="25" t="s">
        <v>1922</v>
      </c>
      <c r="F920" s="25" t="s">
        <v>1901</v>
      </c>
      <c r="G920" s="25" t="s">
        <v>36</v>
      </c>
      <c r="H920" s="25" t="s">
        <v>66</v>
      </c>
      <c r="I920" s="25" t="s">
        <v>190</v>
      </c>
      <c r="J920" s="25" t="s">
        <v>191</v>
      </c>
      <c r="K920" s="25" t="s">
        <v>298</v>
      </c>
      <c r="L920" s="25" t="s">
        <v>30</v>
      </c>
      <c r="M920" s="25" t="n">
        <v>4809</v>
      </c>
      <c r="N920" s="25" t="n">
        <v>2090</v>
      </c>
      <c r="O920" s="25"/>
      <c r="P920" s="26" t="n">
        <f aca="false">(M920*N920/1000000)*(INDEX(AreaRate_Vals,MATCH(C920,AreaRate_Keys,0))+IFERROR(INDEX(GlazingUpg_Vals,MATCH(H920,GlazingUpg_Keys,0)),0))+INDEX(Hardware_Vals,MATCH("Doors",Hardware_Keys,0))</f>
        <v>28189.7275</v>
      </c>
      <c r="Q920" s="27" t="n">
        <f aca="false">INDEX(Markup_Vals,MATCH("Doors",MarkupCat_Keys,0))</f>
        <v>0.4</v>
      </c>
      <c r="R920" s="28" t="n">
        <f aca="false">P920*(1+Q920)</f>
        <v>39465.6185</v>
      </c>
      <c r="S920" s="28" t="n">
        <f aca="false">R920*(1-TradeDiscount)</f>
        <v>34729.74428</v>
      </c>
      <c r="T920" s="28" t="n">
        <f aca="false">R920*(1-VolumeDiscount)</f>
        <v>31572.4948</v>
      </c>
    </row>
    <row r="921" customFormat="false" ht="15" hidden="false" customHeight="false" outlineLevel="0" collapsed="false">
      <c r="A921" s="29" t="s">
        <v>2075</v>
      </c>
      <c r="B921" s="29" t="s">
        <v>97</v>
      </c>
      <c r="C921" s="29" t="s">
        <v>49</v>
      </c>
      <c r="D921" s="29" t="s">
        <v>2076</v>
      </c>
      <c r="E921" s="29" t="s">
        <v>1922</v>
      </c>
      <c r="F921" s="29" t="s">
        <v>1901</v>
      </c>
      <c r="G921" s="29" t="s">
        <v>37</v>
      </c>
      <c r="H921" s="29" t="s">
        <v>66</v>
      </c>
      <c r="I921" s="29" t="s">
        <v>190</v>
      </c>
      <c r="J921" s="29" t="s">
        <v>191</v>
      </c>
      <c r="K921" s="29" t="s">
        <v>298</v>
      </c>
      <c r="L921" s="29" t="s">
        <v>30</v>
      </c>
      <c r="M921" s="29" t="n">
        <v>4809</v>
      </c>
      <c r="N921" s="29" t="n">
        <v>2090</v>
      </c>
      <c r="O921" s="29"/>
      <c r="P921" s="30" t="n">
        <f aca="false">(M921*N921/1000000)*(INDEX(AreaRate_Vals,MATCH(C921,AreaRate_Keys,0))+IFERROR(INDEX(GlazingUpg_Vals,MATCH(H921,GlazingUpg_Keys,0)),0))+INDEX(Hardware_Vals,MATCH("Doors",Hardware_Keys,0))</f>
        <v>28189.7275</v>
      </c>
      <c r="Q921" s="31" t="n">
        <f aca="false">INDEX(Markup_Vals,MATCH("Doors",MarkupCat_Keys,0))</f>
        <v>0.4</v>
      </c>
      <c r="R921" s="32" t="n">
        <f aca="false">P921*(1+Q921)</f>
        <v>39465.6185</v>
      </c>
      <c r="S921" s="32" t="n">
        <f aca="false">R921*(1-TradeDiscount)</f>
        <v>34729.74428</v>
      </c>
      <c r="T921" s="32" t="n">
        <f aca="false">R921*(1-VolumeDiscount)</f>
        <v>31572.4948</v>
      </c>
    </row>
    <row r="922" customFormat="false" ht="15" hidden="false" customHeight="false" outlineLevel="0" collapsed="false">
      <c r="A922" s="25" t="s">
        <v>2077</v>
      </c>
      <c r="B922" s="25" t="s">
        <v>97</v>
      </c>
      <c r="C922" s="25" t="s">
        <v>49</v>
      </c>
      <c r="D922" s="25" t="s">
        <v>2078</v>
      </c>
      <c r="E922" s="25" t="s">
        <v>1922</v>
      </c>
      <c r="F922" s="25" t="s">
        <v>1901</v>
      </c>
      <c r="G922" s="25" t="s">
        <v>39</v>
      </c>
      <c r="H922" s="25" t="s">
        <v>66</v>
      </c>
      <c r="I922" s="25" t="s">
        <v>190</v>
      </c>
      <c r="J922" s="25" t="s">
        <v>191</v>
      </c>
      <c r="K922" s="25" t="s">
        <v>298</v>
      </c>
      <c r="L922" s="25" t="s">
        <v>30</v>
      </c>
      <c r="M922" s="25" t="n">
        <v>4809</v>
      </c>
      <c r="N922" s="25" t="n">
        <v>2090</v>
      </c>
      <c r="O922" s="25"/>
      <c r="P922" s="26" t="n">
        <f aca="false">(M922*N922/1000000)*(INDEX(AreaRate_Vals,MATCH(C922,AreaRate_Keys,0))+IFERROR(INDEX(GlazingUpg_Vals,MATCH(H922,GlazingUpg_Keys,0)),0))+INDEX(Hardware_Vals,MATCH("Doors",Hardware_Keys,0))</f>
        <v>28189.7275</v>
      </c>
      <c r="Q922" s="27" t="n">
        <f aca="false">INDEX(Markup_Vals,MATCH("Doors",MarkupCat_Keys,0))</f>
        <v>0.4</v>
      </c>
      <c r="R922" s="28" t="n">
        <f aca="false">P922*(1+Q922)</f>
        <v>39465.6185</v>
      </c>
      <c r="S922" s="28" t="n">
        <f aca="false">R922*(1-TradeDiscount)</f>
        <v>34729.74428</v>
      </c>
      <c r="T922" s="28" t="n">
        <f aca="false">R922*(1-VolumeDiscount)</f>
        <v>31572.4948</v>
      </c>
    </row>
    <row r="923" customFormat="false" ht="15" hidden="false" customHeight="false" outlineLevel="0" collapsed="false">
      <c r="A923" s="29" t="s">
        <v>2079</v>
      </c>
      <c r="B923" s="29" t="s">
        <v>97</v>
      </c>
      <c r="C923" s="29" t="s">
        <v>49</v>
      </c>
      <c r="D923" s="29" t="s">
        <v>2080</v>
      </c>
      <c r="E923" s="29" t="s">
        <v>1922</v>
      </c>
      <c r="F923" s="29" t="s">
        <v>1901</v>
      </c>
      <c r="G923" s="29" t="s">
        <v>38</v>
      </c>
      <c r="H923" s="29" t="s">
        <v>66</v>
      </c>
      <c r="I923" s="29" t="s">
        <v>190</v>
      </c>
      <c r="J923" s="29" t="s">
        <v>191</v>
      </c>
      <c r="K923" s="29" t="s">
        <v>298</v>
      </c>
      <c r="L923" s="29" t="s">
        <v>30</v>
      </c>
      <c r="M923" s="29" t="n">
        <v>4809</v>
      </c>
      <c r="N923" s="29" t="n">
        <v>2090</v>
      </c>
      <c r="O923" s="29"/>
      <c r="P923" s="30" t="n">
        <f aca="false">(M923*N923/1000000)*(INDEX(AreaRate_Vals,MATCH(C923,AreaRate_Keys,0))+IFERROR(INDEX(GlazingUpg_Vals,MATCH(H923,GlazingUpg_Keys,0)),0))+INDEX(Hardware_Vals,MATCH("Doors",Hardware_Keys,0))</f>
        <v>28189.7275</v>
      </c>
      <c r="Q923" s="31" t="n">
        <f aca="false">INDEX(Markup_Vals,MATCH("Doors",MarkupCat_Keys,0))</f>
        <v>0.4</v>
      </c>
      <c r="R923" s="32" t="n">
        <f aca="false">P923*(1+Q923)</f>
        <v>39465.6185</v>
      </c>
      <c r="S923" s="32" t="n">
        <f aca="false">R923*(1-TradeDiscount)</f>
        <v>34729.74428</v>
      </c>
      <c r="T923" s="32" t="n">
        <f aca="false">R923*(1-VolumeDiscount)</f>
        <v>31572.4948</v>
      </c>
    </row>
    <row r="924" customFormat="false" ht="15" hidden="false" customHeight="false" outlineLevel="0" collapsed="false">
      <c r="A924" s="25" t="s">
        <v>2081</v>
      </c>
      <c r="B924" s="25" t="s">
        <v>97</v>
      </c>
      <c r="C924" s="25" t="s">
        <v>49</v>
      </c>
      <c r="D924" s="25" t="s">
        <v>2082</v>
      </c>
      <c r="E924" s="25" t="s">
        <v>2083</v>
      </c>
      <c r="F924" s="25" t="s">
        <v>1632</v>
      </c>
      <c r="G924" s="25" t="s">
        <v>35</v>
      </c>
      <c r="H924" s="25" t="s">
        <v>65</v>
      </c>
      <c r="I924" s="25" t="s">
        <v>190</v>
      </c>
      <c r="J924" s="25" t="s">
        <v>191</v>
      </c>
      <c r="K924" s="25" t="s">
        <v>192</v>
      </c>
      <c r="L924" s="25" t="s">
        <v>30</v>
      </c>
      <c r="M924" s="25" t="n">
        <v>1809</v>
      </c>
      <c r="N924" s="25" t="n">
        <v>2009</v>
      </c>
      <c r="O924" s="25"/>
      <c r="P924" s="26" t="n">
        <f aca="false">(M924*N924/1000000)*(INDEX(AreaRate_Vals,MATCH(C924,AreaRate_Keys,0))+IFERROR(INDEX(GlazingUpg_Vals,MATCH(H924,GlazingUpg_Keys,0)),0))+INDEX(Hardware_Vals,MATCH("Doors",Hardware_Keys,0))</f>
        <v>8000.27605</v>
      </c>
      <c r="Q924" s="27" t="n">
        <f aca="false">INDEX(Markup_Vals,MATCH("Doors",MarkupCat_Keys,0))</f>
        <v>0.4</v>
      </c>
      <c r="R924" s="28" t="n">
        <f aca="false">P924*(1+Q924)</f>
        <v>11200.38647</v>
      </c>
      <c r="S924" s="28" t="n">
        <f aca="false">R924*(1-TradeDiscount)</f>
        <v>9856.3400936</v>
      </c>
      <c r="T924" s="28" t="n">
        <f aca="false">R924*(1-VolumeDiscount)</f>
        <v>8960.309176</v>
      </c>
    </row>
    <row r="925" customFormat="false" ht="15" hidden="false" customHeight="false" outlineLevel="0" collapsed="false">
      <c r="A925" s="29" t="s">
        <v>2084</v>
      </c>
      <c r="B925" s="29" t="s">
        <v>97</v>
      </c>
      <c r="C925" s="29" t="s">
        <v>49</v>
      </c>
      <c r="D925" s="29" t="s">
        <v>2085</v>
      </c>
      <c r="E925" s="29" t="s">
        <v>2083</v>
      </c>
      <c r="F925" s="29" t="s">
        <v>1632</v>
      </c>
      <c r="G925" s="29" t="s">
        <v>36</v>
      </c>
      <c r="H925" s="29" t="s">
        <v>65</v>
      </c>
      <c r="I925" s="29" t="s">
        <v>190</v>
      </c>
      <c r="J925" s="29" t="s">
        <v>191</v>
      </c>
      <c r="K925" s="29" t="s">
        <v>192</v>
      </c>
      <c r="L925" s="29" t="s">
        <v>30</v>
      </c>
      <c r="M925" s="29" t="n">
        <v>1809</v>
      </c>
      <c r="N925" s="29" t="n">
        <v>2009</v>
      </c>
      <c r="O925" s="29"/>
      <c r="P925" s="30" t="n">
        <f aca="false">(M925*N925/1000000)*(INDEX(AreaRate_Vals,MATCH(C925,AreaRate_Keys,0))+IFERROR(INDEX(GlazingUpg_Vals,MATCH(H925,GlazingUpg_Keys,0)),0))+INDEX(Hardware_Vals,MATCH("Doors",Hardware_Keys,0))</f>
        <v>8000.27605</v>
      </c>
      <c r="Q925" s="31" t="n">
        <f aca="false">INDEX(Markup_Vals,MATCH("Doors",MarkupCat_Keys,0))</f>
        <v>0.4</v>
      </c>
      <c r="R925" s="32" t="n">
        <f aca="false">P925*(1+Q925)</f>
        <v>11200.38647</v>
      </c>
      <c r="S925" s="32" t="n">
        <f aca="false">R925*(1-TradeDiscount)</f>
        <v>9856.3400936</v>
      </c>
      <c r="T925" s="32" t="n">
        <f aca="false">R925*(1-VolumeDiscount)</f>
        <v>8960.309176</v>
      </c>
    </row>
    <row r="926" customFormat="false" ht="15" hidden="false" customHeight="false" outlineLevel="0" collapsed="false">
      <c r="A926" s="25" t="s">
        <v>2086</v>
      </c>
      <c r="B926" s="25" t="s">
        <v>97</v>
      </c>
      <c r="C926" s="25" t="s">
        <v>49</v>
      </c>
      <c r="D926" s="25" t="s">
        <v>2087</v>
      </c>
      <c r="E926" s="25" t="s">
        <v>2083</v>
      </c>
      <c r="F926" s="25" t="s">
        <v>1632</v>
      </c>
      <c r="G926" s="25" t="s">
        <v>37</v>
      </c>
      <c r="H926" s="25" t="s">
        <v>65</v>
      </c>
      <c r="I926" s="25" t="s">
        <v>190</v>
      </c>
      <c r="J926" s="25" t="s">
        <v>191</v>
      </c>
      <c r="K926" s="25" t="s">
        <v>192</v>
      </c>
      <c r="L926" s="25" t="s">
        <v>30</v>
      </c>
      <c r="M926" s="25" t="n">
        <v>1809</v>
      </c>
      <c r="N926" s="25" t="n">
        <v>2009</v>
      </c>
      <c r="O926" s="25"/>
      <c r="P926" s="26" t="n">
        <f aca="false">(M926*N926/1000000)*(INDEX(AreaRate_Vals,MATCH(C926,AreaRate_Keys,0))+IFERROR(INDEX(GlazingUpg_Vals,MATCH(H926,GlazingUpg_Keys,0)),0))+INDEX(Hardware_Vals,MATCH("Doors",Hardware_Keys,0))</f>
        <v>8000.27605</v>
      </c>
      <c r="Q926" s="27" t="n">
        <f aca="false">INDEX(Markup_Vals,MATCH("Doors",MarkupCat_Keys,0))</f>
        <v>0.4</v>
      </c>
      <c r="R926" s="28" t="n">
        <f aca="false">P926*(1+Q926)</f>
        <v>11200.38647</v>
      </c>
      <c r="S926" s="28" t="n">
        <f aca="false">R926*(1-TradeDiscount)</f>
        <v>9856.3400936</v>
      </c>
      <c r="T926" s="28" t="n">
        <f aca="false">R926*(1-VolumeDiscount)</f>
        <v>8960.309176</v>
      </c>
    </row>
    <row r="927" customFormat="false" ht="15" hidden="false" customHeight="false" outlineLevel="0" collapsed="false">
      <c r="A927" s="29" t="s">
        <v>2088</v>
      </c>
      <c r="B927" s="29" t="s">
        <v>97</v>
      </c>
      <c r="C927" s="29" t="s">
        <v>49</v>
      </c>
      <c r="D927" s="29" t="s">
        <v>2089</v>
      </c>
      <c r="E927" s="29" t="s">
        <v>2083</v>
      </c>
      <c r="F927" s="29" t="s">
        <v>1632</v>
      </c>
      <c r="G927" s="29" t="s">
        <v>39</v>
      </c>
      <c r="H927" s="29" t="s">
        <v>65</v>
      </c>
      <c r="I927" s="29" t="s">
        <v>190</v>
      </c>
      <c r="J927" s="29" t="s">
        <v>191</v>
      </c>
      <c r="K927" s="29" t="s">
        <v>192</v>
      </c>
      <c r="L927" s="29" t="s">
        <v>30</v>
      </c>
      <c r="M927" s="29" t="n">
        <v>1809</v>
      </c>
      <c r="N927" s="29" t="n">
        <v>2009</v>
      </c>
      <c r="O927" s="29"/>
      <c r="P927" s="30" t="n">
        <f aca="false">(M927*N927/1000000)*(INDEX(AreaRate_Vals,MATCH(C927,AreaRate_Keys,0))+IFERROR(INDEX(GlazingUpg_Vals,MATCH(H927,GlazingUpg_Keys,0)),0))+INDEX(Hardware_Vals,MATCH("Doors",Hardware_Keys,0))</f>
        <v>8000.27605</v>
      </c>
      <c r="Q927" s="31" t="n">
        <f aca="false">INDEX(Markup_Vals,MATCH("Doors",MarkupCat_Keys,0))</f>
        <v>0.4</v>
      </c>
      <c r="R927" s="32" t="n">
        <f aca="false">P927*(1+Q927)</f>
        <v>11200.38647</v>
      </c>
      <c r="S927" s="32" t="n">
        <f aca="false">R927*(1-TradeDiscount)</f>
        <v>9856.3400936</v>
      </c>
      <c r="T927" s="32" t="n">
        <f aca="false">R927*(1-VolumeDiscount)</f>
        <v>8960.309176</v>
      </c>
    </row>
    <row r="928" customFormat="false" ht="15" hidden="false" customHeight="false" outlineLevel="0" collapsed="false">
      <c r="A928" s="25" t="s">
        <v>2090</v>
      </c>
      <c r="B928" s="25" t="s">
        <v>97</v>
      </c>
      <c r="C928" s="25" t="s">
        <v>49</v>
      </c>
      <c r="D928" s="25" t="s">
        <v>2091</v>
      </c>
      <c r="E928" s="25" t="s">
        <v>2083</v>
      </c>
      <c r="F928" s="25" t="s">
        <v>1632</v>
      </c>
      <c r="G928" s="25" t="s">
        <v>38</v>
      </c>
      <c r="H928" s="25" t="s">
        <v>65</v>
      </c>
      <c r="I928" s="25" t="s">
        <v>190</v>
      </c>
      <c r="J928" s="25" t="s">
        <v>191</v>
      </c>
      <c r="K928" s="25" t="s">
        <v>192</v>
      </c>
      <c r="L928" s="25" t="s">
        <v>30</v>
      </c>
      <c r="M928" s="25" t="n">
        <v>1809</v>
      </c>
      <c r="N928" s="25" t="n">
        <v>2009</v>
      </c>
      <c r="O928" s="25"/>
      <c r="P928" s="26" t="n">
        <f aca="false">(M928*N928/1000000)*(INDEX(AreaRate_Vals,MATCH(C928,AreaRate_Keys,0))+IFERROR(INDEX(GlazingUpg_Vals,MATCH(H928,GlazingUpg_Keys,0)),0))+INDEX(Hardware_Vals,MATCH("Doors",Hardware_Keys,0))</f>
        <v>8000.27605</v>
      </c>
      <c r="Q928" s="27" t="n">
        <f aca="false">INDEX(Markup_Vals,MATCH("Doors",MarkupCat_Keys,0))</f>
        <v>0.4</v>
      </c>
      <c r="R928" s="28" t="n">
        <f aca="false">P928*(1+Q928)</f>
        <v>11200.38647</v>
      </c>
      <c r="S928" s="28" t="n">
        <f aca="false">R928*(1-TradeDiscount)</f>
        <v>9856.3400936</v>
      </c>
      <c r="T928" s="28" t="n">
        <f aca="false">R928*(1-VolumeDiscount)</f>
        <v>8960.309176</v>
      </c>
    </row>
    <row r="929" customFormat="false" ht="15" hidden="false" customHeight="false" outlineLevel="0" collapsed="false">
      <c r="A929" s="29" t="s">
        <v>2092</v>
      </c>
      <c r="B929" s="29" t="s">
        <v>97</v>
      </c>
      <c r="C929" s="29" t="s">
        <v>49</v>
      </c>
      <c r="D929" s="29" t="s">
        <v>2093</v>
      </c>
      <c r="E929" s="29" t="s">
        <v>2083</v>
      </c>
      <c r="F929" s="29" t="s">
        <v>1632</v>
      </c>
      <c r="G929" s="29" t="s">
        <v>35</v>
      </c>
      <c r="H929" s="29" t="s">
        <v>66</v>
      </c>
      <c r="I929" s="29" t="s">
        <v>190</v>
      </c>
      <c r="J929" s="29" t="s">
        <v>191</v>
      </c>
      <c r="K929" s="29" t="s">
        <v>192</v>
      </c>
      <c r="L929" s="29" t="s">
        <v>30</v>
      </c>
      <c r="M929" s="29" t="n">
        <v>1809</v>
      </c>
      <c r="N929" s="29" t="n">
        <v>2009</v>
      </c>
      <c r="O929" s="29"/>
      <c r="P929" s="30" t="n">
        <f aca="false">(M929*N929/1000000)*(INDEX(AreaRate_Vals,MATCH(C929,AreaRate_Keys,0))+IFERROR(INDEX(GlazingUpg_Vals,MATCH(H929,GlazingUpg_Keys,0)),0))+INDEX(Hardware_Vals,MATCH("Doors",Hardware_Keys,0))</f>
        <v>10544.27275</v>
      </c>
      <c r="Q929" s="31" t="n">
        <f aca="false">INDEX(Markup_Vals,MATCH("Doors",MarkupCat_Keys,0))</f>
        <v>0.4</v>
      </c>
      <c r="R929" s="32" t="n">
        <f aca="false">P929*(1+Q929)</f>
        <v>14761.98185</v>
      </c>
      <c r="S929" s="32" t="n">
        <f aca="false">R929*(1-TradeDiscount)</f>
        <v>12990.544028</v>
      </c>
      <c r="T929" s="32" t="n">
        <f aca="false">R929*(1-VolumeDiscount)</f>
        <v>11809.58548</v>
      </c>
    </row>
    <row r="930" customFormat="false" ht="15" hidden="false" customHeight="false" outlineLevel="0" collapsed="false">
      <c r="A930" s="25" t="s">
        <v>2094</v>
      </c>
      <c r="B930" s="25" t="s">
        <v>97</v>
      </c>
      <c r="C930" s="25" t="s">
        <v>49</v>
      </c>
      <c r="D930" s="25" t="s">
        <v>2095</v>
      </c>
      <c r="E930" s="25" t="s">
        <v>2083</v>
      </c>
      <c r="F930" s="25" t="s">
        <v>1632</v>
      </c>
      <c r="G930" s="25" t="s">
        <v>36</v>
      </c>
      <c r="H930" s="25" t="s">
        <v>66</v>
      </c>
      <c r="I930" s="25" t="s">
        <v>190</v>
      </c>
      <c r="J930" s="25" t="s">
        <v>191</v>
      </c>
      <c r="K930" s="25" t="s">
        <v>192</v>
      </c>
      <c r="L930" s="25" t="s">
        <v>30</v>
      </c>
      <c r="M930" s="25" t="n">
        <v>1809</v>
      </c>
      <c r="N930" s="25" t="n">
        <v>2009</v>
      </c>
      <c r="O930" s="25"/>
      <c r="P930" s="26" t="n">
        <f aca="false">(M930*N930/1000000)*(INDEX(AreaRate_Vals,MATCH(C930,AreaRate_Keys,0))+IFERROR(INDEX(GlazingUpg_Vals,MATCH(H930,GlazingUpg_Keys,0)),0))+INDEX(Hardware_Vals,MATCH("Doors",Hardware_Keys,0))</f>
        <v>10544.27275</v>
      </c>
      <c r="Q930" s="27" t="n">
        <f aca="false">INDEX(Markup_Vals,MATCH("Doors",MarkupCat_Keys,0))</f>
        <v>0.4</v>
      </c>
      <c r="R930" s="28" t="n">
        <f aca="false">P930*(1+Q930)</f>
        <v>14761.98185</v>
      </c>
      <c r="S930" s="28" t="n">
        <f aca="false">R930*(1-TradeDiscount)</f>
        <v>12990.544028</v>
      </c>
      <c r="T930" s="28" t="n">
        <f aca="false">R930*(1-VolumeDiscount)</f>
        <v>11809.58548</v>
      </c>
    </row>
    <row r="931" customFormat="false" ht="15" hidden="false" customHeight="false" outlineLevel="0" collapsed="false">
      <c r="A931" s="29" t="s">
        <v>2096</v>
      </c>
      <c r="B931" s="29" t="s">
        <v>97</v>
      </c>
      <c r="C931" s="29" t="s">
        <v>49</v>
      </c>
      <c r="D931" s="29" t="s">
        <v>2097</v>
      </c>
      <c r="E931" s="29" t="s">
        <v>2083</v>
      </c>
      <c r="F931" s="29" t="s">
        <v>1632</v>
      </c>
      <c r="G931" s="29" t="s">
        <v>37</v>
      </c>
      <c r="H931" s="29" t="s">
        <v>66</v>
      </c>
      <c r="I931" s="29" t="s">
        <v>190</v>
      </c>
      <c r="J931" s="29" t="s">
        <v>191</v>
      </c>
      <c r="K931" s="29" t="s">
        <v>192</v>
      </c>
      <c r="L931" s="29" t="s">
        <v>30</v>
      </c>
      <c r="M931" s="29" t="n">
        <v>1809</v>
      </c>
      <c r="N931" s="29" t="n">
        <v>2009</v>
      </c>
      <c r="O931" s="29"/>
      <c r="P931" s="30" t="n">
        <f aca="false">(M931*N931/1000000)*(INDEX(AreaRate_Vals,MATCH(C931,AreaRate_Keys,0))+IFERROR(INDEX(GlazingUpg_Vals,MATCH(H931,GlazingUpg_Keys,0)),0))+INDEX(Hardware_Vals,MATCH("Doors",Hardware_Keys,0))</f>
        <v>10544.27275</v>
      </c>
      <c r="Q931" s="31" t="n">
        <f aca="false">INDEX(Markup_Vals,MATCH("Doors",MarkupCat_Keys,0))</f>
        <v>0.4</v>
      </c>
      <c r="R931" s="32" t="n">
        <f aca="false">P931*(1+Q931)</f>
        <v>14761.98185</v>
      </c>
      <c r="S931" s="32" t="n">
        <f aca="false">R931*(1-TradeDiscount)</f>
        <v>12990.544028</v>
      </c>
      <c r="T931" s="32" t="n">
        <f aca="false">R931*(1-VolumeDiscount)</f>
        <v>11809.58548</v>
      </c>
    </row>
    <row r="932" customFormat="false" ht="15" hidden="false" customHeight="false" outlineLevel="0" collapsed="false">
      <c r="A932" s="25" t="s">
        <v>2098</v>
      </c>
      <c r="B932" s="25" t="s">
        <v>97</v>
      </c>
      <c r="C932" s="25" t="s">
        <v>49</v>
      </c>
      <c r="D932" s="25" t="s">
        <v>2099</v>
      </c>
      <c r="E932" s="25" t="s">
        <v>2083</v>
      </c>
      <c r="F932" s="25" t="s">
        <v>1632</v>
      </c>
      <c r="G932" s="25" t="s">
        <v>39</v>
      </c>
      <c r="H932" s="25" t="s">
        <v>66</v>
      </c>
      <c r="I932" s="25" t="s">
        <v>190</v>
      </c>
      <c r="J932" s="25" t="s">
        <v>191</v>
      </c>
      <c r="K932" s="25" t="s">
        <v>192</v>
      </c>
      <c r="L932" s="25" t="s">
        <v>30</v>
      </c>
      <c r="M932" s="25" t="n">
        <v>1809</v>
      </c>
      <c r="N932" s="25" t="n">
        <v>2009</v>
      </c>
      <c r="O932" s="25"/>
      <c r="P932" s="26" t="n">
        <f aca="false">(M932*N932/1000000)*(INDEX(AreaRate_Vals,MATCH(C932,AreaRate_Keys,0))+IFERROR(INDEX(GlazingUpg_Vals,MATCH(H932,GlazingUpg_Keys,0)),0))+INDEX(Hardware_Vals,MATCH("Doors",Hardware_Keys,0))</f>
        <v>10544.27275</v>
      </c>
      <c r="Q932" s="27" t="n">
        <f aca="false">INDEX(Markup_Vals,MATCH("Doors",MarkupCat_Keys,0))</f>
        <v>0.4</v>
      </c>
      <c r="R932" s="28" t="n">
        <f aca="false">P932*(1+Q932)</f>
        <v>14761.98185</v>
      </c>
      <c r="S932" s="28" t="n">
        <f aca="false">R932*(1-TradeDiscount)</f>
        <v>12990.544028</v>
      </c>
      <c r="T932" s="28" t="n">
        <f aca="false">R932*(1-VolumeDiscount)</f>
        <v>11809.58548</v>
      </c>
    </row>
    <row r="933" customFormat="false" ht="15" hidden="false" customHeight="false" outlineLevel="0" collapsed="false">
      <c r="A933" s="29" t="s">
        <v>2100</v>
      </c>
      <c r="B933" s="29" t="s">
        <v>97</v>
      </c>
      <c r="C933" s="29" t="s">
        <v>49</v>
      </c>
      <c r="D933" s="29" t="s">
        <v>2101</v>
      </c>
      <c r="E933" s="29" t="s">
        <v>2083</v>
      </c>
      <c r="F933" s="29" t="s">
        <v>1632</v>
      </c>
      <c r="G933" s="29" t="s">
        <v>38</v>
      </c>
      <c r="H933" s="29" t="s">
        <v>66</v>
      </c>
      <c r="I933" s="29" t="s">
        <v>190</v>
      </c>
      <c r="J933" s="29" t="s">
        <v>191</v>
      </c>
      <c r="K933" s="29" t="s">
        <v>192</v>
      </c>
      <c r="L933" s="29" t="s">
        <v>30</v>
      </c>
      <c r="M933" s="29" t="n">
        <v>1809</v>
      </c>
      <c r="N933" s="29" t="n">
        <v>2009</v>
      </c>
      <c r="O933" s="29"/>
      <c r="P933" s="30" t="n">
        <f aca="false">(M933*N933/1000000)*(INDEX(AreaRate_Vals,MATCH(C933,AreaRate_Keys,0))+IFERROR(INDEX(GlazingUpg_Vals,MATCH(H933,GlazingUpg_Keys,0)),0))+INDEX(Hardware_Vals,MATCH("Doors",Hardware_Keys,0))</f>
        <v>10544.27275</v>
      </c>
      <c r="Q933" s="31" t="n">
        <f aca="false">INDEX(Markup_Vals,MATCH("Doors",MarkupCat_Keys,0))</f>
        <v>0.4</v>
      </c>
      <c r="R933" s="32" t="n">
        <f aca="false">P933*(1+Q933)</f>
        <v>14761.98185</v>
      </c>
      <c r="S933" s="32" t="n">
        <f aca="false">R933*(1-TradeDiscount)</f>
        <v>12990.544028</v>
      </c>
      <c r="T933" s="32" t="n">
        <f aca="false">R933*(1-VolumeDiscount)</f>
        <v>11809.58548</v>
      </c>
    </row>
    <row r="934" customFormat="false" ht="15" hidden="false" customHeight="false" outlineLevel="0" collapsed="false">
      <c r="A934" s="25" t="s">
        <v>2102</v>
      </c>
      <c r="B934" s="25" t="s">
        <v>97</v>
      </c>
      <c r="C934" s="25" t="s">
        <v>49</v>
      </c>
      <c r="D934" s="25" t="s">
        <v>2103</v>
      </c>
      <c r="E934" s="25" t="s">
        <v>2083</v>
      </c>
      <c r="F934" s="25" t="s">
        <v>1775</v>
      </c>
      <c r="G934" s="25" t="s">
        <v>35</v>
      </c>
      <c r="H934" s="25" t="s">
        <v>65</v>
      </c>
      <c r="I934" s="25" t="s">
        <v>190</v>
      </c>
      <c r="J934" s="25" t="s">
        <v>191</v>
      </c>
      <c r="K934" s="25" t="s">
        <v>192</v>
      </c>
      <c r="L934" s="25" t="s">
        <v>30</v>
      </c>
      <c r="M934" s="25" t="n">
        <v>2409</v>
      </c>
      <c r="N934" s="25" t="n">
        <v>2009</v>
      </c>
      <c r="O934" s="25"/>
      <c r="P934" s="26" t="n">
        <f aca="false">(M934*N934/1000000)*(INDEX(AreaRate_Vals,MATCH(C934,AreaRate_Keys,0))+IFERROR(INDEX(GlazingUpg_Vals,MATCH(H934,GlazingUpg_Keys,0)),0))+INDEX(Hardware_Vals,MATCH("Doors",Hardware_Keys,0))</f>
        <v>10471.34605</v>
      </c>
      <c r="Q934" s="27" t="n">
        <f aca="false">INDEX(Markup_Vals,MATCH("Doors",MarkupCat_Keys,0))</f>
        <v>0.4</v>
      </c>
      <c r="R934" s="28" t="n">
        <f aca="false">P934*(1+Q934)</f>
        <v>14659.88447</v>
      </c>
      <c r="S934" s="28" t="n">
        <f aca="false">R934*(1-TradeDiscount)</f>
        <v>12900.6983336</v>
      </c>
      <c r="T934" s="28" t="n">
        <f aca="false">R934*(1-VolumeDiscount)</f>
        <v>11727.907576</v>
      </c>
    </row>
    <row r="935" customFormat="false" ht="15" hidden="false" customHeight="false" outlineLevel="0" collapsed="false">
      <c r="A935" s="29" t="s">
        <v>2104</v>
      </c>
      <c r="B935" s="29" t="s">
        <v>97</v>
      </c>
      <c r="C935" s="29" t="s">
        <v>49</v>
      </c>
      <c r="D935" s="29" t="s">
        <v>2105</v>
      </c>
      <c r="E935" s="29" t="s">
        <v>2083</v>
      </c>
      <c r="F935" s="29" t="s">
        <v>1775</v>
      </c>
      <c r="G935" s="29" t="s">
        <v>36</v>
      </c>
      <c r="H935" s="29" t="s">
        <v>65</v>
      </c>
      <c r="I935" s="29" t="s">
        <v>190</v>
      </c>
      <c r="J935" s="29" t="s">
        <v>191</v>
      </c>
      <c r="K935" s="29" t="s">
        <v>192</v>
      </c>
      <c r="L935" s="29" t="s">
        <v>30</v>
      </c>
      <c r="M935" s="29" t="n">
        <v>2409</v>
      </c>
      <c r="N935" s="29" t="n">
        <v>2009</v>
      </c>
      <c r="O935" s="29"/>
      <c r="P935" s="30" t="n">
        <f aca="false">(M935*N935/1000000)*(INDEX(AreaRate_Vals,MATCH(C935,AreaRate_Keys,0))+IFERROR(INDEX(GlazingUpg_Vals,MATCH(H935,GlazingUpg_Keys,0)),0))+INDEX(Hardware_Vals,MATCH("Doors",Hardware_Keys,0))</f>
        <v>10471.34605</v>
      </c>
      <c r="Q935" s="31" t="n">
        <f aca="false">INDEX(Markup_Vals,MATCH("Doors",MarkupCat_Keys,0))</f>
        <v>0.4</v>
      </c>
      <c r="R935" s="32" t="n">
        <f aca="false">P935*(1+Q935)</f>
        <v>14659.88447</v>
      </c>
      <c r="S935" s="32" t="n">
        <f aca="false">R935*(1-TradeDiscount)</f>
        <v>12900.6983336</v>
      </c>
      <c r="T935" s="32" t="n">
        <f aca="false">R935*(1-VolumeDiscount)</f>
        <v>11727.907576</v>
      </c>
    </row>
    <row r="936" customFormat="false" ht="15" hidden="false" customHeight="false" outlineLevel="0" collapsed="false">
      <c r="A936" s="25" t="s">
        <v>2106</v>
      </c>
      <c r="B936" s="25" t="s">
        <v>97</v>
      </c>
      <c r="C936" s="25" t="s">
        <v>49</v>
      </c>
      <c r="D936" s="25" t="s">
        <v>2107</v>
      </c>
      <c r="E936" s="25" t="s">
        <v>2083</v>
      </c>
      <c r="F936" s="25" t="s">
        <v>1775</v>
      </c>
      <c r="G936" s="25" t="s">
        <v>37</v>
      </c>
      <c r="H936" s="25" t="s">
        <v>65</v>
      </c>
      <c r="I936" s="25" t="s">
        <v>190</v>
      </c>
      <c r="J936" s="25" t="s">
        <v>191</v>
      </c>
      <c r="K936" s="25" t="s">
        <v>192</v>
      </c>
      <c r="L936" s="25" t="s">
        <v>30</v>
      </c>
      <c r="M936" s="25" t="n">
        <v>2409</v>
      </c>
      <c r="N936" s="25" t="n">
        <v>2009</v>
      </c>
      <c r="O936" s="25"/>
      <c r="P936" s="26" t="n">
        <f aca="false">(M936*N936/1000000)*(INDEX(AreaRate_Vals,MATCH(C936,AreaRate_Keys,0))+IFERROR(INDEX(GlazingUpg_Vals,MATCH(H936,GlazingUpg_Keys,0)),0))+INDEX(Hardware_Vals,MATCH("Doors",Hardware_Keys,0))</f>
        <v>10471.34605</v>
      </c>
      <c r="Q936" s="27" t="n">
        <f aca="false">INDEX(Markup_Vals,MATCH("Doors",MarkupCat_Keys,0))</f>
        <v>0.4</v>
      </c>
      <c r="R936" s="28" t="n">
        <f aca="false">P936*(1+Q936)</f>
        <v>14659.88447</v>
      </c>
      <c r="S936" s="28" t="n">
        <f aca="false">R936*(1-TradeDiscount)</f>
        <v>12900.6983336</v>
      </c>
      <c r="T936" s="28" t="n">
        <f aca="false">R936*(1-VolumeDiscount)</f>
        <v>11727.907576</v>
      </c>
    </row>
    <row r="937" customFormat="false" ht="15" hidden="false" customHeight="false" outlineLevel="0" collapsed="false">
      <c r="A937" s="29" t="s">
        <v>2108</v>
      </c>
      <c r="B937" s="29" t="s">
        <v>97</v>
      </c>
      <c r="C937" s="29" t="s">
        <v>49</v>
      </c>
      <c r="D937" s="29" t="s">
        <v>2109</v>
      </c>
      <c r="E937" s="29" t="s">
        <v>2083</v>
      </c>
      <c r="F937" s="29" t="s">
        <v>1775</v>
      </c>
      <c r="G937" s="29" t="s">
        <v>39</v>
      </c>
      <c r="H937" s="29" t="s">
        <v>65</v>
      </c>
      <c r="I937" s="29" t="s">
        <v>190</v>
      </c>
      <c r="J937" s="29" t="s">
        <v>191</v>
      </c>
      <c r="K937" s="29" t="s">
        <v>192</v>
      </c>
      <c r="L937" s="29" t="s">
        <v>30</v>
      </c>
      <c r="M937" s="29" t="n">
        <v>2409</v>
      </c>
      <c r="N937" s="29" t="n">
        <v>2009</v>
      </c>
      <c r="O937" s="29"/>
      <c r="P937" s="30" t="n">
        <f aca="false">(M937*N937/1000000)*(INDEX(AreaRate_Vals,MATCH(C937,AreaRate_Keys,0))+IFERROR(INDEX(GlazingUpg_Vals,MATCH(H937,GlazingUpg_Keys,0)),0))+INDEX(Hardware_Vals,MATCH("Doors",Hardware_Keys,0))</f>
        <v>10471.34605</v>
      </c>
      <c r="Q937" s="31" t="n">
        <f aca="false">INDEX(Markup_Vals,MATCH("Doors",MarkupCat_Keys,0))</f>
        <v>0.4</v>
      </c>
      <c r="R937" s="32" t="n">
        <f aca="false">P937*(1+Q937)</f>
        <v>14659.88447</v>
      </c>
      <c r="S937" s="32" t="n">
        <f aca="false">R937*(1-TradeDiscount)</f>
        <v>12900.6983336</v>
      </c>
      <c r="T937" s="32" t="n">
        <f aca="false">R937*(1-VolumeDiscount)</f>
        <v>11727.907576</v>
      </c>
    </row>
    <row r="938" customFormat="false" ht="15" hidden="false" customHeight="false" outlineLevel="0" collapsed="false">
      <c r="A938" s="25" t="s">
        <v>2110</v>
      </c>
      <c r="B938" s="25" t="s">
        <v>97</v>
      </c>
      <c r="C938" s="25" t="s">
        <v>49</v>
      </c>
      <c r="D938" s="25" t="s">
        <v>2111</v>
      </c>
      <c r="E938" s="25" t="s">
        <v>2083</v>
      </c>
      <c r="F938" s="25" t="s">
        <v>1775</v>
      </c>
      <c r="G938" s="25" t="s">
        <v>38</v>
      </c>
      <c r="H938" s="25" t="s">
        <v>65</v>
      </c>
      <c r="I938" s="25" t="s">
        <v>190</v>
      </c>
      <c r="J938" s="25" t="s">
        <v>191</v>
      </c>
      <c r="K938" s="25" t="s">
        <v>192</v>
      </c>
      <c r="L938" s="25" t="s">
        <v>30</v>
      </c>
      <c r="M938" s="25" t="n">
        <v>2409</v>
      </c>
      <c r="N938" s="25" t="n">
        <v>2009</v>
      </c>
      <c r="O938" s="25"/>
      <c r="P938" s="26" t="n">
        <f aca="false">(M938*N938/1000000)*(INDEX(AreaRate_Vals,MATCH(C938,AreaRate_Keys,0))+IFERROR(INDEX(GlazingUpg_Vals,MATCH(H938,GlazingUpg_Keys,0)),0))+INDEX(Hardware_Vals,MATCH("Doors",Hardware_Keys,0))</f>
        <v>10471.34605</v>
      </c>
      <c r="Q938" s="27" t="n">
        <f aca="false">INDEX(Markup_Vals,MATCH("Doors",MarkupCat_Keys,0))</f>
        <v>0.4</v>
      </c>
      <c r="R938" s="28" t="n">
        <f aca="false">P938*(1+Q938)</f>
        <v>14659.88447</v>
      </c>
      <c r="S938" s="28" t="n">
        <f aca="false">R938*(1-TradeDiscount)</f>
        <v>12900.6983336</v>
      </c>
      <c r="T938" s="28" t="n">
        <f aca="false">R938*(1-VolumeDiscount)</f>
        <v>11727.907576</v>
      </c>
    </row>
    <row r="939" customFormat="false" ht="15" hidden="false" customHeight="false" outlineLevel="0" collapsed="false">
      <c r="A939" s="29" t="s">
        <v>2112</v>
      </c>
      <c r="B939" s="29" t="s">
        <v>97</v>
      </c>
      <c r="C939" s="29" t="s">
        <v>49</v>
      </c>
      <c r="D939" s="29" t="s">
        <v>2113</v>
      </c>
      <c r="E939" s="29" t="s">
        <v>2083</v>
      </c>
      <c r="F939" s="29" t="s">
        <v>1775</v>
      </c>
      <c r="G939" s="29" t="s">
        <v>35</v>
      </c>
      <c r="H939" s="29" t="s">
        <v>66</v>
      </c>
      <c r="I939" s="29" t="s">
        <v>190</v>
      </c>
      <c r="J939" s="29" t="s">
        <v>191</v>
      </c>
      <c r="K939" s="29" t="s">
        <v>192</v>
      </c>
      <c r="L939" s="29" t="s">
        <v>30</v>
      </c>
      <c r="M939" s="29" t="n">
        <v>2409</v>
      </c>
      <c r="N939" s="29" t="n">
        <v>2009</v>
      </c>
      <c r="O939" s="29"/>
      <c r="P939" s="30" t="n">
        <f aca="false">(M939*N939/1000000)*(INDEX(AreaRate_Vals,MATCH(C939,AreaRate_Keys,0))+IFERROR(INDEX(GlazingUpg_Vals,MATCH(H939,GlazingUpg_Keys,0)),0))+INDEX(Hardware_Vals,MATCH("Doors",Hardware_Keys,0))</f>
        <v>13859.12275</v>
      </c>
      <c r="Q939" s="31" t="n">
        <f aca="false">INDEX(Markup_Vals,MATCH("Doors",MarkupCat_Keys,0))</f>
        <v>0.4</v>
      </c>
      <c r="R939" s="32" t="n">
        <f aca="false">P939*(1+Q939)</f>
        <v>19402.77185</v>
      </c>
      <c r="S939" s="32" t="n">
        <f aca="false">R939*(1-TradeDiscount)</f>
        <v>17074.439228</v>
      </c>
      <c r="T939" s="32" t="n">
        <f aca="false">R939*(1-VolumeDiscount)</f>
        <v>15522.21748</v>
      </c>
    </row>
    <row r="940" customFormat="false" ht="15" hidden="false" customHeight="false" outlineLevel="0" collapsed="false">
      <c r="A940" s="25" t="s">
        <v>2114</v>
      </c>
      <c r="B940" s="25" t="s">
        <v>97</v>
      </c>
      <c r="C940" s="25" t="s">
        <v>49</v>
      </c>
      <c r="D940" s="25" t="s">
        <v>2115</v>
      </c>
      <c r="E940" s="25" t="s">
        <v>2083</v>
      </c>
      <c r="F940" s="25" t="s">
        <v>1775</v>
      </c>
      <c r="G940" s="25" t="s">
        <v>36</v>
      </c>
      <c r="H940" s="25" t="s">
        <v>66</v>
      </c>
      <c r="I940" s="25" t="s">
        <v>190</v>
      </c>
      <c r="J940" s="25" t="s">
        <v>191</v>
      </c>
      <c r="K940" s="25" t="s">
        <v>192</v>
      </c>
      <c r="L940" s="25" t="s">
        <v>30</v>
      </c>
      <c r="M940" s="25" t="n">
        <v>2409</v>
      </c>
      <c r="N940" s="25" t="n">
        <v>2009</v>
      </c>
      <c r="O940" s="25"/>
      <c r="P940" s="26" t="n">
        <f aca="false">(M940*N940/1000000)*(INDEX(AreaRate_Vals,MATCH(C940,AreaRate_Keys,0))+IFERROR(INDEX(GlazingUpg_Vals,MATCH(H940,GlazingUpg_Keys,0)),0))+INDEX(Hardware_Vals,MATCH("Doors",Hardware_Keys,0))</f>
        <v>13859.12275</v>
      </c>
      <c r="Q940" s="27" t="n">
        <f aca="false">INDEX(Markup_Vals,MATCH("Doors",MarkupCat_Keys,0))</f>
        <v>0.4</v>
      </c>
      <c r="R940" s="28" t="n">
        <f aca="false">P940*(1+Q940)</f>
        <v>19402.77185</v>
      </c>
      <c r="S940" s="28" t="n">
        <f aca="false">R940*(1-TradeDiscount)</f>
        <v>17074.439228</v>
      </c>
      <c r="T940" s="28" t="n">
        <f aca="false">R940*(1-VolumeDiscount)</f>
        <v>15522.21748</v>
      </c>
    </row>
    <row r="941" customFormat="false" ht="15" hidden="false" customHeight="false" outlineLevel="0" collapsed="false">
      <c r="A941" s="29" t="s">
        <v>2116</v>
      </c>
      <c r="B941" s="29" t="s">
        <v>97</v>
      </c>
      <c r="C941" s="29" t="s">
        <v>49</v>
      </c>
      <c r="D941" s="29" t="s">
        <v>2117</v>
      </c>
      <c r="E941" s="29" t="s">
        <v>2083</v>
      </c>
      <c r="F941" s="29" t="s">
        <v>1775</v>
      </c>
      <c r="G941" s="29" t="s">
        <v>37</v>
      </c>
      <c r="H941" s="29" t="s">
        <v>66</v>
      </c>
      <c r="I941" s="29" t="s">
        <v>190</v>
      </c>
      <c r="J941" s="29" t="s">
        <v>191</v>
      </c>
      <c r="K941" s="29" t="s">
        <v>192</v>
      </c>
      <c r="L941" s="29" t="s">
        <v>30</v>
      </c>
      <c r="M941" s="29" t="n">
        <v>2409</v>
      </c>
      <c r="N941" s="29" t="n">
        <v>2009</v>
      </c>
      <c r="O941" s="29"/>
      <c r="P941" s="30" t="n">
        <f aca="false">(M941*N941/1000000)*(INDEX(AreaRate_Vals,MATCH(C941,AreaRate_Keys,0))+IFERROR(INDEX(GlazingUpg_Vals,MATCH(H941,GlazingUpg_Keys,0)),0))+INDEX(Hardware_Vals,MATCH("Doors",Hardware_Keys,0))</f>
        <v>13859.12275</v>
      </c>
      <c r="Q941" s="31" t="n">
        <f aca="false">INDEX(Markup_Vals,MATCH("Doors",MarkupCat_Keys,0))</f>
        <v>0.4</v>
      </c>
      <c r="R941" s="32" t="n">
        <f aca="false">P941*(1+Q941)</f>
        <v>19402.77185</v>
      </c>
      <c r="S941" s="32" t="n">
        <f aca="false">R941*(1-TradeDiscount)</f>
        <v>17074.439228</v>
      </c>
      <c r="T941" s="32" t="n">
        <f aca="false">R941*(1-VolumeDiscount)</f>
        <v>15522.21748</v>
      </c>
    </row>
    <row r="942" customFormat="false" ht="15" hidden="false" customHeight="false" outlineLevel="0" collapsed="false">
      <c r="A942" s="25" t="s">
        <v>2118</v>
      </c>
      <c r="B942" s="25" t="s">
        <v>97</v>
      </c>
      <c r="C942" s="25" t="s">
        <v>49</v>
      </c>
      <c r="D942" s="25" t="s">
        <v>2119</v>
      </c>
      <c r="E942" s="25" t="s">
        <v>2083</v>
      </c>
      <c r="F942" s="25" t="s">
        <v>1775</v>
      </c>
      <c r="G942" s="25" t="s">
        <v>39</v>
      </c>
      <c r="H942" s="25" t="s">
        <v>66</v>
      </c>
      <c r="I942" s="25" t="s">
        <v>190</v>
      </c>
      <c r="J942" s="25" t="s">
        <v>191</v>
      </c>
      <c r="K942" s="25" t="s">
        <v>192</v>
      </c>
      <c r="L942" s="25" t="s">
        <v>30</v>
      </c>
      <c r="M942" s="25" t="n">
        <v>2409</v>
      </c>
      <c r="N942" s="25" t="n">
        <v>2009</v>
      </c>
      <c r="O942" s="25"/>
      <c r="P942" s="26" t="n">
        <f aca="false">(M942*N942/1000000)*(INDEX(AreaRate_Vals,MATCH(C942,AreaRate_Keys,0))+IFERROR(INDEX(GlazingUpg_Vals,MATCH(H942,GlazingUpg_Keys,0)),0))+INDEX(Hardware_Vals,MATCH("Doors",Hardware_Keys,0))</f>
        <v>13859.12275</v>
      </c>
      <c r="Q942" s="27" t="n">
        <f aca="false">INDEX(Markup_Vals,MATCH("Doors",MarkupCat_Keys,0))</f>
        <v>0.4</v>
      </c>
      <c r="R942" s="28" t="n">
        <f aca="false">P942*(1+Q942)</f>
        <v>19402.77185</v>
      </c>
      <c r="S942" s="28" t="n">
        <f aca="false">R942*(1-TradeDiscount)</f>
        <v>17074.439228</v>
      </c>
      <c r="T942" s="28" t="n">
        <f aca="false">R942*(1-VolumeDiscount)</f>
        <v>15522.21748</v>
      </c>
    </row>
    <row r="943" customFormat="false" ht="15" hidden="false" customHeight="false" outlineLevel="0" collapsed="false">
      <c r="A943" s="29" t="s">
        <v>2120</v>
      </c>
      <c r="B943" s="29" t="s">
        <v>97</v>
      </c>
      <c r="C943" s="29" t="s">
        <v>49</v>
      </c>
      <c r="D943" s="29" t="s">
        <v>2121</v>
      </c>
      <c r="E943" s="29" t="s">
        <v>2083</v>
      </c>
      <c r="F943" s="29" t="s">
        <v>1775</v>
      </c>
      <c r="G943" s="29" t="s">
        <v>38</v>
      </c>
      <c r="H943" s="29" t="s">
        <v>66</v>
      </c>
      <c r="I943" s="29" t="s">
        <v>190</v>
      </c>
      <c r="J943" s="29" t="s">
        <v>191</v>
      </c>
      <c r="K943" s="29" t="s">
        <v>192</v>
      </c>
      <c r="L943" s="29" t="s">
        <v>30</v>
      </c>
      <c r="M943" s="29" t="n">
        <v>2409</v>
      </c>
      <c r="N943" s="29" t="n">
        <v>2009</v>
      </c>
      <c r="O943" s="29"/>
      <c r="P943" s="30" t="n">
        <f aca="false">(M943*N943/1000000)*(INDEX(AreaRate_Vals,MATCH(C943,AreaRate_Keys,0))+IFERROR(INDEX(GlazingUpg_Vals,MATCH(H943,GlazingUpg_Keys,0)),0))+INDEX(Hardware_Vals,MATCH("Doors",Hardware_Keys,0))</f>
        <v>13859.12275</v>
      </c>
      <c r="Q943" s="31" t="n">
        <f aca="false">INDEX(Markup_Vals,MATCH("Doors",MarkupCat_Keys,0))</f>
        <v>0.4</v>
      </c>
      <c r="R943" s="32" t="n">
        <f aca="false">P943*(1+Q943)</f>
        <v>19402.77185</v>
      </c>
      <c r="S943" s="32" t="n">
        <f aca="false">R943*(1-TradeDiscount)</f>
        <v>17074.439228</v>
      </c>
      <c r="T943" s="32" t="n">
        <f aca="false">R943*(1-VolumeDiscount)</f>
        <v>15522.21748</v>
      </c>
    </row>
    <row r="944" customFormat="false" ht="15" hidden="false" customHeight="false" outlineLevel="0" collapsed="false">
      <c r="A944" s="25" t="s">
        <v>2122</v>
      </c>
      <c r="B944" s="25" t="s">
        <v>97</v>
      </c>
      <c r="C944" s="25" t="s">
        <v>49</v>
      </c>
      <c r="D944" s="25" t="s">
        <v>2123</v>
      </c>
      <c r="E944" s="25" t="s">
        <v>2083</v>
      </c>
      <c r="F944" s="25" t="s">
        <v>1796</v>
      </c>
      <c r="G944" s="25" t="s">
        <v>35</v>
      </c>
      <c r="H944" s="25" t="s">
        <v>65</v>
      </c>
      <c r="I944" s="25" t="s">
        <v>190</v>
      </c>
      <c r="J944" s="25" t="s">
        <v>191</v>
      </c>
      <c r="K944" s="25" t="s">
        <v>192</v>
      </c>
      <c r="L944" s="25" t="s">
        <v>30</v>
      </c>
      <c r="M944" s="25" t="n">
        <v>1809</v>
      </c>
      <c r="N944" s="25" t="n">
        <v>2090</v>
      </c>
      <c r="O944" s="25"/>
      <c r="P944" s="26" t="n">
        <f aca="false">(M944*N944/1000000)*(INDEX(AreaRate_Vals,MATCH(C944,AreaRate_Keys,0))+IFERROR(INDEX(GlazingUpg_Vals,MATCH(H944,GlazingUpg_Keys,0)),0))+INDEX(Hardware_Vals,MATCH("Doors",Hardware_Keys,0))</f>
        <v>8300.6605</v>
      </c>
      <c r="Q944" s="27" t="n">
        <f aca="false">INDEX(Markup_Vals,MATCH("Doors",MarkupCat_Keys,0))</f>
        <v>0.4</v>
      </c>
      <c r="R944" s="28" t="n">
        <f aca="false">P944*(1+Q944)</f>
        <v>11620.9247</v>
      </c>
      <c r="S944" s="28" t="n">
        <f aca="false">R944*(1-TradeDiscount)</f>
        <v>10226.413736</v>
      </c>
      <c r="T944" s="28" t="n">
        <f aca="false">R944*(1-VolumeDiscount)</f>
        <v>9296.73976</v>
      </c>
    </row>
    <row r="945" customFormat="false" ht="15" hidden="false" customHeight="false" outlineLevel="0" collapsed="false">
      <c r="A945" s="29" t="s">
        <v>2124</v>
      </c>
      <c r="B945" s="29" t="s">
        <v>97</v>
      </c>
      <c r="C945" s="29" t="s">
        <v>49</v>
      </c>
      <c r="D945" s="29" t="s">
        <v>2125</v>
      </c>
      <c r="E945" s="29" t="s">
        <v>2083</v>
      </c>
      <c r="F945" s="29" t="s">
        <v>1796</v>
      </c>
      <c r="G945" s="29" t="s">
        <v>36</v>
      </c>
      <c r="H945" s="29" t="s">
        <v>65</v>
      </c>
      <c r="I945" s="29" t="s">
        <v>190</v>
      </c>
      <c r="J945" s="29" t="s">
        <v>191</v>
      </c>
      <c r="K945" s="29" t="s">
        <v>192</v>
      </c>
      <c r="L945" s="29" t="s">
        <v>30</v>
      </c>
      <c r="M945" s="29" t="n">
        <v>1809</v>
      </c>
      <c r="N945" s="29" t="n">
        <v>2090</v>
      </c>
      <c r="O945" s="29"/>
      <c r="P945" s="30" t="n">
        <f aca="false">(M945*N945/1000000)*(INDEX(AreaRate_Vals,MATCH(C945,AreaRate_Keys,0))+IFERROR(INDEX(GlazingUpg_Vals,MATCH(H945,GlazingUpg_Keys,0)),0))+INDEX(Hardware_Vals,MATCH("Doors",Hardware_Keys,0))</f>
        <v>8300.6605</v>
      </c>
      <c r="Q945" s="31" t="n">
        <f aca="false">INDEX(Markup_Vals,MATCH("Doors",MarkupCat_Keys,0))</f>
        <v>0.4</v>
      </c>
      <c r="R945" s="32" t="n">
        <f aca="false">P945*(1+Q945)</f>
        <v>11620.9247</v>
      </c>
      <c r="S945" s="32" t="n">
        <f aca="false">R945*(1-TradeDiscount)</f>
        <v>10226.413736</v>
      </c>
      <c r="T945" s="32" t="n">
        <f aca="false">R945*(1-VolumeDiscount)</f>
        <v>9296.73976</v>
      </c>
    </row>
    <row r="946" customFormat="false" ht="15" hidden="false" customHeight="false" outlineLevel="0" collapsed="false">
      <c r="A946" s="25" t="s">
        <v>2126</v>
      </c>
      <c r="B946" s="25" t="s">
        <v>97</v>
      </c>
      <c r="C946" s="25" t="s">
        <v>49</v>
      </c>
      <c r="D946" s="25" t="s">
        <v>2127</v>
      </c>
      <c r="E946" s="25" t="s">
        <v>2083</v>
      </c>
      <c r="F946" s="25" t="s">
        <v>1796</v>
      </c>
      <c r="G946" s="25" t="s">
        <v>37</v>
      </c>
      <c r="H946" s="25" t="s">
        <v>65</v>
      </c>
      <c r="I946" s="25" t="s">
        <v>190</v>
      </c>
      <c r="J946" s="25" t="s">
        <v>191</v>
      </c>
      <c r="K946" s="25" t="s">
        <v>192</v>
      </c>
      <c r="L946" s="25" t="s">
        <v>30</v>
      </c>
      <c r="M946" s="25" t="n">
        <v>1809</v>
      </c>
      <c r="N946" s="25" t="n">
        <v>2090</v>
      </c>
      <c r="O946" s="25"/>
      <c r="P946" s="26" t="n">
        <f aca="false">(M946*N946/1000000)*(INDEX(AreaRate_Vals,MATCH(C946,AreaRate_Keys,0))+IFERROR(INDEX(GlazingUpg_Vals,MATCH(H946,GlazingUpg_Keys,0)),0))+INDEX(Hardware_Vals,MATCH("Doors",Hardware_Keys,0))</f>
        <v>8300.6605</v>
      </c>
      <c r="Q946" s="27" t="n">
        <f aca="false">INDEX(Markup_Vals,MATCH("Doors",MarkupCat_Keys,0))</f>
        <v>0.4</v>
      </c>
      <c r="R946" s="28" t="n">
        <f aca="false">P946*(1+Q946)</f>
        <v>11620.9247</v>
      </c>
      <c r="S946" s="28" t="n">
        <f aca="false">R946*(1-TradeDiscount)</f>
        <v>10226.413736</v>
      </c>
      <c r="T946" s="28" t="n">
        <f aca="false">R946*(1-VolumeDiscount)</f>
        <v>9296.73976</v>
      </c>
    </row>
    <row r="947" customFormat="false" ht="15" hidden="false" customHeight="false" outlineLevel="0" collapsed="false">
      <c r="A947" s="29" t="s">
        <v>2128</v>
      </c>
      <c r="B947" s="29" t="s">
        <v>97</v>
      </c>
      <c r="C947" s="29" t="s">
        <v>49</v>
      </c>
      <c r="D947" s="29" t="s">
        <v>2129</v>
      </c>
      <c r="E947" s="29" t="s">
        <v>2083</v>
      </c>
      <c r="F947" s="29" t="s">
        <v>1796</v>
      </c>
      <c r="G947" s="29" t="s">
        <v>39</v>
      </c>
      <c r="H947" s="29" t="s">
        <v>65</v>
      </c>
      <c r="I947" s="29" t="s">
        <v>190</v>
      </c>
      <c r="J947" s="29" t="s">
        <v>191</v>
      </c>
      <c r="K947" s="29" t="s">
        <v>192</v>
      </c>
      <c r="L947" s="29" t="s">
        <v>30</v>
      </c>
      <c r="M947" s="29" t="n">
        <v>1809</v>
      </c>
      <c r="N947" s="29" t="n">
        <v>2090</v>
      </c>
      <c r="O947" s="29"/>
      <c r="P947" s="30" t="n">
        <f aca="false">(M947*N947/1000000)*(INDEX(AreaRate_Vals,MATCH(C947,AreaRate_Keys,0))+IFERROR(INDEX(GlazingUpg_Vals,MATCH(H947,GlazingUpg_Keys,0)),0))+INDEX(Hardware_Vals,MATCH("Doors",Hardware_Keys,0))</f>
        <v>8300.6605</v>
      </c>
      <c r="Q947" s="31" t="n">
        <f aca="false">INDEX(Markup_Vals,MATCH("Doors",MarkupCat_Keys,0))</f>
        <v>0.4</v>
      </c>
      <c r="R947" s="32" t="n">
        <f aca="false">P947*(1+Q947)</f>
        <v>11620.9247</v>
      </c>
      <c r="S947" s="32" t="n">
        <f aca="false">R947*(1-TradeDiscount)</f>
        <v>10226.413736</v>
      </c>
      <c r="T947" s="32" t="n">
        <f aca="false">R947*(1-VolumeDiscount)</f>
        <v>9296.73976</v>
      </c>
    </row>
    <row r="948" customFormat="false" ht="15" hidden="false" customHeight="false" outlineLevel="0" collapsed="false">
      <c r="A948" s="25" t="s">
        <v>2130</v>
      </c>
      <c r="B948" s="25" t="s">
        <v>97</v>
      </c>
      <c r="C948" s="25" t="s">
        <v>49</v>
      </c>
      <c r="D948" s="25" t="s">
        <v>2131</v>
      </c>
      <c r="E948" s="25" t="s">
        <v>2083</v>
      </c>
      <c r="F948" s="25" t="s">
        <v>1796</v>
      </c>
      <c r="G948" s="25" t="s">
        <v>38</v>
      </c>
      <c r="H948" s="25" t="s">
        <v>65</v>
      </c>
      <c r="I948" s="25" t="s">
        <v>190</v>
      </c>
      <c r="J948" s="25" t="s">
        <v>191</v>
      </c>
      <c r="K948" s="25" t="s">
        <v>192</v>
      </c>
      <c r="L948" s="25" t="s">
        <v>30</v>
      </c>
      <c r="M948" s="25" t="n">
        <v>1809</v>
      </c>
      <c r="N948" s="25" t="n">
        <v>2090</v>
      </c>
      <c r="O948" s="25"/>
      <c r="P948" s="26" t="n">
        <f aca="false">(M948*N948/1000000)*(INDEX(AreaRate_Vals,MATCH(C948,AreaRate_Keys,0))+IFERROR(INDEX(GlazingUpg_Vals,MATCH(H948,GlazingUpg_Keys,0)),0))+INDEX(Hardware_Vals,MATCH("Doors",Hardware_Keys,0))</f>
        <v>8300.6605</v>
      </c>
      <c r="Q948" s="27" t="n">
        <f aca="false">INDEX(Markup_Vals,MATCH("Doors",MarkupCat_Keys,0))</f>
        <v>0.4</v>
      </c>
      <c r="R948" s="28" t="n">
        <f aca="false">P948*(1+Q948)</f>
        <v>11620.9247</v>
      </c>
      <c r="S948" s="28" t="n">
        <f aca="false">R948*(1-TradeDiscount)</f>
        <v>10226.413736</v>
      </c>
      <c r="T948" s="28" t="n">
        <f aca="false">R948*(1-VolumeDiscount)</f>
        <v>9296.73976</v>
      </c>
    </row>
    <row r="949" customFormat="false" ht="15" hidden="false" customHeight="false" outlineLevel="0" collapsed="false">
      <c r="A949" s="29" t="s">
        <v>2132</v>
      </c>
      <c r="B949" s="29" t="s">
        <v>97</v>
      </c>
      <c r="C949" s="29" t="s">
        <v>49</v>
      </c>
      <c r="D949" s="29" t="s">
        <v>2133</v>
      </c>
      <c r="E949" s="29" t="s">
        <v>2083</v>
      </c>
      <c r="F949" s="29" t="s">
        <v>1796</v>
      </c>
      <c r="G949" s="29" t="s">
        <v>35</v>
      </c>
      <c r="H949" s="29" t="s">
        <v>66</v>
      </c>
      <c r="I949" s="29" t="s">
        <v>190</v>
      </c>
      <c r="J949" s="29" t="s">
        <v>191</v>
      </c>
      <c r="K949" s="29" t="s">
        <v>192</v>
      </c>
      <c r="L949" s="29" t="s">
        <v>30</v>
      </c>
      <c r="M949" s="29" t="n">
        <v>1809</v>
      </c>
      <c r="N949" s="29" t="n">
        <v>2090</v>
      </c>
      <c r="O949" s="29"/>
      <c r="P949" s="30" t="n">
        <f aca="false">(M949*N949/1000000)*(INDEX(AreaRate_Vals,MATCH(C949,AreaRate_Keys,0))+IFERROR(INDEX(GlazingUpg_Vals,MATCH(H949,GlazingUpg_Keys,0)),0))+INDEX(Hardware_Vals,MATCH("Doors",Hardware_Keys,0))</f>
        <v>10947.2275</v>
      </c>
      <c r="Q949" s="31" t="n">
        <f aca="false">INDEX(Markup_Vals,MATCH("Doors",MarkupCat_Keys,0))</f>
        <v>0.4</v>
      </c>
      <c r="R949" s="32" t="n">
        <f aca="false">P949*(1+Q949)</f>
        <v>15326.1185</v>
      </c>
      <c r="S949" s="32" t="n">
        <f aca="false">R949*(1-TradeDiscount)</f>
        <v>13486.98428</v>
      </c>
      <c r="T949" s="32" t="n">
        <f aca="false">R949*(1-VolumeDiscount)</f>
        <v>12260.8948</v>
      </c>
    </row>
    <row r="950" customFormat="false" ht="15" hidden="false" customHeight="false" outlineLevel="0" collapsed="false">
      <c r="A950" s="25" t="s">
        <v>2134</v>
      </c>
      <c r="B950" s="25" t="s">
        <v>97</v>
      </c>
      <c r="C950" s="25" t="s">
        <v>49</v>
      </c>
      <c r="D950" s="25" t="s">
        <v>2135</v>
      </c>
      <c r="E950" s="25" t="s">
        <v>2083</v>
      </c>
      <c r="F950" s="25" t="s">
        <v>1796</v>
      </c>
      <c r="G950" s="25" t="s">
        <v>36</v>
      </c>
      <c r="H950" s="25" t="s">
        <v>66</v>
      </c>
      <c r="I950" s="25" t="s">
        <v>190</v>
      </c>
      <c r="J950" s="25" t="s">
        <v>191</v>
      </c>
      <c r="K950" s="25" t="s">
        <v>192</v>
      </c>
      <c r="L950" s="25" t="s">
        <v>30</v>
      </c>
      <c r="M950" s="25" t="n">
        <v>1809</v>
      </c>
      <c r="N950" s="25" t="n">
        <v>2090</v>
      </c>
      <c r="O950" s="25"/>
      <c r="P950" s="26" t="n">
        <f aca="false">(M950*N950/1000000)*(INDEX(AreaRate_Vals,MATCH(C950,AreaRate_Keys,0))+IFERROR(INDEX(GlazingUpg_Vals,MATCH(H950,GlazingUpg_Keys,0)),0))+INDEX(Hardware_Vals,MATCH("Doors",Hardware_Keys,0))</f>
        <v>10947.2275</v>
      </c>
      <c r="Q950" s="27" t="n">
        <f aca="false">INDEX(Markup_Vals,MATCH("Doors",MarkupCat_Keys,0))</f>
        <v>0.4</v>
      </c>
      <c r="R950" s="28" t="n">
        <f aca="false">P950*(1+Q950)</f>
        <v>15326.1185</v>
      </c>
      <c r="S950" s="28" t="n">
        <f aca="false">R950*(1-TradeDiscount)</f>
        <v>13486.98428</v>
      </c>
      <c r="T950" s="28" t="n">
        <f aca="false">R950*(1-VolumeDiscount)</f>
        <v>12260.8948</v>
      </c>
    </row>
    <row r="951" customFormat="false" ht="15" hidden="false" customHeight="false" outlineLevel="0" collapsed="false">
      <c r="A951" s="29" t="s">
        <v>2136</v>
      </c>
      <c r="B951" s="29" t="s">
        <v>97</v>
      </c>
      <c r="C951" s="29" t="s">
        <v>49</v>
      </c>
      <c r="D951" s="29" t="s">
        <v>2137</v>
      </c>
      <c r="E951" s="29" t="s">
        <v>2083</v>
      </c>
      <c r="F951" s="29" t="s">
        <v>1796</v>
      </c>
      <c r="G951" s="29" t="s">
        <v>37</v>
      </c>
      <c r="H951" s="29" t="s">
        <v>66</v>
      </c>
      <c r="I951" s="29" t="s">
        <v>190</v>
      </c>
      <c r="J951" s="29" t="s">
        <v>191</v>
      </c>
      <c r="K951" s="29" t="s">
        <v>192</v>
      </c>
      <c r="L951" s="29" t="s">
        <v>30</v>
      </c>
      <c r="M951" s="29" t="n">
        <v>1809</v>
      </c>
      <c r="N951" s="29" t="n">
        <v>2090</v>
      </c>
      <c r="O951" s="29"/>
      <c r="P951" s="30" t="n">
        <f aca="false">(M951*N951/1000000)*(INDEX(AreaRate_Vals,MATCH(C951,AreaRate_Keys,0))+IFERROR(INDEX(GlazingUpg_Vals,MATCH(H951,GlazingUpg_Keys,0)),0))+INDEX(Hardware_Vals,MATCH("Doors",Hardware_Keys,0))</f>
        <v>10947.2275</v>
      </c>
      <c r="Q951" s="31" t="n">
        <f aca="false">INDEX(Markup_Vals,MATCH("Doors",MarkupCat_Keys,0))</f>
        <v>0.4</v>
      </c>
      <c r="R951" s="32" t="n">
        <f aca="false">P951*(1+Q951)</f>
        <v>15326.1185</v>
      </c>
      <c r="S951" s="32" t="n">
        <f aca="false">R951*(1-TradeDiscount)</f>
        <v>13486.98428</v>
      </c>
      <c r="T951" s="32" t="n">
        <f aca="false">R951*(1-VolumeDiscount)</f>
        <v>12260.8948</v>
      </c>
    </row>
    <row r="952" customFormat="false" ht="15" hidden="false" customHeight="false" outlineLevel="0" collapsed="false">
      <c r="A952" s="25" t="s">
        <v>2138</v>
      </c>
      <c r="B952" s="25" t="s">
        <v>97</v>
      </c>
      <c r="C952" s="25" t="s">
        <v>49</v>
      </c>
      <c r="D952" s="25" t="s">
        <v>2139</v>
      </c>
      <c r="E952" s="25" t="s">
        <v>2083</v>
      </c>
      <c r="F952" s="25" t="s">
        <v>1796</v>
      </c>
      <c r="G952" s="25" t="s">
        <v>39</v>
      </c>
      <c r="H952" s="25" t="s">
        <v>66</v>
      </c>
      <c r="I952" s="25" t="s">
        <v>190</v>
      </c>
      <c r="J952" s="25" t="s">
        <v>191</v>
      </c>
      <c r="K952" s="25" t="s">
        <v>192</v>
      </c>
      <c r="L952" s="25" t="s">
        <v>30</v>
      </c>
      <c r="M952" s="25" t="n">
        <v>1809</v>
      </c>
      <c r="N952" s="25" t="n">
        <v>2090</v>
      </c>
      <c r="O952" s="25"/>
      <c r="P952" s="26" t="n">
        <f aca="false">(M952*N952/1000000)*(INDEX(AreaRate_Vals,MATCH(C952,AreaRate_Keys,0))+IFERROR(INDEX(GlazingUpg_Vals,MATCH(H952,GlazingUpg_Keys,0)),0))+INDEX(Hardware_Vals,MATCH("Doors",Hardware_Keys,0))</f>
        <v>10947.2275</v>
      </c>
      <c r="Q952" s="27" t="n">
        <f aca="false">INDEX(Markup_Vals,MATCH("Doors",MarkupCat_Keys,0))</f>
        <v>0.4</v>
      </c>
      <c r="R952" s="28" t="n">
        <f aca="false">P952*(1+Q952)</f>
        <v>15326.1185</v>
      </c>
      <c r="S952" s="28" t="n">
        <f aca="false">R952*(1-TradeDiscount)</f>
        <v>13486.98428</v>
      </c>
      <c r="T952" s="28" t="n">
        <f aca="false">R952*(1-VolumeDiscount)</f>
        <v>12260.8948</v>
      </c>
    </row>
    <row r="953" customFormat="false" ht="15" hidden="false" customHeight="false" outlineLevel="0" collapsed="false">
      <c r="A953" s="29" t="s">
        <v>2140</v>
      </c>
      <c r="B953" s="29" t="s">
        <v>97</v>
      </c>
      <c r="C953" s="29" t="s">
        <v>49</v>
      </c>
      <c r="D953" s="29" t="s">
        <v>2141</v>
      </c>
      <c r="E953" s="29" t="s">
        <v>2083</v>
      </c>
      <c r="F953" s="29" t="s">
        <v>1796</v>
      </c>
      <c r="G953" s="29" t="s">
        <v>38</v>
      </c>
      <c r="H953" s="29" t="s">
        <v>66</v>
      </c>
      <c r="I953" s="29" t="s">
        <v>190</v>
      </c>
      <c r="J953" s="29" t="s">
        <v>191</v>
      </c>
      <c r="K953" s="29" t="s">
        <v>192</v>
      </c>
      <c r="L953" s="29" t="s">
        <v>30</v>
      </c>
      <c r="M953" s="29" t="n">
        <v>1809</v>
      </c>
      <c r="N953" s="29" t="n">
        <v>2090</v>
      </c>
      <c r="O953" s="29"/>
      <c r="P953" s="30" t="n">
        <f aca="false">(M953*N953/1000000)*(INDEX(AreaRate_Vals,MATCH(C953,AreaRate_Keys,0))+IFERROR(INDEX(GlazingUpg_Vals,MATCH(H953,GlazingUpg_Keys,0)),0))+INDEX(Hardware_Vals,MATCH("Doors",Hardware_Keys,0))</f>
        <v>10947.2275</v>
      </c>
      <c r="Q953" s="31" t="n">
        <f aca="false">INDEX(Markup_Vals,MATCH("Doors",MarkupCat_Keys,0))</f>
        <v>0.4</v>
      </c>
      <c r="R953" s="32" t="n">
        <f aca="false">P953*(1+Q953)</f>
        <v>15326.1185</v>
      </c>
      <c r="S953" s="32" t="n">
        <f aca="false">R953*(1-TradeDiscount)</f>
        <v>13486.98428</v>
      </c>
      <c r="T953" s="32" t="n">
        <f aca="false">R953*(1-VolumeDiscount)</f>
        <v>12260.8948</v>
      </c>
    </row>
    <row r="954" customFormat="false" ht="15" hidden="false" customHeight="false" outlineLevel="0" collapsed="false">
      <c r="A954" s="25" t="s">
        <v>2142</v>
      </c>
      <c r="B954" s="25" t="s">
        <v>97</v>
      </c>
      <c r="C954" s="25" t="s">
        <v>49</v>
      </c>
      <c r="D954" s="25" t="s">
        <v>2143</v>
      </c>
      <c r="E954" s="25" t="s">
        <v>2083</v>
      </c>
      <c r="F954" s="25" t="s">
        <v>1817</v>
      </c>
      <c r="G954" s="25" t="s">
        <v>35</v>
      </c>
      <c r="H954" s="25" t="s">
        <v>65</v>
      </c>
      <c r="I954" s="25" t="s">
        <v>190</v>
      </c>
      <c r="J954" s="25" t="s">
        <v>191</v>
      </c>
      <c r="K954" s="25" t="s">
        <v>192</v>
      </c>
      <c r="L954" s="25" t="s">
        <v>30</v>
      </c>
      <c r="M954" s="25" t="n">
        <v>2409</v>
      </c>
      <c r="N954" s="25" t="n">
        <v>2090</v>
      </c>
      <c r="O954" s="25"/>
      <c r="P954" s="26" t="n">
        <f aca="false">(M954*N954/1000000)*(INDEX(AreaRate_Vals,MATCH(C954,AreaRate_Keys,0))+IFERROR(INDEX(GlazingUpg_Vals,MATCH(H954,GlazingUpg_Keys,0)),0))+INDEX(Hardware_Vals,MATCH("Doors",Hardware_Keys,0))</f>
        <v>10871.3605</v>
      </c>
      <c r="Q954" s="27" t="n">
        <f aca="false">INDEX(Markup_Vals,MATCH("Doors",MarkupCat_Keys,0))</f>
        <v>0.4</v>
      </c>
      <c r="R954" s="28" t="n">
        <f aca="false">P954*(1+Q954)</f>
        <v>15219.9047</v>
      </c>
      <c r="S954" s="28" t="n">
        <f aca="false">R954*(1-TradeDiscount)</f>
        <v>13393.516136</v>
      </c>
      <c r="T954" s="28" t="n">
        <f aca="false">R954*(1-VolumeDiscount)</f>
        <v>12175.92376</v>
      </c>
    </row>
    <row r="955" customFormat="false" ht="15" hidden="false" customHeight="false" outlineLevel="0" collapsed="false">
      <c r="A955" s="29" t="s">
        <v>2144</v>
      </c>
      <c r="B955" s="29" t="s">
        <v>97</v>
      </c>
      <c r="C955" s="29" t="s">
        <v>49</v>
      </c>
      <c r="D955" s="29" t="s">
        <v>2145</v>
      </c>
      <c r="E955" s="29" t="s">
        <v>2083</v>
      </c>
      <c r="F955" s="29" t="s">
        <v>1817</v>
      </c>
      <c r="G955" s="29" t="s">
        <v>36</v>
      </c>
      <c r="H955" s="29" t="s">
        <v>65</v>
      </c>
      <c r="I955" s="29" t="s">
        <v>190</v>
      </c>
      <c r="J955" s="29" t="s">
        <v>191</v>
      </c>
      <c r="K955" s="29" t="s">
        <v>192</v>
      </c>
      <c r="L955" s="29" t="s">
        <v>30</v>
      </c>
      <c r="M955" s="29" t="n">
        <v>2409</v>
      </c>
      <c r="N955" s="29" t="n">
        <v>2090</v>
      </c>
      <c r="O955" s="29"/>
      <c r="P955" s="30" t="n">
        <f aca="false">(M955*N955/1000000)*(INDEX(AreaRate_Vals,MATCH(C955,AreaRate_Keys,0))+IFERROR(INDEX(GlazingUpg_Vals,MATCH(H955,GlazingUpg_Keys,0)),0))+INDEX(Hardware_Vals,MATCH("Doors",Hardware_Keys,0))</f>
        <v>10871.3605</v>
      </c>
      <c r="Q955" s="31" t="n">
        <f aca="false">INDEX(Markup_Vals,MATCH("Doors",MarkupCat_Keys,0))</f>
        <v>0.4</v>
      </c>
      <c r="R955" s="32" t="n">
        <f aca="false">P955*(1+Q955)</f>
        <v>15219.9047</v>
      </c>
      <c r="S955" s="32" t="n">
        <f aca="false">R955*(1-TradeDiscount)</f>
        <v>13393.516136</v>
      </c>
      <c r="T955" s="32" t="n">
        <f aca="false">R955*(1-VolumeDiscount)</f>
        <v>12175.92376</v>
      </c>
    </row>
    <row r="956" customFormat="false" ht="15" hidden="false" customHeight="false" outlineLevel="0" collapsed="false">
      <c r="A956" s="25" t="s">
        <v>2146</v>
      </c>
      <c r="B956" s="25" t="s">
        <v>97</v>
      </c>
      <c r="C956" s="25" t="s">
        <v>49</v>
      </c>
      <c r="D956" s="25" t="s">
        <v>2147</v>
      </c>
      <c r="E956" s="25" t="s">
        <v>2083</v>
      </c>
      <c r="F956" s="25" t="s">
        <v>1817</v>
      </c>
      <c r="G956" s="25" t="s">
        <v>37</v>
      </c>
      <c r="H956" s="25" t="s">
        <v>65</v>
      </c>
      <c r="I956" s="25" t="s">
        <v>190</v>
      </c>
      <c r="J956" s="25" t="s">
        <v>191</v>
      </c>
      <c r="K956" s="25" t="s">
        <v>192</v>
      </c>
      <c r="L956" s="25" t="s">
        <v>30</v>
      </c>
      <c r="M956" s="25" t="n">
        <v>2409</v>
      </c>
      <c r="N956" s="25" t="n">
        <v>2090</v>
      </c>
      <c r="O956" s="25"/>
      <c r="P956" s="26" t="n">
        <f aca="false">(M956*N956/1000000)*(INDEX(AreaRate_Vals,MATCH(C956,AreaRate_Keys,0))+IFERROR(INDEX(GlazingUpg_Vals,MATCH(H956,GlazingUpg_Keys,0)),0))+INDEX(Hardware_Vals,MATCH("Doors",Hardware_Keys,0))</f>
        <v>10871.3605</v>
      </c>
      <c r="Q956" s="27" t="n">
        <f aca="false">INDEX(Markup_Vals,MATCH("Doors",MarkupCat_Keys,0))</f>
        <v>0.4</v>
      </c>
      <c r="R956" s="28" t="n">
        <f aca="false">P956*(1+Q956)</f>
        <v>15219.9047</v>
      </c>
      <c r="S956" s="28" t="n">
        <f aca="false">R956*(1-TradeDiscount)</f>
        <v>13393.516136</v>
      </c>
      <c r="T956" s="28" t="n">
        <f aca="false">R956*(1-VolumeDiscount)</f>
        <v>12175.92376</v>
      </c>
    </row>
    <row r="957" customFormat="false" ht="15" hidden="false" customHeight="false" outlineLevel="0" collapsed="false">
      <c r="A957" s="29" t="s">
        <v>2148</v>
      </c>
      <c r="B957" s="29" t="s">
        <v>97</v>
      </c>
      <c r="C957" s="29" t="s">
        <v>49</v>
      </c>
      <c r="D957" s="29" t="s">
        <v>2149</v>
      </c>
      <c r="E957" s="29" t="s">
        <v>2083</v>
      </c>
      <c r="F957" s="29" t="s">
        <v>1817</v>
      </c>
      <c r="G957" s="29" t="s">
        <v>39</v>
      </c>
      <c r="H957" s="29" t="s">
        <v>65</v>
      </c>
      <c r="I957" s="29" t="s">
        <v>190</v>
      </c>
      <c r="J957" s="29" t="s">
        <v>191</v>
      </c>
      <c r="K957" s="29" t="s">
        <v>192</v>
      </c>
      <c r="L957" s="29" t="s">
        <v>30</v>
      </c>
      <c r="M957" s="29" t="n">
        <v>2409</v>
      </c>
      <c r="N957" s="29" t="n">
        <v>2090</v>
      </c>
      <c r="O957" s="29"/>
      <c r="P957" s="30" t="n">
        <f aca="false">(M957*N957/1000000)*(INDEX(AreaRate_Vals,MATCH(C957,AreaRate_Keys,0))+IFERROR(INDEX(GlazingUpg_Vals,MATCH(H957,GlazingUpg_Keys,0)),0))+INDEX(Hardware_Vals,MATCH("Doors",Hardware_Keys,0))</f>
        <v>10871.3605</v>
      </c>
      <c r="Q957" s="31" t="n">
        <f aca="false">INDEX(Markup_Vals,MATCH("Doors",MarkupCat_Keys,0))</f>
        <v>0.4</v>
      </c>
      <c r="R957" s="32" t="n">
        <f aca="false">P957*(1+Q957)</f>
        <v>15219.9047</v>
      </c>
      <c r="S957" s="32" t="n">
        <f aca="false">R957*(1-TradeDiscount)</f>
        <v>13393.516136</v>
      </c>
      <c r="T957" s="32" t="n">
        <f aca="false">R957*(1-VolumeDiscount)</f>
        <v>12175.92376</v>
      </c>
    </row>
    <row r="958" customFormat="false" ht="15" hidden="false" customHeight="false" outlineLevel="0" collapsed="false">
      <c r="A958" s="25" t="s">
        <v>2150</v>
      </c>
      <c r="B958" s="25" t="s">
        <v>97</v>
      </c>
      <c r="C958" s="25" t="s">
        <v>49</v>
      </c>
      <c r="D958" s="25" t="s">
        <v>2151</v>
      </c>
      <c r="E958" s="25" t="s">
        <v>2083</v>
      </c>
      <c r="F958" s="25" t="s">
        <v>1817</v>
      </c>
      <c r="G958" s="25" t="s">
        <v>38</v>
      </c>
      <c r="H958" s="25" t="s">
        <v>65</v>
      </c>
      <c r="I958" s="25" t="s">
        <v>190</v>
      </c>
      <c r="J958" s="25" t="s">
        <v>191</v>
      </c>
      <c r="K958" s="25" t="s">
        <v>192</v>
      </c>
      <c r="L958" s="25" t="s">
        <v>30</v>
      </c>
      <c r="M958" s="25" t="n">
        <v>2409</v>
      </c>
      <c r="N958" s="25" t="n">
        <v>2090</v>
      </c>
      <c r="O958" s="25"/>
      <c r="P958" s="26" t="n">
        <f aca="false">(M958*N958/1000000)*(INDEX(AreaRate_Vals,MATCH(C958,AreaRate_Keys,0))+IFERROR(INDEX(GlazingUpg_Vals,MATCH(H958,GlazingUpg_Keys,0)),0))+INDEX(Hardware_Vals,MATCH("Doors",Hardware_Keys,0))</f>
        <v>10871.3605</v>
      </c>
      <c r="Q958" s="27" t="n">
        <f aca="false">INDEX(Markup_Vals,MATCH("Doors",MarkupCat_Keys,0))</f>
        <v>0.4</v>
      </c>
      <c r="R958" s="28" t="n">
        <f aca="false">P958*(1+Q958)</f>
        <v>15219.9047</v>
      </c>
      <c r="S958" s="28" t="n">
        <f aca="false">R958*(1-TradeDiscount)</f>
        <v>13393.516136</v>
      </c>
      <c r="T958" s="28" t="n">
        <f aca="false">R958*(1-VolumeDiscount)</f>
        <v>12175.92376</v>
      </c>
    </row>
    <row r="959" customFormat="false" ht="15" hidden="false" customHeight="false" outlineLevel="0" collapsed="false">
      <c r="A959" s="29" t="s">
        <v>2152</v>
      </c>
      <c r="B959" s="29" t="s">
        <v>97</v>
      </c>
      <c r="C959" s="29" t="s">
        <v>49</v>
      </c>
      <c r="D959" s="29" t="s">
        <v>2153</v>
      </c>
      <c r="E959" s="29" t="s">
        <v>2083</v>
      </c>
      <c r="F959" s="29" t="s">
        <v>1817</v>
      </c>
      <c r="G959" s="29" t="s">
        <v>35</v>
      </c>
      <c r="H959" s="29" t="s">
        <v>66</v>
      </c>
      <c r="I959" s="29" t="s">
        <v>190</v>
      </c>
      <c r="J959" s="29" t="s">
        <v>191</v>
      </c>
      <c r="K959" s="29" t="s">
        <v>192</v>
      </c>
      <c r="L959" s="29" t="s">
        <v>30</v>
      </c>
      <c r="M959" s="29" t="n">
        <v>2409</v>
      </c>
      <c r="N959" s="29" t="n">
        <v>2090</v>
      </c>
      <c r="O959" s="29"/>
      <c r="P959" s="30" t="n">
        <f aca="false">(M959*N959/1000000)*(INDEX(AreaRate_Vals,MATCH(C959,AreaRate_Keys,0))+IFERROR(INDEX(GlazingUpg_Vals,MATCH(H959,GlazingUpg_Keys,0)),0))+INDEX(Hardware_Vals,MATCH("Doors",Hardware_Keys,0))</f>
        <v>14395.7275</v>
      </c>
      <c r="Q959" s="31" t="n">
        <f aca="false">INDEX(Markup_Vals,MATCH("Doors",MarkupCat_Keys,0))</f>
        <v>0.4</v>
      </c>
      <c r="R959" s="32" t="n">
        <f aca="false">P959*(1+Q959)</f>
        <v>20154.0185</v>
      </c>
      <c r="S959" s="32" t="n">
        <f aca="false">R959*(1-TradeDiscount)</f>
        <v>17735.53628</v>
      </c>
      <c r="T959" s="32" t="n">
        <f aca="false">R959*(1-VolumeDiscount)</f>
        <v>16123.2148</v>
      </c>
    </row>
    <row r="960" customFormat="false" ht="15" hidden="false" customHeight="false" outlineLevel="0" collapsed="false">
      <c r="A960" s="25" t="s">
        <v>2154</v>
      </c>
      <c r="B960" s="25" t="s">
        <v>97</v>
      </c>
      <c r="C960" s="25" t="s">
        <v>49</v>
      </c>
      <c r="D960" s="25" t="s">
        <v>2155</v>
      </c>
      <c r="E960" s="25" t="s">
        <v>2083</v>
      </c>
      <c r="F960" s="25" t="s">
        <v>1817</v>
      </c>
      <c r="G960" s="25" t="s">
        <v>36</v>
      </c>
      <c r="H960" s="25" t="s">
        <v>66</v>
      </c>
      <c r="I960" s="25" t="s">
        <v>190</v>
      </c>
      <c r="J960" s="25" t="s">
        <v>191</v>
      </c>
      <c r="K960" s="25" t="s">
        <v>192</v>
      </c>
      <c r="L960" s="25" t="s">
        <v>30</v>
      </c>
      <c r="M960" s="25" t="n">
        <v>2409</v>
      </c>
      <c r="N960" s="25" t="n">
        <v>2090</v>
      </c>
      <c r="O960" s="25"/>
      <c r="P960" s="26" t="n">
        <f aca="false">(M960*N960/1000000)*(INDEX(AreaRate_Vals,MATCH(C960,AreaRate_Keys,0))+IFERROR(INDEX(GlazingUpg_Vals,MATCH(H960,GlazingUpg_Keys,0)),0))+INDEX(Hardware_Vals,MATCH("Doors",Hardware_Keys,0))</f>
        <v>14395.7275</v>
      </c>
      <c r="Q960" s="27" t="n">
        <f aca="false">INDEX(Markup_Vals,MATCH("Doors",MarkupCat_Keys,0))</f>
        <v>0.4</v>
      </c>
      <c r="R960" s="28" t="n">
        <f aca="false">P960*(1+Q960)</f>
        <v>20154.0185</v>
      </c>
      <c r="S960" s="28" t="n">
        <f aca="false">R960*(1-TradeDiscount)</f>
        <v>17735.53628</v>
      </c>
      <c r="T960" s="28" t="n">
        <f aca="false">R960*(1-VolumeDiscount)</f>
        <v>16123.2148</v>
      </c>
    </row>
    <row r="961" customFormat="false" ht="15" hidden="false" customHeight="false" outlineLevel="0" collapsed="false">
      <c r="A961" s="29" t="s">
        <v>2156</v>
      </c>
      <c r="B961" s="29" t="s">
        <v>97</v>
      </c>
      <c r="C961" s="29" t="s">
        <v>49</v>
      </c>
      <c r="D961" s="29" t="s">
        <v>2157</v>
      </c>
      <c r="E961" s="29" t="s">
        <v>2083</v>
      </c>
      <c r="F961" s="29" t="s">
        <v>1817</v>
      </c>
      <c r="G961" s="29" t="s">
        <v>37</v>
      </c>
      <c r="H961" s="29" t="s">
        <v>66</v>
      </c>
      <c r="I961" s="29" t="s">
        <v>190</v>
      </c>
      <c r="J961" s="29" t="s">
        <v>191</v>
      </c>
      <c r="K961" s="29" t="s">
        <v>192</v>
      </c>
      <c r="L961" s="29" t="s">
        <v>30</v>
      </c>
      <c r="M961" s="29" t="n">
        <v>2409</v>
      </c>
      <c r="N961" s="29" t="n">
        <v>2090</v>
      </c>
      <c r="O961" s="29"/>
      <c r="P961" s="30" t="n">
        <f aca="false">(M961*N961/1000000)*(INDEX(AreaRate_Vals,MATCH(C961,AreaRate_Keys,0))+IFERROR(INDEX(GlazingUpg_Vals,MATCH(H961,GlazingUpg_Keys,0)),0))+INDEX(Hardware_Vals,MATCH("Doors",Hardware_Keys,0))</f>
        <v>14395.7275</v>
      </c>
      <c r="Q961" s="31" t="n">
        <f aca="false">INDEX(Markup_Vals,MATCH("Doors",MarkupCat_Keys,0))</f>
        <v>0.4</v>
      </c>
      <c r="R961" s="32" t="n">
        <f aca="false">P961*(1+Q961)</f>
        <v>20154.0185</v>
      </c>
      <c r="S961" s="32" t="n">
        <f aca="false">R961*(1-TradeDiscount)</f>
        <v>17735.53628</v>
      </c>
      <c r="T961" s="32" t="n">
        <f aca="false">R961*(1-VolumeDiscount)</f>
        <v>16123.2148</v>
      </c>
    </row>
    <row r="962" customFormat="false" ht="15" hidden="false" customHeight="false" outlineLevel="0" collapsed="false">
      <c r="A962" s="25" t="s">
        <v>2158</v>
      </c>
      <c r="B962" s="25" t="s">
        <v>97</v>
      </c>
      <c r="C962" s="25" t="s">
        <v>49</v>
      </c>
      <c r="D962" s="25" t="s">
        <v>2159</v>
      </c>
      <c r="E962" s="25" t="s">
        <v>2083</v>
      </c>
      <c r="F962" s="25" t="s">
        <v>1817</v>
      </c>
      <c r="G962" s="25" t="s">
        <v>39</v>
      </c>
      <c r="H962" s="25" t="s">
        <v>66</v>
      </c>
      <c r="I962" s="25" t="s">
        <v>190</v>
      </c>
      <c r="J962" s="25" t="s">
        <v>191</v>
      </c>
      <c r="K962" s="25" t="s">
        <v>192</v>
      </c>
      <c r="L962" s="25" t="s">
        <v>30</v>
      </c>
      <c r="M962" s="25" t="n">
        <v>2409</v>
      </c>
      <c r="N962" s="25" t="n">
        <v>2090</v>
      </c>
      <c r="O962" s="25"/>
      <c r="P962" s="26" t="n">
        <f aca="false">(M962*N962/1000000)*(INDEX(AreaRate_Vals,MATCH(C962,AreaRate_Keys,0))+IFERROR(INDEX(GlazingUpg_Vals,MATCH(H962,GlazingUpg_Keys,0)),0))+INDEX(Hardware_Vals,MATCH("Doors",Hardware_Keys,0))</f>
        <v>14395.7275</v>
      </c>
      <c r="Q962" s="27" t="n">
        <f aca="false">INDEX(Markup_Vals,MATCH("Doors",MarkupCat_Keys,0))</f>
        <v>0.4</v>
      </c>
      <c r="R962" s="28" t="n">
        <f aca="false">P962*(1+Q962)</f>
        <v>20154.0185</v>
      </c>
      <c r="S962" s="28" t="n">
        <f aca="false">R962*(1-TradeDiscount)</f>
        <v>17735.53628</v>
      </c>
      <c r="T962" s="28" t="n">
        <f aca="false">R962*(1-VolumeDiscount)</f>
        <v>16123.2148</v>
      </c>
    </row>
    <row r="963" customFormat="false" ht="15" hidden="false" customHeight="false" outlineLevel="0" collapsed="false">
      <c r="A963" s="29" t="s">
        <v>2160</v>
      </c>
      <c r="B963" s="29" t="s">
        <v>97</v>
      </c>
      <c r="C963" s="29" t="s">
        <v>49</v>
      </c>
      <c r="D963" s="29" t="s">
        <v>2161</v>
      </c>
      <c r="E963" s="29" t="s">
        <v>2083</v>
      </c>
      <c r="F963" s="29" t="s">
        <v>1817</v>
      </c>
      <c r="G963" s="29" t="s">
        <v>38</v>
      </c>
      <c r="H963" s="29" t="s">
        <v>66</v>
      </c>
      <c r="I963" s="29" t="s">
        <v>190</v>
      </c>
      <c r="J963" s="29" t="s">
        <v>191</v>
      </c>
      <c r="K963" s="29" t="s">
        <v>192</v>
      </c>
      <c r="L963" s="29" t="s">
        <v>30</v>
      </c>
      <c r="M963" s="29" t="n">
        <v>2409</v>
      </c>
      <c r="N963" s="29" t="n">
        <v>2090</v>
      </c>
      <c r="O963" s="29"/>
      <c r="P963" s="30" t="n">
        <f aca="false">(M963*N963/1000000)*(INDEX(AreaRate_Vals,MATCH(C963,AreaRate_Keys,0))+IFERROR(INDEX(GlazingUpg_Vals,MATCH(H963,GlazingUpg_Keys,0)),0))+INDEX(Hardware_Vals,MATCH("Doors",Hardware_Keys,0))</f>
        <v>14395.7275</v>
      </c>
      <c r="Q963" s="31" t="n">
        <f aca="false">INDEX(Markup_Vals,MATCH("Doors",MarkupCat_Keys,0))</f>
        <v>0.4</v>
      </c>
      <c r="R963" s="32" t="n">
        <f aca="false">P963*(1+Q963)</f>
        <v>20154.0185</v>
      </c>
      <c r="S963" s="32" t="n">
        <f aca="false">R963*(1-TradeDiscount)</f>
        <v>17735.53628</v>
      </c>
      <c r="T963" s="32" t="n">
        <f aca="false">R963*(1-VolumeDiscount)</f>
        <v>16123.2148</v>
      </c>
    </row>
    <row r="964" customFormat="false" ht="15" hidden="false" customHeight="false" outlineLevel="0" collapsed="false">
      <c r="A964" s="25" t="s">
        <v>2162</v>
      </c>
      <c r="B964" s="25" t="s">
        <v>97</v>
      </c>
      <c r="C964" s="25" t="s">
        <v>49</v>
      </c>
      <c r="D964" s="25" t="s">
        <v>2163</v>
      </c>
      <c r="E964" s="25" t="s">
        <v>2083</v>
      </c>
      <c r="F964" s="25" t="s">
        <v>1838</v>
      </c>
      <c r="G964" s="25" t="s">
        <v>35</v>
      </c>
      <c r="H964" s="25" t="s">
        <v>65</v>
      </c>
      <c r="I964" s="25" t="s">
        <v>190</v>
      </c>
      <c r="J964" s="25" t="s">
        <v>191</v>
      </c>
      <c r="K964" s="25" t="s">
        <v>298</v>
      </c>
      <c r="L964" s="25" t="s">
        <v>30</v>
      </c>
      <c r="M964" s="25" t="n">
        <v>3009</v>
      </c>
      <c r="N964" s="25" t="n">
        <v>2090</v>
      </c>
      <c r="O964" s="25"/>
      <c r="P964" s="26" t="n">
        <f aca="false">(M964*N964/1000000)*(INDEX(AreaRate_Vals,MATCH(C964,AreaRate_Keys,0))+IFERROR(INDEX(GlazingUpg_Vals,MATCH(H964,GlazingUpg_Keys,0)),0))+INDEX(Hardware_Vals,MATCH("Doors",Hardware_Keys,0))</f>
        <v>13442.0605</v>
      </c>
      <c r="Q964" s="27" t="n">
        <f aca="false">INDEX(Markup_Vals,MATCH("Doors",MarkupCat_Keys,0))</f>
        <v>0.4</v>
      </c>
      <c r="R964" s="28" t="n">
        <f aca="false">P964*(1+Q964)</f>
        <v>18818.8847</v>
      </c>
      <c r="S964" s="28" t="n">
        <f aca="false">R964*(1-TradeDiscount)</f>
        <v>16560.618536</v>
      </c>
      <c r="T964" s="28" t="n">
        <f aca="false">R964*(1-VolumeDiscount)</f>
        <v>15055.10776</v>
      </c>
    </row>
    <row r="965" customFormat="false" ht="15" hidden="false" customHeight="false" outlineLevel="0" collapsed="false">
      <c r="A965" s="29" t="s">
        <v>2164</v>
      </c>
      <c r="B965" s="29" t="s">
        <v>97</v>
      </c>
      <c r="C965" s="29" t="s">
        <v>49</v>
      </c>
      <c r="D965" s="29" t="s">
        <v>2165</v>
      </c>
      <c r="E965" s="29" t="s">
        <v>2083</v>
      </c>
      <c r="F965" s="29" t="s">
        <v>1838</v>
      </c>
      <c r="G965" s="29" t="s">
        <v>36</v>
      </c>
      <c r="H965" s="29" t="s">
        <v>65</v>
      </c>
      <c r="I965" s="29" t="s">
        <v>190</v>
      </c>
      <c r="J965" s="29" t="s">
        <v>191</v>
      </c>
      <c r="K965" s="29" t="s">
        <v>298</v>
      </c>
      <c r="L965" s="29" t="s">
        <v>30</v>
      </c>
      <c r="M965" s="29" t="n">
        <v>3009</v>
      </c>
      <c r="N965" s="29" t="n">
        <v>2090</v>
      </c>
      <c r="O965" s="29"/>
      <c r="P965" s="30" t="n">
        <f aca="false">(M965*N965/1000000)*(INDEX(AreaRate_Vals,MATCH(C965,AreaRate_Keys,0))+IFERROR(INDEX(GlazingUpg_Vals,MATCH(H965,GlazingUpg_Keys,0)),0))+INDEX(Hardware_Vals,MATCH("Doors",Hardware_Keys,0))</f>
        <v>13442.0605</v>
      </c>
      <c r="Q965" s="31" t="n">
        <f aca="false">INDEX(Markup_Vals,MATCH("Doors",MarkupCat_Keys,0))</f>
        <v>0.4</v>
      </c>
      <c r="R965" s="32" t="n">
        <f aca="false">P965*(1+Q965)</f>
        <v>18818.8847</v>
      </c>
      <c r="S965" s="32" t="n">
        <f aca="false">R965*(1-TradeDiscount)</f>
        <v>16560.618536</v>
      </c>
      <c r="T965" s="32" t="n">
        <f aca="false">R965*(1-VolumeDiscount)</f>
        <v>15055.10776</v>
      </c>
    </row>
    <row r="966" customFormat="false" ht="15" hidden="false" customHeight="false" outlineLevel="0" collapsed="false">
      <c r="A966" s="25" t="s">
        <v>2166</v>
      </c>
      <c r="B966" s="25" t="s">
        <v>97</v>
      </c>
      <c r="C966" s="25" t="s">
        <v>49</v>
      </c>
      <c r="D966" s="25" t="s">
        <v>2167</v>
      </c>
      <c r="E966" s="25" t="s">
        <v>2083</v>
      </c>
      <c r="F966" s="25" t="s">
        <v>1838</v>
      </c>
      <c r="G966" s="25" t="s">
        <v>37</v>
      </c>
      <c r="H966" s="25" t="s">
        <v>65</v>
      </c>
      <c r="I966" s="25" t="s">
        <v>190</v>
      </c>
      <c r="J966" s="25" t="s">
        <v>191</v>
      </c>
      <c r="K966" s="25" t="s">
        <v>298</v>
      </c>
      <c r="L966" s="25" t="s">
        <v>30</v>
      </c>
      <c r="M966" s="25" t="n">
        <v>3009</v>
      </c>
      <c r="N966" s="25" t="n">
        <v>2090</v>
      </c>
      <c r="O966" s="25"/>
      <c r="P966" s="26" t="n">
        <f aca="false">(M966*N966/1000000)*(INDEX(AreaRate_Vals,MATCH(C966,AreaRate_Keys,0))+IFERROR(INDEX(GlazingUpg_Vals,MATCH(H966,GlazingUpg_Keys,0)),0))+INDEX(Hardware_Vals,MATCH("Doors",Hardware_Keys,0))</f>
        <v>13442.0605</v>
      </c>
      <c r="Q966" s="27" t="n">
        <f aca="false">INDEX(Markup_Vals,MATCH("Doors",MarkupCat_Keys,0))</f>
        <v>0.4</v>
      </c>
      <c r="R966" s="28" t="n">
        <f aca="false">P966*(1+Q966)</f>
        <v>18818.8847</v>
      </c>
      <c r="S966" s="28" t="n">
        <f aca="false">R966*(1-TradeDiscount)</f>
        <v>16560.618536</v>
      </c>
      <c r="T966" s="28" t="n">
        <f aca="false">R966*(1-VolumeDiscount)</f>
        <v>15055.10776</v>
      </c>
    </row>
    <row r="967" customFormat="false" ht="15" hidden="false" customHeight="false" outlineLevel="0" collapsed="false">
      <c r="A967" s="29" t="s">
        <v>2168</v>
      </c>
      <c r="B967" s="29" t="s">
        <v>97</v>
      </c>
      <c r="C967" s="29" t="s">
        <v>49</v>
      </c>
      <c r="D967" s="29" t="s">
        <v>2169</v>
      </c>
      <c r="E967" s="29" t="s">
        <v>2083</v>
      </c>
      <c r="F967" s="29" t="s">
        <v>1838</v>
      </c>
      <c r="G967" s="29" t="s">
        <v>39</v>
      </c>
      <c r="H967" s="29" t="s">
        <v>65</v>
      </c>
      <c r="I967" s="29" t="s">
        <v>190</v>
      </c>
      <c r="J967" s="29" t="s">
        <v>191</v>
      </c>
      <c r="K967" s="29" t="s">
        <v>298</v>
      </c>
      <c r="L967" s="29" t="s">
        <v>30</v>
      </c>
      <c r="M967" s="29" t="n">
        <v>3009</v>
      </c>
      <c r="N967" s="29" t="n">
        <v>2090</v>
      </c>
      <c r="O967" s="29"/>
      <c r="P967" s="30" t="n">
        <f aca="false">(M967*N967/1000000)*(INDEX(AreaRate_Vals,MATCH(C967,AreaRate_Keys,0))+IFERROR(INDEX(GlazingUpg_Vals,MATCH(H967,GlazingUpg_Keys,0)),0))+INDEX(Hardware_Vals,MATCH("Doors",Hardware_Keys,0))</f>
        <v>13442.0605</v>
      </c>
      <c r="Q967" s="31" t="n">
        <f aca="false">INDEX(Markup_Vals,MATCH("Doors",MarkupCat_Keys,0))</f>
        <v>0.4</v>
      </c>
      <c r="R967" s="32" t="n">
        <f aca="false">P967*(1+Q967)</f>
        <v>18818.8847</v>
      </c>
      <c r="S967" s="32" t="n">
        <f aca="false">R967*(1-TradeDiscount)</f>
        <v>16560.618536</v>
      </c>
      <c r="T967" s="32" t="n">
        <f aca="false">R967*(1-VolumeDiscount)</f>
        <v>15055.10776</v>
      </c>
    </row>
    <row r="968" customFormat="false" ht="15" hidden="false" customHeight="false" outlineLevel="0" collapsed="false">
      <c r="A968" s="25" t="s">
        <v>2170</v>
      </c>
      <c r="B968" s="25" t="s">
        <v>97</v>
      </c>
      <c r="C968" s="25" t="s">
        <v>49</v>
      </c>
      <c r="D968" s="25" t="s">
        <v>2171</v>
      </c>
      <c r="E968" s="25" t="s">
        <v>2083</v>
      </c>
      <c r="F968" s="25" t="s">
        <v>1838</v>
      </c>
      <c r="G968" s="25" t="s">
        <v>38</v>
      </c>
      <c r="H968" s="25" t="s">
        <v>65</v>
      </c>
      <c r="I968" s="25" t="s">
        <v>190</v>
      </c>
      <c r="J968" s="25" t="s">
        <v>191</v>
      </c>
      <c r="K968" s="25" t="s">
        <v>298</v>
      </c>
      <c r="L968" s="25" t="s">
        <v>30</v>
      </c>
      <c r="M968" s="25" t="n">
        <v>3009</v>
      </c>
      <c r="N968" s="25" t="n">
        <v>2090</v>
      </c>
      <c r="O968" s="25"/>
      <c r="P968" s="26" t="n">
        <f aca="false">(M968*N968/1000000)*(INDEX(AreaRate_Vals,MATCH(C968,AreaRate_Keys,0))+IFERROR(INDEX(GlazingUpg_Vals,MATCH(H968,GlazingUpg_Keys,0)),0))+INDEX(Hardware_Vals,MATCH("Doors",Hardware_Keys,0))</f>
        <v>13442.0605</v>
      </c>
      <c r="Q968" s="27" t="n">
        <f aca="false">INDEX(Markup_Vals,MATCH("Doors",MarkupCat_Keys,0))</f>
        <v>0.4</v>
      </c>
      <c r="R968" s="28" t="n">
        <f aca="false">P968*(1+Q968)</f>
        <v>18818.8847</v>
      </c>
      <c r="S968" s="28" t="n">
        <f aca="false">R968*(1-TradeDiscount)</f>
        <v>16560.618536</v>
      </c>
      <c r="T968" s="28" t="n">
        <f aca="false">R968*(1-VolumeDiscount)</f>
        <v>15055.10776</v>
      </c>
    </row>
    <row r="969" customFormat="false" ht="15" hidden="false" customHeight="false" outlineLevel="0" collapsed="false">
      <c r="A969" s="29" t="s">
        <v>2172</v>
      </c>
      <c r="B969" s="29" t="s">
        <v>97</v>
      </c>
      <c r="C969" s="29" t="s">
        <v>49</v>
      </c>
      <c r="D969" s="29" t="s">
        <v>2173</v>
      </c>
      <c r="E969" s="29" t="s">
        <v>2083</v>
      </c>
      <c r="F969" s="29" t="s">
        <v>1838</v>
      </c>
      <c r="G969" s="29" t="s">
        <v>35</v>
      </c>
      <c r="H969" s="29" t="s">
        <v>66</v>
      </c>
      <c r="I969" s="29" t="s">
        <v>190</v>
      </c>
      <c r="J969" s="29" t="s">
        <v>191</v>
      </c>
      <c r="K969" s="29" t="s">
        <v>298</v>
      </c>
      <c r="L969" s="29" t="s">
        <v>30</v>
      </c>
      <c r="M969" s="29" t="n">
        <v>3009</v>
      </c>
      <c r="N969" s="29" t="n">
        <v>2090</v>
      </c>
      <c r="O969" s="29"/>
      <c r="P969" s="30" t="n">
        <f aca="false">(M969*N969/1000000)*(INDEX(AreaRate_Vals,MATCH(C969,AreaRate_Keys,0))+IFERROR(INDEX(GlazingUpg_Vals,MATCH(H969,GlazingUpg_Keys,0)),0))+INDEX(Hardware_Vals,MATCH("Doors",Hardware_Keys,0))</f>
        <v>17844.2275</v>
      </c>
      <c r="Q969" s="31" t="n">
        <f aca="false">INDEX(Markup_Vals,MATCH("Doors",MarkupCat_Keys,0))</f>
        <v>0.4</v>
      </c>
      <c r="R969" s="32" t="n">
        <f aca="false">P969*(1+Q969)</f>
        <v>24981.9185</v>
      </c>
      <c r="S969" s="32" t="n">
        <f aca="false">R969*(1-TradeDiscount)</f>
        <v>21984.08828</v>
      </c>
      <c r="T969" s="32" t="n">
        <f aca="false">R969*(1-VolumeDiscount)</f>
        <v>19985.5348</v>
      </c>
    </row>
    <row r="970" customFormat="false" ht="15" hidden="false" customHeight="false" outlineLevel="0" collapsed="false">
      <c r="A970" s="25" t="s">
        <v>2174</v>
      </c>
      <c r="B970" s="25" t="s">
        <v>97</v>
      </c>
      <c r="C970" s="25" t="s">
        <v>49</v>
      </c>
      <c r="D970" s="25" t="s">
        <v>2175</v>
      </c>
      <c r="E970" s="25" t="s">
        <v>2083</v>
      </c>
      <c r="F970" s="25" t="s">
        <v>1838</v>
      </c>
      <c r="G970" s="25" t="s">
        <v>36</v>
      </c>
      <c r="H970" s="25" t="s">
        <v>66</v>
      </c>
      <c r="I970" s="25" t="s">
        <v>190</v>
      </c>
      <c r="J970" s="25" t="s">
        <v>191</v>
      </c>
      <c r="K970" s="25" t="s">
        <v>298</v>
      </c>
      <c r="L970" s="25" t="s">
        <v>30</v>
      </c>
      <c r="M970" s="25" t="n">
        <v>3009</v>
      </c>
      <c r="N970" s="25" t="n">
        <v>2090</v>
      </c>
      <c r="O970" s="25"/>
      <c r="P970" s="26" t="n">
        <f aca="false">(M970*N970/1000000)*(INDEX(AreaRate_Vals,MATCH(C970,AreaRate_Keys,0))+IFERROR(INDEX(GlazingUpg_Vals,MATCH(H970,GlazingUpg_Keys,0)),0))+INDEX(Hardware_Vals,MATCH("Doors",Hardware_Keys,0))</f>
        <v>17844.2275</v>
      </c>
      <c r="Q970" s="27" t="n">
        <f aca="false">INDEX(Markup_Vals,MATCH("Doors",MarkupCat_Keys,0))</f>
        <v>0.4</v>
      </c>
      <c r="R970" s="28" t="n">
        <f aca="false">P970*(1+Q970)</f>
        <v>24981.9185</v>
      </c>
      <c r="S970" s="28" t="n">
        <f aca="false">R970*(1-TradeDiscount)</f>
        <v>21984.08828</v>
      </c>
      <c r="T970" s="28" t="n">
        <f aca="false">R970*(1-VolumeDiscount)</f>
        <v>19985.5348</v>
      </c>
    </row>
    <row r="971" customFormat="false" ht="15" hidden="false" customHeight="false" outlineLevel="0" collapsed="false">
      <c r="A971" s="29" t="s">
        <v>2176</v>
      </c>
      <c r="B971" s="29" t="s">
        <v>97</v>
      </c>
      <c r="C971" s="29" t="s">
        <v>49</v>
      </c>
      <c r="D971" s="29" t="s">
        <v>2177</v>
      </c>
      <c r="E971" s="29" t="s">
        <v>2083</v>
      </c>
      <c r="F971" s="29" t="s">
        <v>1838</v>
      </c>
      <c r="G971" s="29" t="s">
        <v>37</v>
      </c>
      <c r="H971" s="29" t="s">
        <v>66</v>
      </c>
      <c r="I971" s="29" t="s">
        <v>190</v>
      </c>
      <c r="J971" s="29" t="s">
        <v>191</v>
      </c>
      <c r="K971" s="29" t="s">
        <v>298</v>
      </c>
      <c r="L971" s="29" t="s">
        <v>30</v>
      </c>
      <c r="M971" s="29" t="n">
        <v>3009</v>
      </c>
      <c r="N971" s="29" t="n">
        <v>2090</v>
      </c>
      <c r="O971" s="29"/>
      <c r="P971" s="30" t="n">
        <f aca="false">(M971*N971/1000000)*(INDEX(AreaRate_Vals,MATCH(C971,AreaRate_Keys,0))+IFERROR(INDEX(GlazingUpg_Vals,MATCH(H971,GlazingUpg_Keys,0)),0))+INDEX(Hardware_Vals,MATCH("Doors",Hardware_Keys,0))</f>
        <v>17844.2275</v>
      </c>
      <c r="Q971" s="31" t="n">
        <f aca="false">INDEX(Markup_Vals,MATCH("Doors",MarkupCat_Keys,0))</f>
        <v>0.4</v>
      </c>
      <c r="R971" s="32" t="n">
        <f aca="false">P971*(1+Q971)</f>
        <v>24981.9185</v>
      </c>
      <c r="S971" s="32" t="n">
        <f aca="false">R971*(1-TradeDiscount)</f>
        <v>21984.08828</v>
      </c>
      <c r="T971" s="32" t="n">
        <f aca="false">R971*(1-VolumeDiscount)</f>
        <v>19985.5348</v>
      </c>
    </row>
    <row r="972" customFormat="false" ht="15" hidden="false" customHeight="false" outlineLevel="0" collapsed="false">
      <c r="A972" s="25" t="s">
        <v>2178</v>
      </c>
      <c r="B972" s="25" t="s">
        <v>97</v>
      </c>
      <c r="C972" s="25" t="s">
        <v>49</v>
      </c>
      <c r="D972" s="25" t="s">
        <v>2179</v>
      </c>
      <c r="E972" s="25" t="s">
        <v>2083</v>
      </c>
      <c r="F972" s="25" t="s">
        <v>1838</v>
      </c>
      <c r="G972" s="25" t="s">
        <v>39</v>
      </c>
      <c r="H972" s="25" t="s">
        <v>66</v>
      </c>
      <c r="I972" s="25" t="s">
        <v>190</v>
      </c>
      <c r="J972" s="25" t="s">
        <v>191</v>
      </c>
      <c r="K972" s="25" t="s">
        <v>298</v>
      </c>
      <c r="L972" s="25" t="s">
        <v>30</v>
      </c>
      <c r="M972" s="25" t="n">
        <v>3009</v>
      </c>
      <c r="N972" s="25" t="n">
        <v>2090</v>
      </c>
      <c r="O972" s="25"/>
      <c r="P972" s="26" t="n">
        <f aca="false">(M972*N972/1000000)*(INDEX(AreaRate_Vals,MATCH(C972,AreaRate_Keys,0))+IFERROR(INDEX(GlazingUpg_Vals,MATCH(H972,GlazingUpg_Keys,0)),0))+INDEX(Hardware_Vals,MATCH("Doors",Hardware_Keys,0))</f>
        <v>17844.2275</v>
      </c>
      <c r="Q972" s="27" t="n">
        <f aca="false">INDEX(Markup_Vals,MATCH("Doors",MarkupCat_Keys,0))</f>
        <v>0.4</v>
      </c>
      <c r="R972" s="28" t="n">
        <f aca="false">P972*(1+Q972)</f>
        <v>24981.9185</v>
      </c>
      <c r="S972" s="28" t="n">
        <f aca="false">R972*(1-TradeDiscount)</f>
        <v>21984.08828</v>
      </c>
      <c r="T972" s="28" t="n">
        <f aca="false">R972*(1-VolumeDiscount)</f>
        <v>19985.5348</v>
      </c>
    </row>
    <row r="973" customFormat="false" ht="15" hidden="false" customHeight="false" outlineLevel="0" collapsed="false">
      <c r="A973" s="29" t="s">
        <v>2180</v>
      </c>
      <c r="B973" s="29" t="s">
        <v>97</v>
      </c>
      <c r="C973" s="29" t="s">
        <v>49</v>
      </c>
      <c r="D973" s="29" t="s">
        <v>2181</v>
      </c>
      <c r="E973" s="29" t="s">
        <v>2083</v>
      </c>
      <c r="F973" s="29" t="s">
        <v>1838</v>
      </c>
      <c r="G973" s="29" t="s">
        <v>38</v>
      </c>
      <c r="H973" s="29" t="s">
        <v>66</v>
      </c>
      <c r="I973" s="29" t="s">
        <v>190</v>
      </c>
      <c r="J973" s="29" t="s">
        <v>191</v>
      </c>
      <c r="K973" s="29" t="s">
        <v>298</v>
      </c>
      <c r="L973" s="29" t="s">
        <v>30</v>
      </c>
      <c r="M973" s="29" t="n">
        <v>3009</v>
      </c>
      <c r="N973" s="29" t="n">
        <v>2090</v>
      </c>
      <c r="O973" s="29"/>
      <c r="P973" s="30" t="n">
        <f aca="false">(M973*N973/1000000)*(INDEX(AreaRate_Vals,MATCH(C973,AreaRate_Keys,0))+IFERROR(INDEX(GlazingUpg_Vals,MATCH(H973,GlazingUpg_Keys,0)),0))+INDEX(Hardware_Vals,MATCH("Doors",Hardware_Keys,0))</f>
        <v>17844.2275</v>
      </c>
      <c r="Q973" s="31" t="n">
        <f aca="false">INDEX(Markup_Vals,MATCH("Doors",MarkupCat_Keys,0))</f>
        <v>0.4</v>
      </c>
      <c r="R973" s="32" t="n">
        <f aca="false">P973*(1+Q973)</f>
        <v>24981.9185</v>
      </c>
      <c r="S973" s="32" t="n">
        <f aca="false">R973*(1-TradeDiscount)</f>
        <v>21984.08828</v>
      </c>
      <c r="T973" s="32" t="n">
        <f aca="false">R973*(1-VolumeDiscount)</f>
        <v>19985.5348</v>
      </c>
    </row>
    <row r="974" customFormat="false" ht="15" hidden="false" customHeight="false" outlineLevel="0" collapsed="false">
      <c r="A974" s="25" t="s">
        <v>2182</v>
      </c>
      <c r="B974" s="25" t="s">
        <v>97</v>
      </c>
      <c r="C974" s="25" t="s">
        <v>49</v>
      </c>
      <c r="D974" s="25" t="s">
        <v>2183</v>
      </c>
      <c r="E974" s="25" t="s">
        <v>2083</v>
      </c>
      <c r="F974" s="25" t="s">
        <v>1859</v>
      </c>
      <c r="G974" s="25" t="s">
        <v>35</v>
      </c>
      <c r="H974" s="25" t="s">
        <v>65</v>
      </c>
      <c r="I974" s="25" t="s">
        <v>190</v>
      </c>
      <c r="J974" s="25" t="s">
        <v>191</v>
      </c>
      <c r="K974" s="25" t="s">
        <v>298</v>
      </c>
      <c r="L974" s="25" t="s">
        <v>30</v>
      </c>
      <c r="M974" s="25" t="n">
        <v>3609</v>
      </c>
      <c r="N974" s="25" t="n">
        <v>2090</v>
      </c>
      <c r="O974" s="25"/>
      <c r="P974" s="26" t="n">
        <f aca="false">(M974*N974/1000000)*(INDEX(AreaRate_Vals,MATCH(C974,AreaRate_Keys,0))+IFERROR(INDEX(GlazingUpg_Vals,MATCH(H974,GlazingUpg_Keys,0)),0))+INDEX(Hardware_Vals,MATCH("Doors",Hardware_Keys,0))</f>
        <v>16012.7605</v>
      </c>
      <c r="Q974" s="27" t="n">
        <f aca="false">INDEX(Markup_Vals,MATCH("Doors",MarkupCat_Keys,0))</f>
        <v>0.4</v>
      </c>
      <c r="R974" s="28" t="n">
        <f aca="false">P974*(1+Q974)</f>
        <v>22417.8647</v>
      </c>
      <c r="S974" s="28" t="n">
        <f aca="false">R974*(1-TradeDiscount)</f>
        <v>19727.720936</v>
      </c>
      <c r="T974" s="28" t="n">
        <f aca="false">R974*(1-VolumeDiscount)</f>
        <v>17934.29176</v>
      </c>
    </row>
    <row r="975" customFormat="false" ht="15" hidden="false" customHeight="false" outlineLevel="0" collapsed="false">
      <c r="A975" s="29" t="s">
        <v>2184</v>
      </c>
      <c r="B975" s="29" t="s">
        <v>97</v>
      </c>
      <c r="C975" s="29" t="s">
        <v>49</v>
      </c>
      <c r="D975" s="29" t="s">
        <v>2185</v>
      </c>
      <c r="E975" s="29" t="s">
        <v>2083</v>
      </c>
      <c r="F975" s="29" t="s">
        <v>1859</v>
      </c>
      <c r="G975" s="29" t="s">
        <v>36</v>
      </c>
      <c r="H975" s="29" t="s">
        <v>65</v>
      </c>
      <c r="I975" s="29" t="s">
        <v>190</v>
      </c>
      <c r="J975" s="29" t="s">
        <v>191</v>
      </c>
      <c r="K975" s="29" t="s">
        <v>298</v>
      </c>
      <c r="L975" s="29" t="s">
        <v>30</v>
      </c>
      <c r="M975" s="29" t="n">
        <v>3609</v>
      </c>
      <c r="N975" s="29" t="n">
        <v>2090</v>
      </c>
      <c r="O975" s="29"/>
      <c r="P975" s="30" t="n">
        <f aca="false">(M975*N975/1000000)*(INDEX(AreaRate_Vals,MATCH(C975,AreaRate_Keys,0))+IFERROR(INDEX(GlazingUpg_Vals,MATCH(H975,GlazingUpg_Keys,0)),0))+INDEX(Hardware_Vals,MATCH("Doors",Hardware_Keys,0))</f>
        <v>16012.7605</v>
      </c>
      <c r="Q975" s="31" t="n">
        <f aca="false">INDEX(Markup_Vals,MATCH("Doors",MarkupCat_Keys,0))</f>
        <v>0.4</v>
      </c>
      <c r="R975" s="32" t="n">
        <f aca="false">P975*(1+Q975)</f>
        <v>22417.8647</v>
      </c>
      <c r="S975" s="32" t="n">
        <f aca="false">R975*(1-TradeDiscount)</f>
        <v>19727.720936</v>
      </c>
      <c r="T975" s="32" t="n">
        <f aca="false">R975*(1-VolumeDiscount)</f>
        <v>17934.29176</v>
      </c>
    </row>
    <row r="976" customFormat="false" ht="15" hidden="false" customHeight="false" outlineLevel="0" collapsed="false">
      <c r="A976" s="25" t="s">
        <v>2186</v>
      </c>
      <c r="B976" s="25" t="s">
        <v>97</v>
      </c>
      <c r="C976" s="25" t="s">
        <v>49</v>
      </c>
      <c r="D976" s="25" t="s">
        <v>2187</v>
      </c>
      <c r="E976" s="25" t="s">
        <v>2083</v>
      </c>
      <c r="F976" s="25" t="s">
        <v>1859</v>
      </c>
      <c r="G976" s="25" t="s">
        <v>37</v>
      </c>
      <c r="H976" s="25" t="s">
        <v>65</v>
      </c>
      <c r="I976" s="25" t="s">
        <v>190</v>
      </c>
      <c r="J976" s="25" t="s">
        <v>191</v>
      </c>
      <c r="K976" s="25" t="s">
        <v>298</v>
      </c>
      <c r="L976" s="25" t="s">
        <v>30</v>
      </c>
      <c r="M976" s="25" t="n">
        <v>3609</v>
      </c>
      <c r="N976" s="25" t="n">
        <v>2090</v>
      </c>
      <c r="O976" s="25"/>
      <c r="P976" s="26" t="n">
        <f aca="false">(M976*N976/1000000)*(INDEX(AreaRate_Vals,MATCH(C976,AreaRate_Keys,0))+IFERROR(INDEX(GlazingUpg_Vals,MATCH(H976,GlazingUpg_Keys,0)),0))+INDEX(Hardware_Vals,MATCH("Doors",Hardware_Keys,0))</f>
        <v>16012.7605</v>
      </c>
      <c r="Q976" s="27" t="n">
        <f aca="false">INDEX(Markup_Vals,MATCH("Doors",MarkupCat_Keys,0))</f>
        <v>0.4</v>
      </c>
      <c r="R976" s="28" t="n">
        <f aca="false">P976*(1+Q976)</f>
        <v>22417.8647</v>
      </c>
      <c r="S976" s="28" t="n">
        <f aca="false">R976*(1-TradeDiscount)</f>
        <v>19727.720936</v>
      </c>
      <c r="T976" s="28" t="n">
        <f aca="false">R976*(1-VolumeDiscount)</f>
        <v>17934.29176</v>
      </c>
    </row>
    <row r="977" customFormat="false" ht="15" hidden="false" customHeight="false" outlineLevel="0" collapsed="false">
      <c r="A977" s="29" t="s">
        <v>2188</v>
      </c>
      <c r="B977" s="29" t="s">
        <v>97</v>
      </c>
      <c r="C977" s="29" t="s">
        <v>49</v>
      </c>
      <c r="D977" s="29" t="s">
        <v>2189</v>
      </c>
      <c r="E977" s="29" t="s">
        <v>2083</v>
      </c>
      <c r="F977" s="29" t="s">
        <v>1859</v>
      </c>
      <c r="G977" s="29" t="s">
        <v>39</v>
      </c>
      <c r="H977" s="29" t="s">
        <v>65</v>
      </c>
      <c r="I977" s="29" t="s">
        <v>190</v>
      </c>
      <c r="J977" s="29" t="s">
        <v>191</v>
      </c>
      <c r="K977" s="29" t="s">
        <v>298</v>
      </c>
      <c r="L977" s="29" t="s">
        <v>30</v>
      </c>
      <c r="M977" s="29" t="n">
        <v>3609</v>
      </c>
      <c r="N977" s="29" t="n">
        <v>2090</v>
      </c>
      <c r="O977" s="29"/>
      <c r="P977" s="30" t="n">
        <f aca="false">(M977*N977/1000000)*(INDEX(AreaRate_Vals,MATCH(C977,AreaRate_Keys,0))+IFERROR(INDEX(GlazingUpg_Vals,MATCH(H977,GlazingUpg_Keys,0)),0))+INDEX(Hardware_Vals,MATCH("Doors",Hardware_Keys,0))</f>
        <v>16012.7605</v>
      </c>
      <c r="Q977" s="31" t="n">
        <f aca="false">INDEX(Markup_Vals,MATCH("Doors",MarkupCat_Keys,0))</f>
        <v>0.4</v>
      </c>
      <c r="R977" s="32" t="n">
        <f aca="false">P977*(1+Q977)</f>
        <v>22417.8647</v>
      </c>
      <c r="S977" s="32" t="n">
        <f aca="false">R977*(1-TradeDiscount)</f>
        <v>19727.720936</v>
      </c>
      <c r="T977" s="32" t="n">
        <f aca="false">R977*(1-VolumeDiscount)</f>
        <v>17934.29176</v>
      </c>
    </row>
    <row r="978" customFormat="false" ht="15" hidden="false" customHeight="false" outlineLevel="0" collapsed="false">
      <c r="A978" s="25" t="s">
        <v>2190</v>
      </c>
      <c r="B978" s="25" t="s">
        <v>97</v>
      </c>
      <c r="C978" s="25" t="s">
        <v>49</v>
      </c>
      <c r="D978" s="25" t="s">
        <v>2191</v>
      </c>
      <c r="E978" s="25" t="s">
        <v>2083</v>
      </c>
      <c r="F978" s="25" t="s">
        <v>1859</v>
      </c>
      <c r="G978" s="25" t="s">
        <v>38</v>
      </c>
      <c r="H978" s="25" t="s">
        <v>65</v>
      </c>
      <c r="I978" s="25" t="s">
        <v>190</v>
      </c>
      <c r="J978" s="25" t="s">
        <v>191</v>
      </c>
      <c r="K978" s="25" t="s">
        <v>298</v>
      </c>
      <c r="L978" s="25" t="s">
        <v>30</v>
      </c>
      <c r="M978" s="25" t="n">
        <v>3609</v>
      </c>
      <c r="N978" s="25" t="n">
        <v>2090</v>
      </c>
      <c r="O978" s="25"/>
      <c r="P978" s="26" t="n">
        <f aca="false">(M978*N978/1000000)*(INDEX(AreaRate_Vals,MATCH(C978,AreaRate_Keys,0))+IFERROR(INDEX(GlazingUpg_Vals,MATCH(H978,GlazingUpg_Keys,0)),0))+INDEX(Hardware_Vals,MATCH("Doors",Hardware_Keys,0))</f>
        <v>16012.7605</v>
      </c>
      <c r="Q978" s="27" t="n">
        <f aca="false">INDEX(Markup_Vals,MATCH("Doors",MarkupCat_Keys,0))</f>
        <v>0.4</v>
      </c>
      <c r="R978" s="28" t="n">
        <f aca="false">P978*(1+Q978)</f>
        <v>22417.8647</v>
      </c>
      <c r="S978" s="28" t="n">
        <f aca="false">R978*(1-TradeDiscount)</f>
        <v>19727.720936</v>
      </c>
      <c r="T978" s="28" t="n">
        <f aca="false">R978*(1-VolumeDiscount)</f>
        <v>17934.29176</v>
      </c>
    </row>
    <row r="979" customFormat="false" ht="15" hidden="false" customHeight="false" outlineLevel="0" collapsed="false">
      <c r="A979" s="29" t="s">
        <v>2192</v>
      </c>
      <c r="B979" s="29" t="s">
        <v>97</v>
      </c>
      <c r="C979" s="29" t="s">
        <v>49</v>
      </c>
      <c r="D979" s="29" t="s">
        <v>2193</v>
      </c>
      <c r="E979" s="29" t="s">
        <v>2083</v>
      </c>
      <c r="F979" s="29" t="s">
        <v>1859</v>
      </c>
      <c r="G979" s="29" t="s">
        <v>35</v>
      </c>
      <c r="H979" s="29" t="s">
        <v>66</v>
      </c>
      <c r="I979" s="29" t="s">
        <v>190</v>
      </c>
      <c r="J979" s="29" t="s">
        <v>191</v>
      </c>
      <c r="K979" s="29" t="s">
        <v>298</v>
      </c>
      <c r="L979" s="29" t="s">
        <v>30</v>
      </c>
      <c r="M979" s="29" t="n">
        <v>3609</v>
      </c>
      <c r="N979" s="29" t="n">
        <v>2090</v>
      </c>
      <c r="O979" s="29"/>
      <c r="P979" s="30" t="n">
        <f aca="false">(M979*N979/1000000)*(INDEX(AreaRate_Vals,MATCH(C979,AreaRate_Keys,0))+IFERROR(INDEX(GlazingUpg_Vals,MATCH(H979,GlazingUpg_Keys,0)),0))+INDEX(Hardware_Vals,MATCH("Doors",Hardware_Keys,0))</f>
        <v>21292.7275</v>
      </c>
      <c r="Q979" s="31" t="n">
        <f aca="false">INDEX(Markup_Vals,MATCH("Doors",MarkupCat_Keys,0))</f>
        <v>0.4</v>
      </c>
      <c r="R979" s="32" t="n">
        <f aca="false">P979*(1+Q979)</f>
        <v>29809.8185</v>
      </c>
      <c r="S979" s="32" t="n">
        <f aca="false">R979*(1-TradeDiscount)</f>
        <v>26232.64028</v>
      </c>
      <c r="T979" s="32" t="n">
        <f aca="false">R979*(1-VolumeDiscount)</f>
        <v>23847.8548</v>
      </c>
    </row>
    <row r="980" customFormat="false" ht="15" hidden="false" customHeight="false" outlineLevel="0" collapsed="false">
      <c r="A980" s="25" t="s">
        <v>2194</v>
      </c>
      <c r="B980" s="25" t="s">
        <v>97</v>
      </c>
      <c r="C980" s="25" t="s">
        <v>49</v>
      </c>
      <c r="D980" s="25" t="s">
        <v>2195</v>
      </c>
      <c r="E980" s="25" t="s">
        <v>2083</v>
      </c>
      <c r="F980" s="25" t="s">
        <v>1859</v>
      </c>
      <c r="G980" s="25" t="s">
        <v>36</v>
      </c>
      <c r="H980" s="25" t="s">
        <v>66</v>
      </c>
      <c r="I980" s="25" t="s">
        <v>190</v>
      </c>
      <c r="J980" s="25" t="s">
        <v>191</v>
      </c>
      <c r="K980" s="25" t="s">
        <v>298</v>
      </c>
      <c r="L980" s="25" t="s">
        <v>30</v>
      </c>
      <c r="M980" s="25" t="n">
        <v>3609</v>
      </c>
      <c r="N980" s="25" t="n">
        <v>2090</v>
      </c>
      <c r="O980" s="25"/>
      <c r="P980" s="26" t="n">
        <f aca="false">(M980*N980/1000000)*(INDEX(AreaRate_Vals,MATCH(C980,AreaRate_Keys,0))+IFERROR(INDEX(GlazingUpg_Vals,MATCH(H980,GlazingUpg_Keys,0)),0))+INDEX(Hardware_Vals,MATCH("Doors",Hardware_Keys,0))</f>
        <v>21292.7275</v>
      </c>
      <c r="Q980" s="27" t="n">
        <f aca="false">INDEX(Markup_Vals,MATCH("Doors",MarkupCat_Keys,0))</f>
        <v>0.4</v>
      </c>
      <c r="R980" s="28" t="n">
        <f aca="false">P980*(1+Q980)</f>
        <v>29809.8185</v>
      </c>
      <c r="S980" s="28" t="n">
        <f aca="false">R980*(1-TradeDiscount)</f>
        <v>26232.64028</v>
      </c>
      <c r="T980" s="28" t="n">
        <f aca="false">R980*(1-VolumeDiscount)</f>
        <v>23847.8548</v>
      </c>
    </row>
    <row r="981" customFormat="false" ht="15" hidden="false" customHeight="false" outlineLevel="0" collapsed="false">
      <c r="A981" s="29" t="s">
        <v>2196</v>
      </c>
      <c r="B981" s="29" t="s">
        <v>97</v>
      </c>
      <c r="C981" s="29" t="s">
        <v>49</v>
      </c>
      <c r="D981" s="29" t="s">
        <v>2197</v>
      </c>
      <c r="E981" s="29" t="s">
        <v>2083</v>
      </c>
      <c r="F981" s="29" t="s">
        <v>1859</v>
      </c>
      <c r="G981" s="29" t="s">
        <v>37</v>
      </c>
      <c r="H981" s="29" t="s">
        <v>66</v>
      </c>
      <c r="I981" s="29" t="s">
        <v>190</v>
      </c>
      <c r="J981" s="29" t="s">
        <v>191</v>
      </c>
      <c r="K981" s="29" t="s">
        <v>298</v>
      </c>
      <c r="L981" s="29" t="s">
        <v>30</v>
      </c>
      <c r="M981" s="29" t="n">
        <v>3609</v>
      </c>
      <c r="N981" s="29" t="n">
        <v>2090</v>
      </c>
      <c r="O981" s="29"/>
      <c r="P981" s="30" t="n">
        <f aca="false">(M981*N981/1000000)*(INDEX(AreaRate_Vals,MATCH(C981,AreaRate_Keys,0))+IFERROR(INDEX(GlazingUpg_Vals,MATCH(H981,GlazingUpg_Keys,0)),0))+INDEX(Hardware_Vals,MATCH("Doors",Hardware_Keys,0))</f>
        <v>21292.7275</v>
      </c>
      <c r="Q981" s="31" t="n">
        <f aca="false">INDEX(Markup_Vals,MATCH("Doors",MarkupCat_Keys,0))</f>
        <v>0.4</v>
      </c>
      <c r="R981" s="32" t="n">
        <f aca="false">P981*(1+Q981)</f>
        <v>29809.8185</v>
      </c>
      <c r="S981" s="32" t="n">
        <f aca="false">R981*(1-TradeDiscount)</f>
        <v>26232.64028</v>
      </c>
      <c r="T981" s="32" t="n">
        <f aca="false">R981*(1-VolumeDiscount)</f>
        <v>23847.8548</v>
      </c>
    </row>
    <row r="982" customFormat="false" ht="15" hidden="false" customHeight="false" outlineLevel="0" collapsed="false">
      <c r="A982" s="25" t="s">
        <v>2198</v>
      </c>
      <c r="B982" s="25" t="s">
        <v>97</v>
      </c>
      <c r="C982" s="25" t="s">
        <v>49</v>
      </c>
      <c r="D982" s="25" t="s">
        <v>2199</v>
      </c>
      <c r="E982" s="25" t="s">
        <v>2083</v>
      </c>
      <c r="F982" s="25" t="s">
        <v>1859</v>
      </c>
      <c r="G982" s="25" t="s">
        <v>39</v>
      </c>
      <c r="H982" s="25" t="s">
        <v>66</v>
      </c>
      <c r="I982" s="25" t="s">
        <v>190</v>
      </c>
      <c r="J982" s="25" t="s">
        <v>191</v>
      </c>
      <c r="K982" s="25" t="s">
        <v>298</v>
      </c>
      <c r="L982" s="25" t="s">
        <v>30</v>
      </c>
      <c r="M982" s="25" t="n">
        <v>3609</v>
      </c>
      <c r="N982" s="25" t="n">
        <v>2090</v>
      </c>
      <c r="O982" s="25"/>
      <c r="P982" s="26" t="n">
        <f aca="false">(M982*N982/1000000)*(INDEX(AreaRate_Vals,MATCH(C982,AreaRate_Keys,0))+IFERROR(INDEX(GlazingUpg_Vals,MATCH(H982,GlazingUpg_Keys,0)),0))+INDEX(Hardware_Vals,MATCH("Doors",Hardware_Keys,0))</f>
        <v>21292.7275</v>
      </c>
      <c r="Q982" s="27" t="n">
        <f aca="false">INDEX(Markup_Vals,MATCH("Doors",MarkupCat_Keys,0))</f>
        <v>0.4</v>
      </c>
      <c r="R982" s="28" t="n">
        <f aca="false">P982*(1+Q982)</f>
        <v>29809.8185</v>
      </c>
      <c r="S982" s="28" t="n">
        <f aca="false">R982*(1-TradeDiscount)</f>
        <v>26232.64028</v>
      </c>
      <c r="T982" s="28" t="n">
        <f aca="false">R982*(1-VolumeDiscount)</f>
        <v>23847.8548</v>
      </c>
    </row>
    <row r="983" customFormat="false" ht="15" hidden="false" customHeight="false" outlineLevel="0" collapsed="false">
      <c r="A983" s="29" t="s">
        <v>2200</v>
      </c>
      <c r="B983" s="29" t="s">
        <v>97</v>
      </c>
      <c r="C983" s="29" t="s">
        <v>49</v>
      </c>
      <c r="D983" s="29" t="s">
        <v>2201</v>
      </c>
      <c r="E983" s="29" t="s">
        <v>2083</v>
      </c>
      <c r="F983" s="29" t="s">
        <v>1859</v>
      </c>
      <c r="G983" s="29" t="s">
        <v>38</v>
      </c>
      <c r="H983" s="29" t="s">
        <v>66</v>
      </c>
      <c r="I983" s="29" t="s">
        <v>190</v>
      </c>
      <c r="J983" s="29" t="s">
        <v>191</v>
      </c>
      <c r="K983" s="29" t="s">
        <v>298</v>
      </c>
      <c r="L983" s="29" t="s">
        <v>30</v>
      </c>
      <c r="M983" s="29" t="n">
        <v>3609</v>
      </c>
      <c r="N983" s="29" t="n">
        <v>2090</v>
      </c>
      <c r="O983" s="29"/>
      <c r="P983" s="30" t="n">
        <f aca="false">(M983*N983/1000000)*(INDEX(AreaRate_Vals,MATCH(C983,AreaRate_Keys,0))+IFERROR(INDEX(GlazingUpg_Vals,MATCH(H983,GlazingUpg_Keys,0)),0))+INDEX(Hardware_Vals,MATCH("Doors",Hardware_Keys,0))</f>
        <v>21292.7275</v>
      </c>
      <c r="Q983" s="31" t="n">
        <f aca="false">INDEX(Markup_Vals,MATCH("Doors",MarkupCat_Keys,0))</f>
        <v>0.4</v>
      </c>
      <c r="R983" s="32" t="n">
        <f aca="false">P983*(1+Q983)</f>
        <v>29809.8185</v>
      </c>
      <c r="S983" s="32" t="n">
        <f aca="false">R983*(1-TradeDiscount)</f>
        <v>26232.64028</v>
      </c>
      <c r="T983" s="32" t="n">
        <f aca="false">R983*(1-VolumeDiscount)</f>
        <v>23847.8548</v>
      </c>
    </row>
    <row r="984" customFormat="false" ht="15" hidden="false" customHeight="false" outlineLevel="0" collapsed="false">
      <c r="A984" s="25" t="s">
        <v>2202</v>
      </c>
      <c r="B984" s="25" t="s">
        <v>97</v>
      </c>
      <c r="C984" s="25" t="s">
        <v>49</v>
      </c>
      <c r="D984" s="25" t="s">
        <v>2203</v>
      </c>
      <c r="E984" s="25" t="s">
        <v>2083</v>
      </c>
      <c r="F984" s="25" t="s">
        <v>1880</v>
      </c>
      <c r="G984" s="25" t="s">
        <v>35</v>
      </c>
      <c r="H984" s="25" t="s">
        <v>65</v>
      </c>
      <c r="I984" s="25" t="s">
        <v>190</v>
      </c>
      <c r="J984" s="25" t="s">
        <v>191</v>
      </c>
      <c r="K984" s="25" t="s">
        <v>298</v>
      </c>
      <c r="L984" s="25" t="s">
        <v>30</v>
      </c>
      <c r="M984" s="25" t="n">
        <v>4209</v>
      </c>
      <c r="N984" s="25" t="n">
        <v>2090</v>
      </c>
      <c r="O984" s="25"/>
      <c r="P984" s="26" t="n">
        <f aca="false">(M984*N984/1000000)*(INDEX(AreaRate_Vals,MATCH(C984,AreaRate_Keys,0))+IFERROR(INDEX(GlazingUpg_Vals,MATCH(H984,GlazingUpg_Keys,0)),0))+INDEX(Hardware_Vals,MATCH("Doors",Hardware_Keys,0))</f>
        <v>18583.4605</v>
      </c>
      <c r="Q984" s="27" t="n">
        <f aca="false">INDEX(Markup_Vals,MATCH("Doors",MarkupCat_Keys,0))</f>
        <v>0.4</v>
      </c>
      <c r="R984" s="28" t="n">
        <f aca="false">P984*(1+Q984)</f>
        <v>26016.8447</v>
      </c>
      <c r="S984" s="28" t="n">
        <f aca="false">R984*(1-TradeDiscount)</f>
        <v>22894.823336</v>
      </c>
      <c r="T984" s="28" t="n">
        <f aca="false">R984*(1-VolumeDiscount)</f>
        <v>20813.47576</v>
      </c>
    </row>
    <row r="985" customFormat="false" ht="15" hidden="false" customHeight="false" outlineLevel="0" collapsed="false">
      <c r="A985" s="29" t="s">
        <v>2204</v>
      </c>
      <c r="B985" s="29" t="s">
        <v>97</v>
      </c>
      <c r="C985" s="29" t="s">
        <v>49</v>
      </c>
      <c r="D985" s="29" t="s">
        <v>2205</v>
      </c>
      <c r="E985" s="29" t="s">
        <v>2083</v>
      </c>
      <c r="F985" s="29" t="s">
        <v>1880</v>
      </c>
      <c r="G985" s="29" t="s">
        <v>36</v>
      </c>
      <c r="H985" s="29" t="s">
        <v>65</v>
      </c>
      <c r="I985" s="29" t="s">
        <v>190</v>
      </c>
      <c r="J985" s="29" t="s">
        <v>191</v>
      </c>
      <c r="K985" s="29" t="s">
        <v>298</v>
      </c>
      <c r="L985" s="29" t="s">
        <v>30</v>
      </c>
      <c r="M985" s="29" t="n">
        <v>4209</v>
      </c>
      <c r="N985" s="29" t="n">
        <v>2090</v>
      </c>
      <c r="O985" s="29"/>
      <c r="P985" s="30" t="n">
        <f aca="false">(M985*N985/1000000)*(INDEX(AreaRate_Vals,MATCH(C985,AreaRate_Keys,0))+IFERROR(INDEX(GlazingUpg_Vals,MATCH(H985,GlazingUpg_Keys,0)),0))+INDEX(Hardware_Vals,MATCH("Doors",Hardware_Keys,0))</f>
        <v>18583.4605</v>
      </c>
      <c r="Q985" s="31" t="n">
        <f aca="false">INDEX(Markup_Vals,MATCH("Doors",MarkupCat_Keys,0))</f>
        <v>0.4</v>
      </c>
      <c r="R985" s="32" t="n">
        <f aca="false">P985*(1+Q985)</f>
        <v>26016.8447</v>
      </c>
      <c r="S985" s="32" t="n">
        <f aca="false">R985*(1-TradeDiscount)</f>
        <v>22894.823336</v>
      </c>
      <c r="T985" s="32" t="n">
        <f aca="false">R985*(1-VolumeDiscount)</f>
        <v>20813.47576</v>
      </c>
    </row>
    <row r="986" customFormat="false" ht="15" hidden="false" customHeight="false" outlineLevel="0" collapsed="false">
      <c r="A986" s="25" t="s">
        <v>2206</v>
      </c>
      <c r="B986" s="25" t="s">
        <v>97</v>
      </c>
      <c r="C986" s="25" t="s">
        <v>49</v>
      </c>
      <c r="D986" s="25" t="s">
        <v>2207</v>
      </c>
      <c r="E986" s="25" t="s">
        <v>2083</v>
      </c>
      <c r="F986" s="25" t="s">
        <v>1880</v>
      </c>
      <c r="G986" s="25" t="s">
        <v>37</v>
      </c>
      <c r="H986" s="25" t="s">
        <v>65</v>
      </c>
      <c r="I986" s="25" t="s">
        <v>190</v>
      </c>
      <c r="J986" s="25" t="s">
        <v>191</v>
      </c>
      <c r="K986" s="25" t="s">
        <v>298</v>
      </c>
      <c r="L986" s="25" t="s">
        <v>30</v>
      </c>
      <c r="M986" s="25" t="n">
        <v>4209</v>
      </c>
      <c r="N986" s="25" t="n">
        <v>2090</v>
      </c>
      <c r="O986" s="25"/>
      <c r="P986" s="26" t="n">
        <f aca="false">(M986*N986/1000000)*(INDEX(AreaRate_Vals,MATCH(C986,AreaRate_Keys,0))+IFERROR(INDEX(GlazingUpg_Vals,MATCH(H986,GlazingUpg_Keys,0)),0))+INDEX(Hardware_Vals,MATCH("Doors",Hardware_Keys,0))</f>
        <v>18583.4605</v>
      </c>
      <c r="Q986" s="27" t="n">
        <f aca="false">INDEX(Markup_Vals,MATCH("Doors",MarkupCat_Keys,0))</f>
        <v>0.4</v>
      </c>
      <c r="R986" s="28" t="n">
        <f aca="false">P986*(1+Q986)</f>
        <v>26016.8447</v>
      </c>
      <c r="S986" s="28" t="n">
        <f aca="false">R986*(1-TradeDiscount)</f>
        <v>22894.823336</v>
      </c>
      <c r="T986" s="28" t="n">
        <f aca="false">R986*(1-VolumeDiscount)</f>
        <v>20813.47576</v>
      </c>
    </row>
    <row r="987" customFormat="false" ht="15" hidden="false" customHeight="false" outlineLevel="0" collapsed="false">
      <c r="A987" s="29" t="s">
        <v>2208</v>
      </c>
      <c r="B987" s="29" t="s">
        <v>97</v>
      </c>
      <c r="C987" s="29" t="s">
        <v>49</v>
      </c>
      <c r="D987" s="29" t="s">
        <v>2209</v>
      </c>
      <c r="E987" s="29" t="s">
        <v>2083</v>
      </c>
      <c r="F987" s="29" t="s">
        <v>1880</v>
      </c>
      <c r="G987" s="29" t="s">
        <v>39</v>
      </c>
      <c r="H987" s="29" t="s">
        <v>65</v>
      </c>
      <c r="I987" s="29" t="s">
        <v>190</v>
      </c>
      <c r="J987" s="29" t="s">
        <v>191</v>
      </c>
      <c r="K987" s="29" t="s">
        <v>298</v>
      </c>
      <c r="L987" s="29" t="s">
        <v>30</v>
      </c>
      <c r="M987" s="29" t="n">
        <v>4209</v>
      </c>
      <c r="N987" s="29" t="n">
        <v>2090</v>
      </c>
      <c r="O987" s="29"/>
      <c r="P987" s="30" t="n">
        <f aca="false">(M987*N987/1000000)*(INDEX(AreaRate_Vals,MATCH(C987,AreaRate_Keys,0))+IFERROR(INDEX(GlazingUpg_Vals,MATCH(H987,GlazingUpg_Keys,0)),0))+INDEX(Hardware_Vals,MATCH("Doors",Hardware_Keys,0))</f>
        <v>18583.4605</v>
      </c>
      <c r="Q987" s="31" t="n">
        <f aca="false">INDEX(Markup_Vals,MATCH("Doors",MarkupCat_Keys,0))</f>
        <v>0.4</v>
      </c>
      <c r="R987" s="32" t="n">
        <f aca="false">P987*(1+Q987)</f>
        <v>26016.8447</v>
      </c>
      <c r="S987" s="32" t="n">
        <f aca="false">R987*(1-TradeDiscount)</f>
        <v>22894.823336</v>
      </c>
      <c r="T987" s="32" t="n">
        <f aca="false">R987*(1-VolumeDiscount)</f>
        <v>20813.47576</v>
      </c>
    </row>
    <row r="988" customFormat="false" ht="15" hidden="false" customHeight="false" outlineLevel="0" collapsed="false">
      <c r="A988" s="25" t="s">
        <v>2210</v>
      </c>
      <c r="B988" s="25" t="s">
        <v>97</v>
      </c>
      <c r="C988" s="25" t="s">
        <v>49</v>
      </c>
      <c r="D988" s="25" t="s">
        <v>2211</v>
      </c>
      <c r="E988" s="25" t="s">
        <v>2083</v>
      </c>
      <c r="F988" s="25" t="s">
        <v>1880</v>
      </c>
      <c r="G988" s="25" t="s">
        <v>38</v>
      </c>
      <c r="H988" s="25" t="s">
        <v>65</v>
      </c>
      <c r="I988" s="25" t="s">
        <v>190</v>
      </c>
      <c r="J988" s="25" t="s">
        <v>191</v>
      </c>
      <c r="K988" s="25" t="s">
        <v>298</v>
      </c>
      <c r="L988" s="25" t="s">
        <v>30</v>
      </c>
      <c r="M988" s="25" t="n">
        <v>4209</v>
      </c>
      <c r="N988" s="25" t="n">
        <v>2090</v>
      </c>
      <c r="O988" s="25"/>
      <c r="P988" s="26" t="n">
        <f aca="false">(M988*N988/1000000)*(INDEX(AreaRate_Vals,MATCH(C988,AreaRate_Keys,0))+IFERROR(INDEX(GlazingUpg_Vals,MATCH(H988,GlazingUpg_Keys,0)),0))+INDEX(Hardware_Vals,MATCH("Doors",Hardware_Keys,0))</f>
        <v>18583.4605</v>
      </c>
      <c r="Q988" s="27" t="n">
        <f aca="false">INDEX(Markup_Vals,MATCH("Doors",MarkupCat_Keys,0))</f>
        <v>0.4</v>
      </c>
      <c r="R988" s="28" t="n">
        <f aca="false">P988*(1+Q988)</f>
        <v>26016.8447</v>
      </c>
      <c r="S988" s="28" t="n">
        <f aca="false">R988*(1-TradeDiscount)</f>
        <v>22894.823336</v>
      </c>
      <c r="T988" s="28" t="n">
        <f aca="false">R988*(1-VolumeDiscount)</f>
        <v>20813.47576</v>
      </c>
    </row>
    <row r="989" customFormat="false" ht="15" hidden="false" customHeight="false" outlineLevel="0" collapsed="false">
      <c r="A989" s="29" t="s">
        <v>2212</v>
      </c>
      <c r="B989" s="29" t="s">
        <v>97</v>
      </c>
      <c r="C989" s="29" t="s">
        <v>49</v>
      </c>
      <c r="D989" s="29" t="s">
        <v>2213</v>
      </c>
      <c r="E989" s="29" t="s">
        <v>2083</v>
      </c>
      <c r="F989" s="29" t="s">
        <v>1880</v>
      </c>
      <c r="G989" s="29" t="s">
        <v>35</v>
      </c>
      <c r="H989" s="29" t="s">
        <v>66</v>
      </c>
      <c r="I989" s="29" t="s">
        <v>190</v>
      </c>
      <c r="J989" s="29" t="s">
        <v>191</v>
      </c>
      <c r="K989" s="29" t="s">
        <v>298</v>
      </c>
      <c r="L989" s="29" t="s">
        <v>30</v>
      </c>
      <c r="M989" s="29" t="n">
        <v>4209</v>
      </c>
      <c r="N989" s="29" t="n">
        <v>2090</v>
      </c>
      <c r="O989" s="29"/>
      <c r="P989" s="30" t="n">
        <f aca="false">(M989*N989/1000000)*(INDEX(AreaRate_Vals,MATCH(C989,AreaRate_Keys,0))+IFERROR(INDEX(GlazingUpg_Vals,MATCH(H989,GlazingUpg_Keys,0)),0))+INDEX(Hardware_Vals,MATCH("Doors",Hardware_Keys,0))</f>
        <v>24741.2275</v>
      </c>
      <c r="Q989" s="31" t="n">
        <f aca="false">INDEX(Markup_Vals,MATCH("Doors",MarkupCat_Keys,0))</f>
        <v>0.4</v>
      </c>
      <c r="R989" s="32" t="n">
        <f aca="false">P989*(1+Q989)</f>
        <v>34637.7185</v>
      </c>
      <c r="S989" s="32" t="n">
        <f aca="false">R989*(1-TradeDiscount)</f>
        <v>30481.19228</v>
      </c>
      <c r="T989" s="32" t="n">
        <f aca="false">R989*(1-VolumeDiscount)</f>
        <v>27710.1748</v>
      </c>
    </row>
    <row r="990" customFormat="false" ht="15" hidden="false" customHeight="false" outlineLevel="0" collapsed="false">
      <c r="A990" s="25" t="s">
        <v>2214</v>
      </c>
      <c r="B990" s="25" t="s">
        <v>97</v>
      </c>
      <c r="C990" s="25" t="s">
        <v>49</v>
      </c>
      <c r="D990" s="25" t="s">
        <v>2215</v>
      </c>
      <c r="E990" s="25" t="s">
        <v>2083</v>
      </c>
      <c r="F990" s="25" t="s">
        <v>1880</v>
      </c>
      <c r="G990" s="25" t="s">
        <v>36</v>
      </c>
      <c r="H990" s="25" t="s">
        <v>66</v>
      </c>
      <c r="I990" s="25" t="s">
        <v>190</v>
      </c>
      <c r="J990" s="25" t="s">
        <v>191</v>
      </c>
      <c r="K990" s="25" t="s">
        <v>298</v>
      </c>
      <c r="L990" s="25" t="s">
        <v>30</v>
      </c>
      <c r="M990" s="25" t="n">
        <v>4209</v>
      </c>
      <c r="N990" s="25" t="n">
        <v>2090</v>
      </c>
      <c r="O990" s="25"/>
      <c r="P990" s="26" t="n">
        <f aca="false">(M990*N990/1000000)*(INDEX(AreaRate_Vals,MATCH(C990,AreaRate_Keys,0))+IFERROR(INDEX(GlazingUpg_Vals,MATCH(H990,GlazingUpg_Keys,0)),0))+INDEX(Hardware_Vals,MATCH("Doors",Hardware_Keys,0))</f>
        <v>24741.2275</v>
      </c>
      <c r="Q990" s="27" t="n">
        <f aca="false">INDEX(Markup_Vals,MATCH("Doors",MarkupCat_Keys,0))</f>
        <v>0.4</v>
      </c>
      <c r="R990" s="28" t="n">
        <f aca="false">P990*(1+Q990)</f>
        <v>34637.7185</v>
      </c>
      <c r="S990" s="28" t="n">
        <f aca="false">R990*(1-TradeDiscount)</f>
        <v>30481.19228</v>
      </c>
      <c r="T990" s="28" t="n">
        <f aca="false">R990*(1-VolumeDiscount)</f>
        <v>27710.1748</v>
      </c>
    </row>
    <row r="991" customFormat="false" ht="15" hidden="false" customHeight="false" outlineLevel="0" collapsed="false">
      <c r="A991" s="29" t="s">
        <v>2216</v>
      </c>
      <c r="B991" s="29" t="s">
        <v>97</v>
      </c>
      <c r="C991" s="29" t="s">
        <v>49</v>
      </c>
      <c r="D991" s="29" t="s">
        <v>2217</v>
      </c>
      <c r="E991" s="29" t="s">
        <v>2083</v>
      </c>
      <c r="F991" s="29" t="s">
        <v>1880</v>
      </c>
      <c r="G991" s="29" t="s">
        <v>37</v>
      </c>
      <c r="H991" s="29" t="s">
        <v>66</v>
      </c>
      <c r="I991" s="29" t="s">
        <v>190</v>
      </c>
      <c r="J991" s="29" t="s">
        <v>191</v>
      </c>
      <c r="K991" s="29" t="s">
        <v>298</v>
      </c>
      <c r="L991" s="29" t="s">
        <v>30</v>
      </c>
      <c r="M991" s="29" t="n">
        <v>4209</v>
      </c>
      <c r="N991" s="29" t="n">
        <v>2090</v>
      </c>
      <c r="O991" s="29"/>
      <c r="P991" s="30" t="n">
        <f aca="false">(M991*N991/1000000)*(INDEX(AreaRate_Vals,MATCH(C991,AreaRate_Keys,0))+IFERROR(INDEX(GlazingUpg_Vals,MATCH(H991,GlazingUpg_Keys,0)),0))+INDEX(Hardware_Vals,MATCH("Doors",Hardware_Keys,0))</f>
        <v>24741.2275</v>
      </c>
      <c r="Q991" s="31" t="n">
        <f aca="false">INDEX(Markup_Vals,MATCH("Doors",MarkupCat_Keys,0))</f>
        <v>0.4</v>
      </c>
      <c r="R991" s="32" t="n">
        <f aca="false">P991*(1+Q991)</f>
        <v>34637.7185</v>
      </c>
      <c r="S991" s="32" t="n">
        <f aca="false">R991*(1-TradeDiscount)</f>
        <v>30481.19228</v>
      </c>
      <c r="T991" s="32" t="n">
        <f aca="false">R991*(1-VolumeDiscount)</f>
        <v>27710.1748</v>
      </c>
    </row>
    <row r="992" customFormat="false" ht="15" hidden="false" customHeight="false" outlineLevel="0" collapsed="false">
      <c r="A992" s="25" t="s">
        <v>2218</v>
      </c>
      <c r="B992" s="25" t="s">
        <v>97</v>
      </c>
      <c r="C992" s="25" t="s">
        <v>49</v>
      </c>
      <c r="D992" s="25" t="s">
        <v>2219</v>
      </c>
      <c r="E992" s="25" t="s">
        <v>2083</v>
      </c>
      <c r="F992" s="25" t="s">
        <v>1880</v>
      </c>
      <c r="G992" s="25" t="s">
        <v>39</v>
      </c>
      <c r="H992" s="25" t="s">
        <v>66</v>
      </c>
      <c r="I992" s="25" t="s">
        <v>190</v>
      </c>
      <c r="J992" s="25" t="s">
        <v>191</v>
      </c>
      <c r="K992" s="25" t="s">
        <v>298</v>
      </c>
      <c r="L992" s="25" t="s">
        <v>30</v>
      </c>
      <c r="M992" s="25" t="n">
        <v>4209</v>
      </c>
      <c r="N992" s="25" t="n">
        <v>2090</v>
      </c>
      <c r="O992" s="25"/>
      <c r="P992" s="26" t="n">
        <f aca="false">(M992*N992/1000000)*(INDEX(AreaRate_Vals,MATCH(C992,AreaRate_Keys,0))+IFERROR(INDEX(GlazingUpg_Vals,MATCH(H992,GlazingUpg_Keys,0)),0))+INDEX(Hardware_Vals,MATCH("Doors",Hardware_Keys,0))</f>
        <v>24741.2275</v>
      </c>
      <c r="Q992" s="27" t="n">
        <f aca="false">INDEX(Markup_Vals,MATCH("Doors",MarkupCat_Keys,0))</f>
        <v>0.4</v>
      </c>
      <c r="R992" s="28" t="n">
        <f aca="false">P992*(1+Q992)</f>
        <v>34637.7185</v>
      </c>
      <c r="S992" s="28" t="n">
        <f aca="false">R992*(1-TradeDiscount)</f>
        <v>30481.19228</v>
      </c>
      <c r="T992" s="28" t="n">
        <f aca="false">R992*(1-VolumeDiscount)</f>
        <v>27710.1748</v>
      </c>
    </row>
    <row r="993" customFormat="false" ht="15" hidden="false" customHeight="false" outlineLevel="0" collapsed="false">
      <c r="A993" s="29" t="s">
        <v>2220</v>
      </c>
      <c r="B993" s="29" t="s">
        <v>97</v>
      </c>
      <c r="C993" s="29" t="s">
        <v>49</v>
      </c>
      <c r="D993" s="29" t="s">
        <v>2221</v>
      </c>
      <c r="E993" s="29" t="s">
        <v>2083</v>
      </c>
      <c r="F993" s="29" t="s">
        <v>1880</v>
      </c>
      <c r="G993" s="29" t="s">
        <v>38</v>
      </c>
      <c r="H993" s="29" t="s">
        <v>66</v>
      </c>
      <c r="I993" s="29" t="s">
        <v>190</v>
      </c>
      <c r="J993" s="29" t="s">
        <v>191</v>
      </c>
      <c r="K993" s="29" t="s">
        <v>298</v>
      </c>
      <c r="L993" s="29" t="s">
        <v>30</v>
      </c>
      <c r="M993" s="29" t="n">
        <v>4209</v>
      </c>
      <c r="N993" s="29" t="n">
        <v>2090</v>
      </c>
      <c r="O993" s="29"/>
      <c r="P993" s="30" t="n">
        <f aca="false">(M993*N993/1000000)*(INDEX(AreaRate_Vals,MATCH(C993,AreaRate_Keys,0))+IFERROR(INDEX(GlazingUpg_Vals,MATCH(H993,GlazingUpg_Keys,0)),0))+INDEX(Hardware_Vals,MATCH("Doors",Hardware_Keys,0))</f>
        <v>24741.2275</v>
      </c>
      <c r="Q993" s="31" t="n">
        <f aca="false">INDEX(Markup_Vals,MATCH("Doors",MarkupCat_Keys,0))</f>
        <v>0.4</v>
      </c>
      <c r="R993" s="32" t="n">
        <f aca="false">P993*(1+Q993)</f>
        <v>34637.7185</v>
      </c>
      <c r="S993" s="32" t="n">
        <f aca="false">R993*(1-TradeDiscount)</f>
        <v>30481.19228</v>
      </c>
      <c r="T993" s="32" t="n">
        <f aca="false">R993*(1-VolumeDiscount)</f>
        <v>27710.1748</v>
      </c>
    </row>
    <row r="994" customFormat="false" ht="15" hidden="false" customHeight="false" outlineLevel="0" collapsed="false">
      <c r="A994" s="25" t="s">
        <v>2222</v>
      </c>
      <c r="B994" s="25" t="s">
        <v>97</v>
      </c>
      <c r="C994" s="25" t="s">
        <v>49</v>
      </c>
      <c r="D994" s="25" t="s">
        <v>2223</v>
      </c>
      <c r="E994" s="25" t="s">
        <v>2083</v>
      </c>
      <c r="F994" s="25" t="s">
        <v>1901</v>
      </c>
      <c r="G994" s="25" t="s">
        <v>35</v>
      </c>
      <c r="H994" s="25" t="s">
        <v>65</v>
      </c>
      <c r="I994" s="25" t="s">
        <v>190</v>
      </c>
      <c r="J994" s="25" t="s">
        <v>191</v>
      </c>
      <c r="K994" s="25" t="s">
        <v>298</v>
      </c>
      <c r="L994" s="25" t="s">
        <v>30</v>
      </c>
      <c r="M994" s="25" t="n">
        <v>4809</v>
      </c>
      <c r="N994" s="25" t="n">
        <v>2090</v>
      </c>
      <c r="O994" s="25"/>
      <c r="P994" s="26" t="n">
        <f aca="false">(M994*N994/1000000)*(INDEX(AreaRate_Vals,MATCH(C994,AreaRate_Keys,0))+IFERROR(INDEX(GlazingUpg_Vals,MATCH(H994,GlazingUpg_Keys,0)),0))+INDEX(Hardware_Vals,MATCH("Doors",Hardware_Keys,0))</f>
        <v>21154.1605</v>
      </c>
      <c r="Q994" s="27" t="n">
        <f aca="false">INDEX(Markup_Vals,MATCH("Doors",MarkupCat_Keys,0))</f>
        <v>0.4</v>
      </c>
      <c r="R994" s="28" t="n">
        <f aca="false">P994*(1+Q994)</f>
        <v>29615.8247</v>
      </c>
      <c r="S994" s="28" t="n">
        <f aca="false">R994*(1-TradeDiscount)</f>
        <v>26061.925736</v>
      </c>
      <c r="T994" s="28" t="n">
        <f aca="false">R994*(1-VolumeDiscount)</f>
        <v>23692.65976</v>
      </c>
    </row>
    <row r="995" customFormat="false" ht="15" hidden="false" customHeight="false" outlineLevel="0" collapsed="false">
      <c r="A995" s="29" t="s">
        <v>2224</v>
      </c>
      <c r="B995" s="29" t="s">
        <v>97</v>
      </c>
      <c r="C995" s="29" t="s">
        <v>49</v>
      </c>
      <c r="D995" s="29" t="s">
        <v>2225</v>
      </c>
      <c r="E995" s="29" t="s">
        <v>2083</v>
      </c>
      <c r="F995" s="29" t="s">
        <v>1901</v>
      </c>
      <c r="G995" s="29" t="s">
        <v>36</v>
      </c>
      <c r="H995" s="29" t="s">
        <v>65</v>
      </c>
      <c r="I995" s="29" t="s">
        <v>190</v>
      </c>
      <c r="J995" s="29" t="s">
        <v>191</v>
      </c>
      <c r="K995" s="29" t="s">
        <v>298</v>
      </c>
      <c r="L995" s="29" t="s">
        <v>30</v>
      </c>
      <c r="M995" s="29" t="n">
        <v>4809</v>
      </c>
      <c r="N995" s="29" t="n">
        <v>2090</v>
      </c>
      <c r="O995" s="29"/>
      <c r="P995" s="30" t="n">
        <f aca="false">(M995*N995/1000000)*(INDEX(AreaRate_Vals,MATCH(C995,AreaRate_Keys,0))+IFERROR(INDEX(GlazingUpg_Vals,MATCH(H995,GlazingUpg_Keys,0)),0))+INDEX(Hardware_Vals,MATCH("Doors",Hardware_Keys,0))</f>
        <v>21154.1605</v>
      </c>
      <c r="Q995" s="31" t="n">
        <f aca="false">INDEX(Markup_Vals,MATCH("Doors",MarkupCat_Keys,0))</f>
        <v>0.4</v>
      </c>
      <c r="R995" s="32" t="n">
        <f aca="false">P995*(1+Q995)</f>
        <v>29615.8247</v>
      </c>
      <c r="S995" s="32" t="n">
        <f aca="false">R995*(1-TradeDiscount)</f>
        <v>26061.925736</v>
      </c>
      <c r="T995" s="32" t="n">
        <f aca="false">R995*(1-VolumeDiscount)</f>
        <v>23692.65976</v>
      </c>
    </row>
    <row r="996" customFormat="false" ht="15" hidden="false" customHeight="false" outlineLevel="0" collapsed="false">
      <c r="A996" s="25" t="s">
        <v>2226</v>
      </c>
      <c r="B996" s="25" t="s">
        <v>97</v>
      </c>
      <c r="C996" s="25" t="s">
        <v>49</v>
      </c>
      <c r="D996" s="25" t="s">
        <v>2227</v>
      </c>
      <c r="E996" s="25" t="s">
        <v>2083</v>
      </c>
      <c r="F996" s="25" t="s">
        <v>1901</v>
      </c>
      <c r="G996" s="25" t="s">
        <v>37</v>
      </c>
      <c r="H996" s="25" t="s">
        <v>65</v>
      </c>
      <c r="I996" s="25" t="s">
        <v>190</v>
      </c>
      <c r="J996" s="25" t="s">
        <v>191</v>
      </c>
      <c r="K996" s="25" t="s">
        <v>298</v>
      </c>
      <c r="L996" s="25" t="s">
        <v>30</v>
      </c>
      <c r="M996" s="25" t="n">
        <v>4809</v>
      </c>
      <c r="N996" s="25" t="n">
        <v>2090</v>
      </c>
      <c r="O996" s="25"/>
      <c r="P996" s="26" t="n">
        <f aca="false">(M996*N996/1000000)*(INDEX(AreaRate_Vals,MATCH(C996,AreaRate_Keys,0))+IFERROR(INDEX(GlazingUpg_Vals,MATCH(H996,GlazingUpg_Keys,0)),0))+INDEX(Hardware_Vals,MATCH("Doors",Hardware_Keys,0))</f>
        <v>21154.1605</v>
      </c>
      <c r="Q996" s="27" t="n">
        <f aca="false">INDEX(Markup_Vals,MATCH("Doors",MarkupCat_Keys,0))</f>
        <v>0.4</v>
      </c>
      <c r="R996" s="28" t="n">
        <f aca="false">P996*(1+Q996)</f>
        <v>29615.8247</v>
      </c>
      <c r="S996" s="28" t="n">
        <f aca="false">R996*(1-TradeDiscount)</f>
        <v>26061.925736</v>
      </c>
      <c r="T996" s="28" t="n">
        <f aca="false">R996*(1-VolumeDiscount)</f>
        <v>23692.65976</v>
      </c>
    </row>
    <row r="997" customFormat="false" ht="15" hidden="false" customHeight="false" outlineLevel="0" collapsed="false">
      <c r="A997" s="29" t="s">
        <v>2228</v>
      </c>
      <c r="B997" s="29" t="s">
        <v>97</v>
      </c>
      <c r="C997" s="29" t="s">
        <v>49</v>
      </c>
      <c r="D997" s="29" t="s">
        <v>2229</v>
      </c>
      <c r="E997" s="29" t="s">
        <v>2083</v>
      </c>
      <c r="F997" s="29" t="s">
        <v>1901</v>
      </c>
      <c r="G997" s="29" t="s">
        <v>39</v>
      </c>
      <c r="H997" s="29" t="s">
        <v>65</v>
      </c>
      <c r="I997" s="29" t="s">
        <v>190</v>
      </c>
      <c r="J997" s="29" t="s">
        <v>191</v>
      </c>
      <c r="K997" s="29" t="s">
        <v>298</v>
      </c>
      <c r="L997" s="29" t="s">
        <v>30</v>
      </c>
      <c r="M997" s="29" t="n">
        <v>4809</v>
      </c>
      <c r="N997" s="29" t="n">
        <v>2090</v>
      </c>
      <c r="O997" s="29"/>
      <c r="P997" s="30" t="n">
        <f aca="false">(M997*N997/1000000)*(INDEX(AreaRate_Vals,MATCH(C997,AreaRate_Keys,0))+IFERROR(INDEX(GlazingUpg_Vals,MATCH(H997,GlazingUpg_Keys,0)),0))+INDEX(Hardware_Vals,MATCH("Doors",Hardware_Keys,0))</f>
        <v>21154.1605</v>
      </c>
      <c r="Q997" s="31" t="n">
        <f aca="false">INDEX(Markup_Vals,MATCH("Doors",MarkupCat_Keys,0))</f>
        <v>0.4</v>
      </c>
      <c r="R997" s="32" t="n">
        <f aca="false">P997*(1+Q997)</f>
        <v>29615.8247</v>
      </c>
      <c r="S997" s="32" t="n">
        <f aca="false">R997*(1-TradeDiscount)</f>
        <v>26061.925736</v>
      </c>
      <c r="T997" s="32" t="n">
        <f aca="false">R997*(1-VolumeDiscount)</f>
        <v>23692.65976</v>
      </c>
    </row>
    <row r="998" customFormat="false" ht="15" hidden="false" customHeight="false" outlineLevel="0" collapsed="false">
      <c r="A998" s="25" t="s">
        <v>2230</v>
      </c>
      <c r="B998" s="25" t="s">
        <v>97</v>
      </c>
      <c r="C998" s="25" t="s">
        <v>49</v>
      </c>
      <c r="D998" s="25" t="s">
        <v>2231</v>
      </c>
      <c r="E998" s="25" t="s">
        <v>2083</v>
      </c>
      <c r="F998" s="25" t="s">
        <v>1901</v>
      </c>
      <c r="G998" s="25" t="s">
        <v>38</v>
      </c>
      <c r="H998" s="25" t="s">
        <v>65</v>
      </c>
      <c r="I998" s="25" t="s">
        <v>190</v>
      </c>
      <c r="J998" s="25" t="s">
        <v>191</v>
      </c>
      <c r="K998" s="25" t="s">
        <v>298</v>
      </c>
      <c r="L998" s="25" t="s">
        <v>30</v>
      </c>
      <c r="M998" s="25" t="n">
        <v>4809</v>
      </c>
      <c r="N998" s="25" t="n">
        <v>2090</v>
      </c>
      <c r="O998" s="25"/>
      <c r="P998" s="26" t="n">
        <f aca="false">(M998*N998/1000000)*(INDEX(AreaRate_Vals,MATCH(C998,AreaRate_Keys,0))+IFERROR(INDEX(GlazingUpg_Vals,MATCH(H998,GlazingUpg_Keys,0)),0))+INDEX(Hardware_Vals,MATCH("Doors",Hardware_Keys,0))</f>
        <v>21154.1605</v>
      </c>
      <c r="Q998" s="27" t="n">
        <f aca="false">INDEX(Markup_Vals,MATCH("Doors",MarkupCat_Keys,0))</f>
        <v>0.4</v>
      </c>
      <c r="R998" s="28" t="n">
        <f aca="false">P998*(1+Q998)</f>
        <v>29615.8247</v>
      </c>
      <c r="S998" s="28" t="n">
        <f aca="false">R998*(1-TradeDiscount)</f>
        <v>26061.925736</v>
      </c>
      <c r="T998" s="28" t="n">
        <f aca="false">R998*(1-VolumeDiscount)</f>
        <v>23692.65976</v>
      </c>
    </row>
    <row r="999" customFormat="false" ht="15" hidden="false" customHeight="false" outlineLevel="0" collapsed="false">
      <c r="A999" s="29" t="s">
        <v>2232</v>
      </c>
      <c r="B999" s="29" t="s">
        <v>97</v>
      </c>
      <c r="C999" s="29" t="s">
        <v>49</v>
      </c>
      <c r="D999" s="29" t="s">
        <v>2233</v>
      </c>
      <c r="E999" s="29" t="s">
        <v>2083</v>
      </c>
      <c r="F999" s="29" t="s">
        <v>1901</v>
      </c>
      <c r="G999" s="29" t="s">
        <v>35</v>
      </c>
      <c r="H999" s="29" t="s">
        <v>66</v>
      </c>
      <c r="I999" s="29" t="s">
        <v>190</v>
      </c>
      <c r="J999" s="29" t="s">
        <v>191</v>
      </c>
      <c r="K999" s="29" t="s">
        <v>298</v>
      </c>
      <c r="L999" s="29" t="s">
        <v>30</v>
      </c>
      <c r="M999" s="29" t="n">
        <v>4809</v>
      </c>
      <c r="N999" s="29" t="n">
        <v>2090</v>
      </c>
      <c r="O999" s="29"/>
      <c r="P999" s="30" t="n">
        <f aca="false">(M999*N999/1000000)*(INDEX(AreaRate_Vals,MATCH(C999,AreaRate_Keys,0))+IFERROR(INDEX(GlazingUpg_Vals,MATCH(H999,GlazingUpg_Keys,0)),0))+INDEX(Hardware_Vals,MATCH("Doors",Hardware_Keys,0))</f>
        <v>28189.7275</v>
      </c>
      <c r="Q999" s="31" t="n">
        <f aca="false">INDEX(Markup_Vals,MATCH("Doors",MarkupCat_Keys,0))</f>
        <v>0.4</v>
      </c>
      <c r="R999" s="32" t="n">
        <f aca="false">P999*(1+Q999)</f>
        <v>39465.6185</v>
      </c>
      <c r="S999" s="32" t="n">
        <f aca="false">R999*(1-TradeDiscount)</f>
        <v>34729.74428</v>
      </c>
      <c r="T999" s="32" t="n">
        <f aca="false">R999*(1-VolumeDiscount)</f>
        <v>31572.4948</v>
      </c>
    </row>
    <row r="1000" customFormat="false" ht="15" hidden="false" customHeight="false" outlineLevel="0" collapsed="false">
      <c r="A1000" s="25" t="s">
        <v>2234</v>
      </c>
      <c r="B1000" s="25" t="s">
        <v>97</v>
      </c>
      <c r="C1000" s="25" t="s">
        <v>49</v>
      </c>
      <c r="D1000" s="25" t="s">
        <v>2235</v>
      </c>
      <c r="E1000" s="25" t="s">
        <v>2083</v>
      </c>
      <c r="F1000" s="25" t="s">
        <v>1901</v>
      </c>
      <c r="G1000" s="25" t="s">
        <v>36</v>
      </c>
      <c r="H1000" s="25" t="s">
        <v>66</v>
      </c>
      <c r="I1000" s="25" t="s">
        <v>190</v>
      </c>
      <c r="J1000" s="25" t="s">
        <v>191</v>
      </c>
      <c r="K1000" s="25" t="s">
        <v>298</v>
      </c>
      <c r="L1000" s="25" t="s">
        <v>30</v>
      </c>
      <c r="M1000" s="25" t="n">
        <v>4809</v>
      </c>
      <c r="N1000" s="25" t="n">
        <v>2090</v>
      </c>
      <c r="O1000" s="25"/>
      <c r="P1000" s="26" t="n">
        <f aca="false">(M1000*N1000/1000000)*(INDEX(AreaRate_Vals,MATCH(C1000,AreaRate_Keys,0))+IFERROR(INDEX(GlazingUpg_Vals,MATCH(H1000,GlazingUpg_Keys,0)),0))+INDEX(Hardware_Vals,MATCH("Doors",Hardware_Keys,0))</f>
        <v>28189.7275</v>
      </c>
      <c r="Q1000" s="27" t="n">
        <f aca="false">INDEX(Markup_Vals,MATCH("Doors",MarkupCat_Keys,0))</f>
        <v>0.4</v>
      </c>
      <c r="R1000" s="28" t="n">
        <f aca="false">P1000*(1+Q1000)</f>
        <v>39465.6185</v>
      </c>
      <c r="S1000" s="28" t="n">
        <f aca="false">R1000*(1-TradeDiscount)</f>
        <v>34729.74428</v>
      </c>
      <c r="T1000" s="28" t="n">
        <f aca="false">R1000*(1-VolumeDiscount)</f>
        <v>31572.4948</v>
      </c>
    </row>
    <row r="1001" customFormat="false" ht="15" hidden="false" customHeight="false" outlineLevel="0" collapsed="false">
      <c r="A1001" s="29" t="s">
        <v>2236</v>
      </c>
      <c r="B1001" s="29" t="s">
        <v>97</v>
      </c>
      <c r="C1001" s="29" t="s">
        <v>49</v>
      </c>
      <c r="D1001" s="29" t="s">
        <v>2237</v>
      </c>
      <c r="E1001" s="29" t="s">
        <v>2083</v>
      </c>
      <c r="F1001" s="29" t="s">
        <v>1901</v>
      </c>
      <c r="G1001" s="29" t="s">
        <v>37</v>
      </c>
      <c r="H1001" s="29" t="s">
        <v>66</v>
      </c>
      <c r="I1001" s="29" t="s">
        <v>190</v>
      </c>
      <c r="J1001" s="29" t="s">
        <v>191</v>
      </c>
      <c r="K1001" s="29" t="s">
        <v>298</v>
      </c>
      <c r="L1001" s="29" t="s">
        <v>30</v>
      </c>
      <c r="M1001" s="29" t="n">
        <v>4809</v>
      </c>
      <c r="N1001" s="29" t="n">
        <v>2090</v>
      </c>
      <c r="O1001" s="29"/>
      <c r="P1001" s="30" t="n">
        <f aca="false">(M1001*N1001/1000000)*(INDEX(AreaRate_Vals,MATCH(C1001,AreaRate_Keys,0))+IFERROR(INDEX(GlazingUpg_Vals,MATCH(H1001,GlazingUpg_Keys,0)),0))+INDEX(Hardware_Vals,MATCH("Doors",Hardware_Keys,0))</f>
        <v>28189.7275</v>
      </c>
      <c r="Q1001" s="31" t="n">
        <f aca="false">INDEX(Markup_Vals,MATCH("Doors",MarkupCat_Keys,0))</f>
        <v>0.4</v>
      </c>
      <c r="R1001" s="32" t="n">
        <f aca="false">P1001*(1+Q1001)</f>
        <v>39465.6185</v>
      </c>
      <c r="S1001" s="32" t="n">
        <f aca="false">R1001*(1-TradeDiscount)</f>
        <v>34729.74428</v>
      </c>
      <c r="T1001" s="32" t="n">
        <f aca="false">R1001*(1-VolumeDiscount)</f>
        <v>31572.4948</v>
      </c>
    </row>
    <row r="1002" customFormat="false" ht="15" hidden="false" customHeight="false" outlineLevel="0" collapsed="false">
      <c r="A1002" s="25" t="s">
        <v>2238</v>
      </c>
      <c r="B1002" s="25" t="s">
        <v>97</v>
      </c>
      <c r="C1002" s="25" t="s">
        <v>49</v>
      </c>
      <c r="D1002" s="25" t="s">
        <v>2239</v>
      </c>
      <c r="E1002" s="25" t="s">
        <v>2083</v>
      </c>
      <c r="F1002" s="25" t="s">
        <v>1901</v>
      </c>
      <c r="G1002" s="25" t="s">
        <v>39</v>
      </c>
      <c r="H1002" s="25" t="s">
        <v>66</v>
      </c>
      <c r="I1002" s="25" t="s">
        <v>190</v>
      </c>
      <c r="J1002" s="25" t="s">
        <v>191</v>
      </c>
      <c r="K1002" s="25" t="s">
        <v>298</v>
      </c>
      <c r="L1002" s="25" t="s">
        <v>30</v>
      </c>
      <c r="M1002" s="25" t="n">
        <v>4809</v>
      </c>
      <c r="N1002" s="25" t="n">
        <v>2090</v>
      </c>
      <c r="O1002" s="25"/>
      <c r="P1002" s="26" t="n">
        <f aca="false">(M1002*N1002/1000000)*(INDEX(AreaRate_Vals,MATCH(C1002,AreaRate_Keys,0))+IFERROR(INDEX(GlazingUpg_Vals,MATCH(H1002,GlazingUpg_Keys,0)),0))+INDEX(Hardware_Vals,MATCH("Doors",Hardware_Keys,0))</f>
        <v>28189.7275</v>
      </c>
      <c r="Q1002" s="27" t="n">
        <f aca="false">INDEX(Markup_Vals,MATCH("Doors",MarkupCat_Keys,0))</f>
        <v>0.4</v>
      </c>
      <c r="R1002" s="28" t="n">
        <f aca="false">P1002*(1+Q1002)</f>
        <v>39465.6185</v>
      </c>
      <c r="S1002" s="28" t="n">
        <f aca="false">R1002*(1-TradeDiscount)</f>
        <v>34729.74428</v>
      </c>
      <c r="T1002" s="28" t="n">
        <f aca="false">R1002*(1-VolumeDiscount)</f>
        <v>31572.4948</v>
      </c>
    </row>
    <row r="1003" customFormat="false" ht="15" hidden="false" customHeight="false" outlineLevel="0" collapsed="false">
      <c r="A1003" s="29" t="s">
        <v>2240</v>
      </c>
      <c r="B1003" s="29" t="s">
        <v>97</v>
      </c>
      <c r="C1003" s="29" t="s">
        <v>49</v>
      </c>
      <c r="D1003" s="29" t="s">
        <v>2241</v>
      </c>
      <c r="E1003" s="29" t="s">
        <v>2083</v>
      </c>
      <c r="F1003" s="29" t="s">
        <v>1901</v>
      </c>
      <c r="G1003" s="29" t="s">
        <v>38</v>
      </c>
      <c r="H1003" s="29" t="s">
        <v>66</v>
      </c>
      <c r="I1003" s="29" t="s">
        <v>190</v>
      </c>
      <c r="J1003" s="29" t="s">
        <v>191</v>
      </c>
      <c r="K1003" s="29" t="s">
        <v>298</v>
      </c>
      <c r="L1003" s="29" t="s">
        <v>30</v>
      </c>
      <c r="M1003" s="29" t="n">
        <v>4809</v>
      </c>
      <c r="N1003" s="29" t="n">
        <v>2090</v>
      </c>
      <c r="O1003" s="29"/>
      <c r="P1003" s="30" t="n">
        <f aca="false">(M1003*N1003/1000000)*(INDEX(AreaRate_Vals,MATCH(C1003,AreaRate_Keys,0))+IFERROR(INDEX(GlazingUpg_Vals,MATCH(H1003,GlazingUpg_Keys,0)),0))+INDEX(Hardware_Vals,MATCH("Doors",Hardware_Keys,0))</f>
        <v>28189.7275</v>
      </c>
      <c r="Q1003" s="31" t="n">
        <f aca="false">INDEX(Markup_Vals,MATCH("Doors",MarkupCat_Keys,0))</f>
        <v>0.4</v>
      </c>
      <c r="R1003" s="32" t="n">
        <f aca="false">P1003*(1+Q1003)</f>
        <v>39465.6185</v>
      </c>
      <c r="S1003" s="32" t="n">
        <f aca="false">R1003*(1-TradeDiscount)</f>
        <v>34729.74428</v>
      </c>
      <c r="T1003" s="32" t="n">
        <f aca="false">R1003*(1-VolumeDiscount)</f>
        <v>31572.4948</v>
      </c>
    </row>
    <row r="1004" customFormat="false" ht="15" hidden="false" customHeight="false" outlineLevel="0" collapsed="false">
      <c r="A1004" s="25" t="s">
        <v>2242</v>
      </c>
      <c r="B1004" s="25" t="s">
        <v>97</v>
      </c>
      <c r="C1004" s="25" t="s">
        <v>50</v>
      </c>
      <c r="D1004" s="25" t="s">
        <v>2243</v>
      </c>
      <c r="E1004" s="25" t="s">
        <v>2244</v>
      </c>
      <c r="F1004" s="25" t="s">
        <v>1817</v>
      </c>
      <c r="G1004" s="25" t="s">
        <v>35</v>
      </c>
      <c r="H1004" s="25" t="s">
        <v>65</v>
      </c>
      <c r="I1004" s="25" t="s">
        <v>190</v>
      </c>
      <c r="J1004" s="25" t="s">
        <v>191</v>
      </c>
      <c r="K1004" s="25" t="s">
        <v>298</v>
      </c>
      <c r="L1004" s="25" t="s">
        <v>30</v>
      </c>
      <c r="M1004" s="25" t="n">
        <v>2409</v>
      </c>
      <c r="N1004" s="25" t="n">
        <v>2090</v>
      </c>
      <c r="O1004" s="25"/>
      <c r="P1004" s="26" t="n">
        <f aca="false">(M1004*N1004/1000000)*(INDEX(AreaRate_Vals,MATCH(C1004,AreaRate_Keys,0))+IFERROR(INDEX(GlazingUpg_Vals,MATCH(H1004,GlazingUpg_Keys,0)),0))+INDEX(Hardware_Vals,MATCH("Doors",Hardware_Keys,0))</f>
        <v>16661.392</v>
      </c>
      <c r="Q1004" s="27" t="n">
        <f aca="false">INDEX(Markup_Vals,MATCH("Doors",MarkupCat_Keys,0))</f>
        <v>0.4</v>
      </c>
      <c r="R1004" s="28" t="n">
        <f aca="false">P1004*(1+Q1004)</f>
        <v>23325.9488</v>
      </c>
      <c r="S1004" s="28" t="n">
        <f aca="false">R1004*(1-TradeDiscount)</f>
        <v>20526.834944</v>
      </c>
      <c r="T1004" s="28" t="n">
        <f aca="false">R1004*(1-VolumeDiscount)</f>
        <v>18660.75904</v>
      </c>
    </row>
    <row r="1005" customFormat="false" ht="15" hidden="false" customHeight="false" outlineLevel="0" collapsed="false">
      <c r="A1005" s="29" t="s">
        <v>2245</v>
      </c>
      <c r="B1005" s="29" t="s">
        <v>97</v>
      </c>
      <c r="C1005" s="29" t="s">
        <v>50</v>
      </c>
      <c r="D1005" s="29" t="s">
        <v>2246</v>
      </c>
      <c r="E1005" s="29" t="s">
        <v>2244</v>
      </c>
      <c r="F1005" s="29" t="s">
        <v>1817</v>
      </c>
      <c r="G1005" s="29" t="s">
        <v>36</v>
      </c>
      <c r="H1005" s="29" t="s">
        <v>65</v>
      </c>
      <c r="I1005" s="29" t="s">
        <v>190</v>
      </c>
      <c r="J1005" s="29" t="s">
        <v>191</v>
      </c>
      <c r="K1005" s="29" t="s">
        <v>298</v>
      </c>
      <c r="L1005" s="29" t="s">
        <v>30</v>
      </c>
      <c r="M1005" s="29" t="n">
        <v>2409</v>
      </c>
      <c r="N1005" s="29" t="n">
        <v>2090</v>
      </c>
      <c r="O1005" s="29"/>
      <c r="P1005" s="30" t="n">
        <f aca="false">(M1005*N1005/1000000)*(INDEX(AreaRate_Vals,MATCH(C1005,AreaRate_Keys,0))+IFERROR(INDEX(GlazingUpg_Vals,MATCH(H1005,GlazingUpg_Keys,0)),0))+INDEX(Hardware_Vals,MATCH("Doors",Hardware_Keys,0))</f>
        <v>16661.392</v>
      </c>
      <c r="Q1005" s="31" t="n">
        <f aca="false">INDEX(Markup_Vals,MATCH("Doors",MarkupCat_Keys,0))</f>
        <v>0.4</v>
      </c>
      <c r="R1005" s="32" t="n">
        <f aca="false">P1005*(1+Q1005)</f>
        <v>23325.9488</v>
      </c>
      <c r="S1005" s="32" t="n">
        <f aca="false">R1005*(1-TradeDiscount)</f>
        <v>20526.834944</v>
      </c>
      <c r="T1005" s="32" t="n">
        <f aca="false">R1005*(1-VolumeDiscount)</f>
        <v>18660.75904</v>
      </c>
    </row>
    <row r="1006" customFormat="false" ht="15" hidden="false" customHeight="false" outlineLevel="0" collapsed="false">
      <c r="A1006" s="25" t="s">
        <v>2247</v>
      </c>
      <c r="B1006" s="25" t="s">
        <v>97</v>
      </c>
      <c r="C1006" s="25" t="s">
        <v>50</v>
      </c>
      <c r="D1006" s="25" t="s">
        <v>2248</v>
      </c>
      <c r="E1006" s="25" t="s">
        <v>2244</v>
      </c>
      <c r="F1006" s="25" t="s">
        <v>1817</v>
      </c>
      <c r="G1006" s="25" t="s">
        <v>37</v>
      </c>
      <c r="H1006" s="25" t="s">
        <v>65</v>
      </c>
      <c r="I1006" s="25" t="s">
        <v>190</v>
      </c>
      <c r="J1006" s="25" t="s">
        <v>191</v>
      </c>
      <c r="K1006" s="25" t="s">
        <v>298</v>
      </c>
      <c r="L1006" s="25" t="s">
        <v>30</v>
      </c>
      <c r="M1006" s="25" t="n">
        <v>2409</v>
      </c>
      <c r="N1006" s="25" t="n">
        <v>2090</v>
      </c>
      <c r="O1006" s="25"/>
      <c r="P1006" s="26" t="n">
        <f aca="false">(M1006*N1006/1000000)*(INDEX(AreaRate_Vals,MATCH(C1006,AreaRate_Keys,0))+IFERROR(INDEX(GlazingUpg_Vals,MATCH(H1006,GlazingUpg_Keys,0)),0))+INDEX(Hardware_Vals,MATCH("Doors",Hardware_Keys,0))</f>
        <v>16661.392</v>
      </c>
      <c r="Q1006" s="27" t="n">
        <f aca="false">INDEX(Markup_Vals,MATCH("Doors",MarkupCat_Keys,0))</f>
        <v>0.4</v>
      </c>
      <c r="R1006" s="28" t="n">
        <f aca="false">P1006*(1+Q1006)</f>
        <v>23325.9488</v>
      </c>
      <c r="S1006" s="28" t="n">
        <f aca="false">R1006*(1-TradeDiscount)</f>
        <v>20526.834944</v>
      </c>
      <c r="T1006" s="28" t="n">
        <f aca="false">R1006*(1-VolumeDiscount)</f>
        <v>18660.75904</v>
      </c>
    </row>
    <row r="1007" customFormat="false" ht="15" hidden="false" customHeight="false" outlineLevel="0" collapsed="false">
      <c r="A1007" s="29" t="s">
        <v>2249</v>
      </c>
      <c r="B1007" s="29" t="s">
        <v>97</v>
      </c>
      <c r="C1007" s="29" t="s">
        <v>50</v>
      </c>
      <c r="D1007" s="29" t="s">
        <v>2250</v>
      </c>
      <c r="E1007" s="29" t="s">
        <v>2244</v>
      </c>
      <c r="F1007" s="29" t="s">
        <v>1817</v>
      </c>
      <c r="G1007" s="29" t="s">
        <v>39</v>
      </c>
      <c r="H1007" s="29" t="s">
        <v>65</v>
      </c>
      <c r="I1007" s="29" t="s">
        <v>190</v>
      </c>
      <c r="J1007" s="29" t="s">
        <v>191</v>
      </c>
      <c r="K1007" s="29" t="s">
        <v>298</v>
      </c>
      <c r="L1007" s="29" t="s">
        <v>30</v>
      </c>
      <c r="M1007" s="29" t="n">
        <v>2409</v>
      </c>
      <c r="N1007" s="29" t="n">
        <v>2090</v>
      </c>
      <c r="O1007" s="29"/>
      <c r="P1007" s="30" t="n">
        <f aca="false">(M1007*N1007/1000000)*(INDEX(AreaRate_Vals,MATCH(C1007,AreaRate_Keys,0))+IFERROR(INDEX(GlazingUpg_Vals,MATCH(H1007,GlazingUpg_Keys,0)),0))+INDEX(Hardware_Vals,MATCH("Doors",Hardware_Keys,0))</f>
        <v>16661.392</v>
      </c>
      <c r="Q1007" s="31" t="n">
        <f aca="false">INDEX(Markup_Vals,MATCH("Doors",MarkupCat_Keys,0))</f>
        <v>0.4</v>
      </c>
      <c r="R1007" s="32" t="n">
        <f aca="false">P1007*(1+Q1007)</f>
        <v>23325.9488</v>
      </c>
      <c r="S1007" s="32" t="n">
        <f aca="false">R1007*(1-TradeDiscount)</f>
        <v>20526.834944</v>
      </c>
      <c r="T1007" s="32" t="n">
        <f aca="false">R1007*(1-VolumeDiscount)</f>
        <v>18660.75904</v>
      </c>
    </row>
    <row r="1008" customFormat="false" ht="15" hidden="false" customHeight="false" outlineLevel="0" collapsed="false">
      <c r="A1008" s="25" t="s">
        <v>2251</v>
      </c>
      <c r="B1008" s="25" t="s">
        <v>97</v>
      </c>
      <c r="C1008" s="25" t="s">
        <v>50</v>
      </c>
      <c r="D1008" s="25" t="s">
        <v>2252</v>
      </c>
      <c r="E1008" s="25" t="s">
        <v>2244</v>
      </c>
      <c r="F1008" s="25" t="s">
        <v>1817</v>
      </c>
      <c r="G1008" s="25" t="s">
        <v>38</v>
      </c>
      <c r="H1008" s="25" t="s">
        <v>65</v>
      </c>
      <c r="I1008" s="25" t="s">
        <v>190</v>
      </c>
      <c r="J1008" s="25" t="s">
        <v>191</v>
      </c>
      <c r="K1008" s="25" t="s">
        <v>298</v>
      </c>
      <c r="L1008" s="25" t="s">
        <v>30</v>
      </c>
      <c r="M1008" s="25" t="n">
        <v>2409</v>
      </c>
      <c r="N1008" s="25" t="n">
        <v>2090</v>
      </c>
      <c r="O1008" s="25"/>
      <c r="P1008" s="26" t="n">
        <f aca="false">(M1008*N1008/1000000)*(INDEX(AreaRate_Vals,MATCH(C1008,AreaRate_Keys,0))+IFERROR(INDEX(GlazingUpg_Vals,MATCH(H1008,GlazingUpg_Keys,0)),0))+INDEX(Hardware_Vals,MATCH("Doors",Hardware_Keys,0))</f>
        <v>16661.392</v>
      </c>
      <c r="Q1008" s="27" t="n">
        <f aca="false">INDEX(Markup_Vals,MATCH("Doors",MarkupCat_Keys,0))</f>
        <v>0.4</v>
      </c>
      <c r="R1008" s="28" t="n">
        <f aca="false">P1008*(1+Q1008)</f>
        <v>23325.9488</v>
      </c>
      <c r="S1008" s="28" t="n">
        <f aca="false">R1008*(1-TradeDiscount)</f>
        <v>20526.834944</v>
      </c>
      <c r="T1008" s="28" t="n">
        <f aca="false">R1008*(1-VolumeDiscount)</f>
        <v>18660.75904</v>
      </c>
    </row>
    <row r="1009" customFormat="false" ht="15" hidden="false" customHeight="false" outlineLevel="0" collapsed="false">
      <c r="A1009" s="29" t="s">
        <v>2253</v>
      </c>
      <c r="B1009" s="29" t="s">
        <v>97</v>
      </c>
      <c r="C1009" s="29" t="s">
        <v>50</v>
      </c>
      <c r="D1009" s="29" t="s">
        <v>2254</v>
      </c>
      <c r="E1009" s="29" t="s">
        <v>2244</v>
      </c>
      <c r="F1009" s="29" t="s">
        <v>1817</v>
      </c>
      <c r="G1009" s="29" t="s">
        <v>35</v>
      </c>
      <c r="H1009" s="29" t="s">
        <v>66</v>
      </c>
      <c r="I1009" s="29" t="s">
        <v>190</v>
      </c>
      <c r="J1009" s="29" t="s">
        <v>191</v>
      </c>
      <c r="K1009" s="29" t="s">
        <v>298</v>
      </c>
      <c r="L1009" s="29" t="s">
        <v>30</v>
      </c>
      <c r="M1009" s="29" t="n">
        <v>2409</v>
      </c>
      <c r="N1009" s="29" t="n">
        <v>2090</v>
      </c>
      <c r="O1009" s="29"/>
      <c r="P1009" s="30" t="n">
        <f aca="false">(M1009*N1009/1000000)*(INDEX(AreaRate_Vals,MATCH(C1009,AreaRate_Keys,0))+IFERROR(INDEX(GlazingUpg_Vals,MATCH(H1009,GlazingUpg_Keys,0)),0))+INDEX(Hardware_Vals,MATCH("Doors",Hardware_Keys,0))</f>
        <v>20185.759</v>
      </c>
      <c r="Q1009" s="31" t="n">
        <f aca="false">INDEX(Markup_Vals,MATCH("Doors",MarkupCat_Keys,0))</f>
        <v>0.4</v>
      </c>
      <c r="R1009" s="32" t="n">
        <f aca="false">P1009*(1+Q1009)</f>
        <v>28260.0626</v>
      </c>
      <c r="S1009" s="32" t="n">
        <f aca="false">R1009*(1-TradeDiscount)</f>
        <v>24868.855088</v>
      </c>
      <c r="T1009" s="32" t="n">
        <f aca="false">R1009*(1-VolumeDiscount)</f>
        <v>22608.05008</v>
      </c>
    </row>
    <row r="1010" customFormat="false" ht="15" hidden="false" customHeight="false" outlineLevel="0" collapsed="false">
      <c r="A1010" s="25" t="s">
        <v>2255</v>
      </c>
      <c r="B1010" s="25" t="s">
        <v>97</v>
      </c>
      <c r="C1010" s="25" t="s">
        <v>50</v>
      </c>
      <c r="D1010" s="25" t="s">
        <v>2256</v>
      </c>
      <c r="E1010" s="25" t="s">
        <v>2244</v>
      </c>
      <c r="F1010" s="25" t="s">
        <v>1817</v>
      </c>
      <c r="G1010" s="25" t="s">
        <v>36</v>
      </c>
      <c r="H1010" s="25" t="s">
        <v>66</v>
      </c>
      <c r="I1010" s="25" t="s">
        <v>190</v>
      </c>
      <c r="J1010" s="25" t="s">
        <v>191</v>
      </c>
      <c r="K1010" s="25" t="s">
        <v>298</v>
      </c>
      <c r="L1010" s="25" t="s">
        <v>30</v>
      </c>
      <c r="M1010" s="25" t="n">
        <v>2409</v>
      </c>
      <c r="N1010" s="25" t="n">
        <v>2090</v>
      </c>
      <c r="O1010" s="25"/>
      <c r="P1010" s="26" t="n">
        <f aca="false">(M1010*N1010/1000000)*(INDEX(AreaRate_Vals,MATCH(C1010,AreaRate_Keys,0))+IFERROR(INDEX(GlazingUpg_Vals,MATCH(H1010,GlazingUpg_Keys,0)),0))+INDEX(Hardware_Vals,MATCH("Doors",Hardware_Keys,0))</f>
        <v>20185.759</v>
      </c>
      <c r="Q1010" s="27" t="n">
        <f aca="false">INDEX(Markup_Vals,MATCH("Doors",MarkupCat_Keys,0))</f>
        <v>0.4</v>
      </c>
      <c r="R1010" s="28" t="n">
        <f aca="false">P1010*(1+Q1010)</f>
        <v>28260.0626</v>
      </c>
      <c r="S1010" s="28" t="n">
        <f aca="false">R1010*(1-TradeDiscount)</f>
        <v>24868.855088</v>
      </c>
      <c r="T1010" s="28" t="n">
        <f aca="false">R1010*(1-VolumeDiscount)</f>
        <v>22608.05008</v>
      </c>
    </row>
    <row r="1011" customFormat="false" ht="15" hidden="false" customHeight="false" outlineLevel="0" collapsed="false">
      <c r="A1011" s="29" t="s">
        <v>2257</v>
      </c>
      <c r="B1011" s="29" t="s">
        <v>97</v>
      </c>
      <c r="C1011" s="29" t="s">
        <v>50</v>
      </c>
      <c r="D1011" s="29" t="s">
        <v>2258</v>
      </c>
      <c r="E1011" s="29" t="s">
        <v>2244</v>
      </c>
      <c r="F1011" s="29" t="s">
        <v>1817</v>
      </c>
      <c r="G1011" s="29" t="s">
        <v>37</v>
      </c>
      <c r="H1011" s="29" t="s">
        <v>66</v>
      </c>
      <c r="I1011" s="29" t="s">
        <v>190</v>
      </c>
      <c r="J1011" s="29" t="s">
        <v>191</v>
      </c>
      <c r="K1011" s="29" t="s">
        <v>298</v>
      </c>
      <c r="L1011" s="29" t="s">
        <v>30</v>
      </c>
      <c r="M1011" s="29" t="n">
        <v>2409</v>
      </c>
      <c r="N1011" s="29" t="n">
        <v>2090</v>
      </c>
      <c r="O1011" s="29"/>
      <c r="P1011" s="30" t="n">
        <f aca="false">(M1011*N1011/1000000)*(INDEX(AreaRate_Vals,MATCH(C1011,AreaRate_Keys,0))+IFERROR(INDEX(GlazingUpg_Vals,MATCH(H1011,GlazingUpg_Keys,0)),0))+INDEX(Hardware_Vals,MATCH("Doors",Hardware_Keys,0))</f>
        <v>20185.759</v>
      </c>
      <c r="Q1011" s="31" t="n">
        <f aca="false">INDEX(Markup_Vals,MATCH("Doors",MarkupCat_Keys,0))</f>
        <v>0.4</v>
      </c>
      <c r="R1011" s="32" t="n">
        <f aca="false">P1011*(1+Q1011)</f>
        <v>28260.0626</v>
      </c>
      <c r="S1011" s="32" t="n">
        <f aca="false">R1011*(1-TradeDiscount)</f>
        <v>24868.855088</v>
      </c>
      <c r="T1011" s="32" t="n">
        <f aca="false">R1011*(1-VolumeDiscount)</f>
        <v>22608.05008</v>
      </c>
    </row>
    <row r="1012" customFormat="false" ht="15" hidden="false" customHeight="false" outlineLevel="0" collapsed="false">
      <c r="A1012" s="25" t="s">
        <v>2259</v>
      </c>
      <c r="B1012" s="25" t="s">
        <v>97</v>
      </c>
      <c r="C1012" s="25" t="s">
        <v>50</v>
      </c>
      <c r="D1012" s="25" t="s">
        <v>2260</v>
      </c>
      <c r="E1012" s="25" t="s">
        <v>2244</v>
      </c>
      <c r="F1012" s="25" t="s">
        <v>1817</v>
      </c>
      <c r="G1012" s="25" t="s">
        <v>39</v>
      </c>
      <c r="H1012" s="25" t="s">
        <v>66</v>
      </c>
      <c r="I1012" s="25" t="s">
        <v>190</v>
      </c>
      <c r="J1012" s="25" t="s">
        <v>191</v>
      </c>
      <c r="K1012" s="25" t="s">
        <v>298</v>
      </c>
      <c r="L1012" s="25" t="s">
        <v>30</v>
      </c>
      <c r="M1012" s="25" t="n">
        <v>2409</v>
      </c>
      <c r="N1012" s="25" t="n">
        <v>2090</v>
      </c>
      <c r="O1012" s="25"/>
      <c r="P1012" s="26" t="n">
        <f aca="false">(M1012*N1012/1000000)*(INDEX(AreaRate_Vals,MATCH(C1012,AreaRate_Keys,0))+IFERROR(INDEX(GlazingUpg_Vals,MATCH(H1012,GlazingUpg_Keys,0)),0))+INDEX(Hardware_Vals,MATCH("Doors",Hardware_Keys,0))</f>
        <v>20185.759</v>
      </c>
      <c r="Q1012" s="27" t="n">
        <f aca="false">INDEX(Markup_Vals,MATCH("Doors",MarkupCat_Keys,0))</f>
        <v>0.4</v>
      </c>
      <c r="R1012" s="28" t="n">
        <f aca="false">P1012*(1+Q1012)</f>
        <v>28260.0626</v>
      </c>
      <c r="S1012" s="28" t="n">
        <f aca="false">R1012*(1-TradeDiscount)</f>
        <v>24868.855088</v>
      </c>
      <c r="T1012" s="28" t="n">
        <f aca="false">R1012*(1-VolumeDiscount)</f>
        <v>22608.05008</v>
      </c>
    </row>
    <row r="1013" customFormat="false" ht="15" hidden="false" customHeight="false" outlineLevel="0" collapsed="false">
      <c r="A1013" s="29" t="s">
        <v>2261</v>
      </c>
      <c r="B1013" s="29" t="s">
        <v>97</v>
      </c>
      <c r="C1013" s="29" t="s">
        <v>50</v>
      </c>
      <c r="D1013" s="29" t="s">
        <v>2262</v>
      </c>
      <c r="E1013" s="29" t="s">
        <v>2244</v>
      </c>
      <c r="F1013" s="29" t="s">
        <v>1817</v>
      </c>
      <c r="G1013" s="29" t="s">
        <v>38</v>
      </c>
      <c r="H1013" s="29" t="s">
        <v>66</v>
      </c>
      <c r="I1013" s="29" t="s">
        <v>190</v>
      </c>
      <c r="J1013" s="29" t="s">
        <v>191</v>
      </c>
      <c r="K1013" s="29" t="s">
        <v>298</v>
      </c>
      <c r="L1013" s="29" t="s">
        <v>30</v>
      </c>
      <c r="M1013" s="29" t="n">
        <v>2409</v>
      </c>
      <c r="N1013" s="29" t="n">
        <v>2090</v>
      </c>
      <c r="O1013" s="29"/>
      <c r="P1013" s="30" t="n">
        <f aca="false">(M1013*N1013/1000000)*(INDEX(AreaRate_Vals,MATCH(C1013,AreaRate_Keys,0))+IFERROR(INDEX(GlazingUpg_Vals,MATCH(H1013,GlazingUpg_Keys,0)),0))+INDEX(Hardware_Vals,MATCH("Doors",Hardware_Keys,0))</f>
        <v>20185.759</v>
      </c>
      <c r="Q1013" s="31" t="n">
        <f aca="false">INDEX(Markup_Vals,MATCH("Doors",MarkupCat_Keys,0))</f>
        <v>0.4</v>
      </c>
      <c r="R1013" s="32" t="n">
        <f aca="false">P1013*(1+Q1013)</f>
        <v>28260.0626</v>
      </c>
      <c r="S1013" s="32" t="n">
        <f aca="false">R1013*(1-TradeDiscount)</f>
        <v>24868.855088</v>
      </c>
      <c r="T1013" s="32" t="n">
        <f aca="false">R1013*(1-VolumeDiscount)</f>
        <v>22608.05008</v>
      </c>
    </row>
    <row r="1014" customFormat="false" ht="15" hidden="false" customHeight="false" outlineLevel="0" collapsed="false">
      <c r="A1014" s="25" t="s">
        <v>2263</v>
      </c>
      <c r="B1014" s="25" t="s">
        <v>97</v>
      </c>
      <c r="C1014" s="25" t="s">
        <v>50</v>
      </c>
      <c r="D1014" s="25" t="s">
        <v>2264</v>
      </c>
      <c r="E1014" s="25" t="s">
        <v>2244</v>
      </c>
      <c r="F1014" s="25" t="s">
        <v>1838</v>
      </c>
      <c r="G1014" s="25" t="s">
        <v>35</v>
      </c>
      <c r="H1014" s="25" t="s">
        <v>65</v>
      </c>
      <c r="I1014" s="25" t="s">
        <v>190</v>
      </c>
      <c r="J1014" s="25" t="s">
        <v>191</v>
      </c>
      <c r="K1014" s="25" t="s">
        <v>298</v>
      </c>
      <c r="L1014" s="25" t="s">
        <v>30</v>
      </c>
      <c r="M1014" s="25" t="n">
        <v>3009</v>
      </c>
      <c r="N1014" s="25" t="n">
        <v>2090</v>
      </c>
      <c r="O1014" s="25"/>
      <c r="P1014" s="26" t="n">
        <f aca="false">(M1014*N1014/1000000)*(INDEX(AreaRate_Vals,MATCH(C1014,AreaRate_Keys,0))+IFERROR(INDEX(GlazingUpg_Vals,MATCH(H1014,GlazingUpg_Keys,0)),0))+INDEX(Hardware_Vals,MATCH("Doors",Hardware_Keys,0))</f>
        <v>20674.192</v>
      </c>
      <c r="Q1014" s="27" t="n">
        <f aca="false">INDEX(Markup_Vals,MATCH("Doors",MarkupCat_Keys,0))</f>
        <v>0.4</v>
      </c>
      <c r="R1014" s="28" t="n">
        <f aca="false">P1014*(1+Q1014)</f>
        <v>28943.8688</v>
      </c>
      <c r="S1014" s="28" t="n">
        <f aca="false">R1014*(1-TradeDiscount)</f>
        <v>25470.604544</v>
      </c>
      <c r="T1014" s="28" t="n">
        <f aca="false">R1014*(1-VolumeDiscount)</f>
        <v>23155.09504</v>
      </c>
    </row>
    <row r="1015" customFormat="false" ht="15" hidden="false" customHeight="false" outlineLevel="0" collapsed="false">
      <c r="A1015" s="29" t="s">
        <v>2265</v>
      </c>
      <c r="B1015" s="29" t="s">
        <v>97</v>
      </c>
      <c r="C1015" s="29" t="s">
        <v>50</v>
      </c>
      <c r="D1015" s="29" t="s">
        <v>2266</v>
      </c>
      <c r="E1015" s="29" t="s">
        <v>2244</v>
      </c>
      <c r="F1015" s="29" t="s">
        <v>1838</v>
      </c>
      <c r="G1015" s="29" t="s">
        <v>36</v>
      </c>
      <c r="H1015" s="29" t="s">
        <v>65</v>
      </c>
      <c r="I1015" s="29" t="s">
        <v>190</v>
      </c>
      <c r="J1015" s="29" t="s">
        <v>191</v>
      </c>
      <c r="K1015" s="29" t="s">
        <v>298</v>
      </c>
      <c r="L1015" s="29" t="s">
        <v>30</v>
      </c>
      <c r="M1015" s="29" t="n">
        <v>3009</v>
      </c>
      <c r="N1015" s="29" t="n">
        <v>2090</v>
      </c>
      <c r="O1015" s="29"/>
      <c r="P1015" s="30" t="n">
        <f aca="false">(M1015*N1015/1000000)*(INDEX(AreaRate_Vals,MATCH(C1015,AreaRate_Keys,0))+IFERROR(INDEX(GlazingUpg_Vals,MATCH(H1015,GlazingUpg_Keys,0)),0))+INDEX(Hardware_Vals,MATCH("Doors",Hardware_Keys,0))</f>
        <v>20674.192</v>
      </c>
      <c r="Q1015" s="31" t="n">
        <f aca="false">INDEX(Markup_Vals,MATCH("Doors",MarkupCat_Keys,0))</f>
        <v>0.4</v>
      </c>
      <c r="R1015" s="32" t="n">
        <f aca="false">P1015*(1+Q1015)</f>
        <v>28943.8688</v>
      </c>
      <c r="S1015" s="32" t="n">
        <f aca="false">R1015*(1-TradeDiscount)</f>
        <v>25470.604544</v>
      </c>
      <c r="T1015" s="32" t="n">
        <f aca="false">R1015*(1-VolumeDiscount)</f>
        <v>23155.09504</v>
      </c>
    </row>
    <row r="1016" customFormat="false" ht="15" hidden="false" customHeight="false" outlineLevel="0" collapsed="false">
      <c r="A1016" s="25" t="s">
        <v>2267</v>
      </c>
      <c r="B1016" s="25" t="s">
        <v>97</v>
      </c>
      <c r="C1016" s="25" t="s">
        <v>50</v>
      </c>
      <c r="D1016" s="25" t="s">
        <v>2268</v>
      </c>
      <c r="E1016" s="25" t="s">
        <v>2244</v>
      </c>
      <c r="F1016" s="25" t="s">
        <v>1838</v>
      </c>
      <c r="G1016" s="25" t="s">
        <v>37</v>
      </c>
      <c r="H1016" s="25" t="s">
        <v>65</v>
      </c>
      <c r="I1016" s="25" t="s">
        <v>190</v>
      </c>
      <c r="J1016" s="25" t="s">
        <v>191</v>
      </c>
      <c r="K1016" s="25" t="s">
        <v>298</v>
      </c>
      <c r="L1016" s="25" t="s">
        <v>30</v>
      </c>
      <c r="M1016" s="25" t="n">
        <v>3009</v>
      </c>
      <c r="N1016" s="25" t="n">
        <v>2090</v>
      </c>
      <c r="O1016" s="25"/>
      <c r="P1016" s="26" t="n">
        <f aca="false">(M1016*N1016/1000000)*(INDEX(AreaRate_Vals,MATCH(C1016,AreaRate_Keys,0))+IFERROR(INDEX(GlazingUpg_Vals,MATCH(H1016,GlazingUpg_Keys,0)),0))+INDEX(Hardware_Vals,MATCH("Doors",Hardware_Keys,0))</f>
        <v>20674.192</v>
      </c>
      <c r="Q1016" s="27" t="n">
        <f aca="false">INDEX(Markup_Vals,MATCH("Doors",MarkupCat_Keys,0))</f>
        <v>0.4</v>
      </c>
      <c r="R1016" s="28" t="n">
        <f aca="false">P1016*(1+Q1016)</f>
        <v>28943.8688</v>
      </c>
      <c r="S1016" s="28" t="n">
        <f aca="false">R1016*(1-TradeDiscount)</f>
        <v>25470.604544</v>
      </c>
      <c r="T1016" s="28" t="n">
        <f aca="false">R1016*(1-VolumeDiscount)</f>
        <v>23155.09504</v>
      </c>
    </row>
    <row r="1017" customFormat="false" ht="15" hidden="false" customHeight="false" outlineLevel="0" collapsed="false">
      <c r="A1017" s="29" t="s">
        <v>2269</v>
      </c>
      <c r="B1017" s="29" t="s">
        <v>97</v>
      </c>
      <c r="C1017" s="29" t="s">
        <v>50</v>
      </c>
      <c r="D1017" s="29" t="s">
        <v>2270</v>
      </c>
      <c r="E1017" s="29" t="s">
        <v>2244</v>
      </c>
      <c r="F1017" s="29" t="s">
        <v>1838</v>
      </c>
      <c r="G1017" s="29" t="s">
        <v>39</v>
      </c>
      <c r="H1017" s="29" t="s">
        <v>65</v>
      </c>
      <c r="I1017" s="29" t="s">
        <v>190</v>
      </c>
      <c r="J1017" s="29" t="s">
        <v>191</v>
      </c>
      <c r="K1017" s="29" t="s">
        <v>298</v>
      </c>
      <c r="L1017" s="29" t="s">
        <v>30</v>
      </c>
      <c r="M1017" s="29" t="n">
        <v>3009</v>
      </c>
      <c r="N1017" s="29" t="n">
        <v>2090</v>
      </c>
      <c r="O1017" s="29"/>
      <c r="P1017" s="30" t="n">
        <f aca="false">(M1017*N1017/1000000)*(INDEX(AreaRate_Vals,MATCH(C1017,AreaRate_Keys,0))+IFERROR(INDEX(GlazingUpg_Vals,MATCH(H1017,GlazingUpg_Keys,0)),0))+INDEX(Hardware_Vals,MATCH("Doors",Hardware_Keys,0))</f>
        <v>20674.192</v>
      </c>
      <c r="Q1017" s="31" t="n">
        <f aca="false">INDEX(Markup_Vals,MATCH("Doors",MarkupCat_Keys,0))</f>
        <v>0.4</v>
      </c>
      <c r="R1017" s="32" t="n">
        <f aca="false">P1017*(1+Q1017)</f>
        <v>28943.8688</v>
      </c>
      <c r="S1017" s="32" t="n">
        <f aca="false">R1017*(1-TradeDiscount)</f>
        <v>25470.604544</v>
      </c>
      <c r="T1017" s="32" t="n">
        <f aca="false">R1017*(1-VolumeDiscount)</f>
        <v>23155.09504</v>
      </c>
    </row>
    <row r="1018" customFormat="false" ht="15" hidden="false" customHeight="false" outlineLevel="0" collapsed="false">
      <c r="A1018" s="25" t="s">
        <v>2271</v>
      </c>
      <c r="B1018" s="25" t="s">
        <v>97</v>
      </c>
      <c r="C1018" s="25" t="s">
        <v>50</v>
      </c>
      <c r="D1018" s="25" t="s">
        <v>2272</v>
      </c>
      <c r="E1018" s="25" t="s">
        <v>2244</v>
      </c>
      <c r="F1018" s="25" t="s">
        <v>1838</v>
      </c>
      <c r="G1018" s="25" t="s">
        <v>38</v>
      </c>
      <c r="H1018" s="25" t="s">
        <v>65</v>
      </c>
      <c r="I1018" s="25" t="s">
        <v>190</v>
      </c>
      <c r="J1018" s="25" t="s">
        <v>191</v>
      </c>
      <c r="K1018" s="25" t="s">
        <v>298</v>
      </c>
      <c r="L1018" s="25" t="s">
        <v>30</v>
      </c>
      <c r="M1018" s="25" t="n">
        <v>3009</v>
      </c>
      <c r="N1018" s="25" t="n">
        <v>2090</v>
      </c>
      <c r="O1018" s="25"/>
      <c r="P1018" s="26" t="n">
        <f aca="false">(M1018*N1018/1000000)*(INDEX(AreaRate_Vals,MATCH(C1018,AreaRate_Keys,0))+IFERROR(INDEX(GlazingUpg_Vals,MATCH(H1018,GlazingUpg_Keys,0)),0))+INDEX(Hardware_Vals,MATCH("Doors",Hardware_Keys,0))</f>
        <v>20674.192</v>
      </c>
      <c r="Q1018" s="27" t="n">
        <f aca="false">INDEX(Markup_Vals,MATCH("Doors",MarkupCat_Keys,0))</f>
        <v>0.4</v>
      </c>
      <c r="R1018" s="28" t="n">
        <f aca="false">P1018*(1+Q1018)</f>
        <v>28943.8688</v>
      </c>
      <c r="S1018" s="28" t="n">
        <f aca="false">R1018*(1-TradeDiscount)</f>
        <v>25470.604544</v>
      </c>
      <c r="T1018" s="28" t="n">
        <f aca="false">R1018*(1-VolumeDiscount)</f>
        <v>23155.09504</v>
      </c>
    </row>
    <row r="1019" customFormat="false" ht="15" hidden="false" customHeight="false" outlineLevel="0" collapsed="false">
      <c r="A1019" s="29" t="s">
        <v>2273</v>
      </c>
      <c r="B1019" s="29" t="s">
        <v>97</v>
      </c>
      <c r="C1019" s="29" t="s">
        <v>50</v>
      </c>
      <c r="D1019" s="29" t="s">
        <v>2274</v>
      </c>
      <c r="E1019" s="29" t="s">
        <v>2244</v>
      </c>
      <c r="F1019" s="29" t="s">
        <v>1838</v>
      </c>
      <c r="G1019" s="29" t="s">
        <v>35</v>
      </c>
      <c r="H1019" s="29" t="s">
        <v>66</v>
      </c>
      <c r="I1019" s="29" t="s">
        <v>190</v>
      </c>
      <c r="J1019" s="29" t="s">
        <v>191</v>
      </c>
      <c r="K1019" s="29" t="s">
        <v>298</v>
      </c>
      <c r="L1019" s="29" t="s">
        <v>30</v>
      </c>
      <c r="M1019" s="29" t="n">
        <v>3009</v>
      </c>
      <c r="N1019" s="29" t="n">
        <v>2090</v>
      </c>
      <c r="O1019" s="29"/>
      <c r="P1019" s="30" t="n">
        <f aca="false">(M1019*N1019/1000000)*(INDEX(AreaRate_Vals,MATCH(C1019,AreaRate_Keys,0))+IFERROR(INDEX(GlazingUpg_Vals,MATCH(H1019,GlazingUpg_Keys,0)),0))+INDEX(Hardware_Vals,MATCH("Doors",Hardware_Keys,0))</f>
        <v>25076.359</v>
      </c>
      <c r="Q1019" s="31" t="n">
        <f aca="false">INDEX(Markup_Vals,MATCH("Doors",MarkupCat_Keys,0))</f>
        <v>0.4</v>
      </c>
      <c r="R1019" s="32" t="n">
        <f aca="false">P1019*(1+Q1019)</f>
        <v>35106.9026</v>
      </c>
      <c r="S1019" s="32" t="n">
        <f aca="false">R1019*(1-TradeDiscount)</f>
        <v>30894.074288</v>
      </c>
      <c r="T1019" s="32" t="n">
        <f aca="false">R1019*(1-VolumeDiscount)</f>
        <v>28085.52208</v>
      </c>
    </row>
    <row r="1020" customFormat="false" ht="15" hidden="false" customHeight="false" outlineLevel="0" collapsed="false">
      <c r="A1020" s="25" t="s">
        <v>2275</v>
      </c>
      <c r="B1020" s="25" t="s">
        <v>97</v>
      </c>
      <c r="C1020" s="25" t="s">
        <v>50</v>
      </c>
      <c r="D1020" s="25" t="s">
        <v>2276</v>
      </c>
      <c r="E1020" s="25" t="s">
        <v>2244</v>
      </c>
      <c r="F1020" s="25" t="s">
        <v>1838</v>
      </c>
      <c r="G1020" s="25" t="s">
        <v>36</v>
      </c>
      <c r="H1020" s="25" t="s">
        <v>66</v>
      </c>
      <c r="I1020" s="25" t="s">
        <v>190</v>
      </c>
      <c r="J1020" s="25" t="s">
        <v>191</v>
      </c>
      <c r="K1020" s="25" t="s">
        <v>298</v>
      </c>
      <c r="L1020" s="25" t="s">
        <v>30</v>
      </c>
      <c r="M1020" s="25" t="n">
        <v>3009</v>
      </c>
      <c r="N1020" s="25" t="n">
        <v>2090</v>
      </c>
      <c r="O1020" s="25"/>
      <c r="P1020" s="26" t="n">
        <f aca="false">(M1020*N1020/1000000)*(INDEX(AreaRate_Vals,MATCH(C1020,AreaRate_Keys,0))+IFERROR(INDEX(GlazingUpg_Vals,MATCH(H1020,GlazingUpg_Keys,0)),0))+INDEX(Hardware_Vals,MATCH("Doors",Hardware_Keys,0))</f>
        <v>25076.359</v>
      </c>
      <c r="Q1020" s="27" t="n">
        <f aca="false">INDEX(Markup_Vals,MATCH("Doors",MarkupCat_Keys,0))</f>
        <v>0.4</v>
      </c>
      <c r="R1020" s="28" t="n">
        <f aca="false">P1020*(1+Q1020)</f>
        <v>35106.9026</v>
      </c>
      <c r="S1020" s="28" t="n">
        <f aca="false">R1020*(1-TradeDiscount)</f>
        <v>30894.074288</v>
      </c>
      <c r="T1020" s="28" t="n">
        <f aca="false">R1020*(1-VolumeDiscount)</f>
        <v>28085.52208</v>
      </c>
    </row>
    <row r="1021" customFormat="false" ht="15" hidden="false" customHeight="false" outlineLevel="0" collapsed="false">
      <c r="A1021" s="29" t="s">
        <v>2277</v>
      </c>
      <c r="B1021" s="29" t="s">
        <v>97</v>
      </c>
      <c r="C1021" s="29" t="s">
        <v>50</v>
      </c>
      <c r="D1021" s="29" t="s">
        <v>2278</v>
      </c>
      <c r="E1021" s="29" t="s">
        <v>2244</v>
      </c>
      <c r="F1021" s="29" t="s">
        <v>1838</v>
      </c>
      <c r="G1021" s="29" t="s">
        <v>37</v>
      </c>
      <c r="H1021" s="29" t="s">
        <v>66</v>
      </c>
      <c r="I1021" s="29" t="s">
        <v>190</v>
      </c>
      <c r="J1021" s="29" t="s">
        <v>191</v>
      </c>
      <c r="K1021" s="29" t="s">
        <v>298</v>
      </c>
      <c r="L1021" s="29" t="s">
        <v>30</v>
      </c>
      <c r="M1021" s="29" t="n">
        <v>3009</v>
      </c>
      <c r="N1021" s="29" t="n">
        <v>2090</v>
      </c>
      <c r="O1021" s="29"/>
      <c r="P1021" s="30" t="n">
        <f aca="false">(M1021*N1021/1000000)*(INDEX(AreaRate_Vals,MATCH(C1021,AreaRate_Keys,0))+IFERROR(INDEX(GlazingUpg_Vals,MATCH(H1021,GlazingUpg_Keys,0)),0))+INDEX(Hardware_Vals,MATCH("Doors",Hardware_Keys,0))</f>
        <v>25076.359</v>
      </c>
      <c r="Q1021" s="31" t="n">
        <f aca="false">INDEX(Markup_Vals,MATCH("Doors",MarkupCat_Keys,0))</f>
        <v>0.4</v>
      </c>
      <c r="R1021" s="32" t="n">
        <f aca="false">P1021*(1+Q1021)</f>
        <v>35106.9026</v>
      </c>
      <c r="S1021" s="32" t="n">
        <f aca="false">R1021*(1-TradeDiscount)</f>
        <v>30894.074288</v>
      </c>
      <c r="T1021" s="32" t="n">
        <f aca="false">R1021*(1-VolumeDiscount)</f>
        <v>28085.52208</v>
      </c>
    </row>
    <row r="1022" customFormat="false" ht="15" hidden="false" customHeight="false" outlineLevel="0" collapsed="false">
      <c r="A1022" s="25" t="s">
        <v>2279</v>
      </c>
      <c r="B1022" s="25" t="s">
        <v>97</v>
      </c>
      <c r="C1022" s="25" t="s">
        <v>50</v>
      </c>
      <c r="D1022" s="25" t="s">
        <v>2280</v>
      </c>
      <c r="E1022" s="25" t="s">
        <v>2244</v>
      </c>
      <c r="F1022" s="25" t="s">
        <v>1838</v>
      </c>
      <c r="G1022" s="25" t="s">
        <v>39</v>
      </c>
      <c r="H1022" s="25" t="s">
        <v>66</v>
      </c>
      <c r="I1022" s="25" t="s">
        <v>190</v>
      </c>
      <c r="J1022" s="25" t="s">
        <v>191</v>
      </c>
      <c r="K1022" s="25" t="s">
        <v>298</v>
      </c>
      <c r="L1022" s="25" t="s">
        <v>30</v>
      </c>
      <c r="M1022" s="25" t="n">
        <v>3009</v>
      </c>
      <c r="N1022" s="25" t="n">
        <v>2090</v>
      </c>
      <c r="O1022" s="25"/>
      <c r="P1022" s="26" t="n">
        <f aca="false">(M1022*N1022/1000000)*(INDEX(AreaRate_Vals,MATCH(C1022,AreaRate_Keys,0))+IFERROR(INDEX(GlazingUpg_Vals,MATCH(H1022,GlazingUpg_Keys,0)),0))+INDEX(Hardware_Vals,MATCH("Doors",Hardware_Keys,0))</f>
        <v>25076.359</v>
      </c>
      <c r="Q1022" s="27" t="n">
        <f aca="false">INDEX(Markup_Vals,MATCH("Doors",MarkupCat_Keys,0))</f>
        <v>0.4</v>
      </c>
      <c r="R1022" s="28" t="n">
        <f aca="false">P1022*(1+Q1022)</f>
        <v>35106.9026</v>
      </c>
      <c r="S1022" s="28" t="n">
        <f aca="false">R1022*(1-TradeDiscount)</f>
        <v>30894.074288</v>
      </c>
      <c r="T1022" s="28" t="n">
        <f aca="false">R1022*(1-VolumeDiscount)</f>
        <v>28085.52208</v>
      </c>
    </row>
    <row r="1023" customFormat="false" ht="15" hidden="false" customHeight="false" outlineLevel="0" collapsed="false">
      <c r="A1023" s="29" t="s">
        <v>2281</v>
      </c>
      <c r="B1023" s="29" t="s">
        <v>97</v>
      </c>
      <c r="C1023" s="29" t="s">
        <v>50</v>
      </c>
      <c r="D1023" s="29" t="s">
        <v>2282</v>
      </c>
      <c r="E1023" s="29" t="s">
        <v>2244</v>
      </c>
      <c r="F1023" s="29" t="s">
        <v>1838</v>
      </c>
      <c r="G1023" s="29" t="s">
        <v>38</v>
      </c>
      <c r="H1023" s="29" t="s">
        <v>66</v>
      </c>
      <c r="I1023" s="29" t="s">
        <v>190</v>
      </c>
      <c r="J1023" s="29" t="s">
        <v>191</v>
      </c>
      <c r="K1023" s="29" t="s">
        <v>298</v>
      </c>
      <c r="L1023" s="29" t="s">
        <v>30</v>
      </c>
      <c r="M1023" s="29" t="n">
        <v>3009</v>
      </c>
      <c r="N1023" s="29" t="n">
        <v>2090</v>
      </c>
      <c r="O1023" s="29"/>
      <c r="P1023" s="30" t="n">
        <f aca="false">(M1023*N1023/1000000)*(INDEX(AreaRate_Vals,MATCH(C1023,AreaRate_Keys,0))+IFERROR(INDEX(GlazingUpg_Vals,MATCH(H1023,GlazingUpg_Keys,0)),0))+INDEX(Hardware_Vals,MATCH("Doors",Hardware_Keys,0))</f>
        <v>25076.359</v>
      </c>
      <c r="Q1023" s="31" t="n">
        <f aca="false">INDEX(Markup_Vals,MATCH("Doors",MarkupCat_Keys,0))</f>
        <v>0.4</v>
      </c>
      <c r="R1023" s="32" t="n">
        <f aca="false">P1023*(1+Q1023)</f>
        <v>35106.9026</v>
      </c>
      <c r="S1023" s="32" t="n">
        <f aca="false">R1023*(1-TradeDiscount)</f>
        <v>30894.074288</v>
      </c>
      <c r="T1023" s="32" t="n">
        <f aca="false">R1023*(1-VolumeDiscount)</f>
        <v>28085.52208</v>
      </c>
    </row>
    <row r="1024" customFormat="false" ht="15" hidden="false" customHeight="false" outlineLevel="0" collapsed="false">
      <c r="A1024" s="25" t="s">
        <v>2283</v>
      </c>
      <c r="B1024" s="25" t="s">
        <v>97</v>
      </c>
      <c r="C1024" s="25" t="s">
        <v>50</v>
      </c>
      <c r="D1024" s="25" t="s">
        <v>2284</v>
      </c>
      <c r="E1024" s="25" t="s">
        <v>2244</v>
      </c>
      <c r="F1024" s="25" t="s">
        <v>1859</v>
      </c>
      <c r="G1024" s="25" t="s">
        <v>35</v>
      </c>
      <c r="H1024" s="25" t="s">
        <v>65</v>
      </c>
      <c r="I1024" s="25" t="s">
        <v>190</v>
      </c>
      <c r="J1024" s="25" t="s">
        <v>191</v>
      </c>
      <c r="K1024" s="25" t="s">
        <v>298</v>
      </c>
      <c r="L1024" s="25" t="s">
        <v>30</v>
      </c>
      <c r="M1024" s="25" t="n">
        <v>3609</v>
      </c>
      <c r="N1024" s="25" t="n">
        <v>2090</v>
      </c>
      <c r="O1024" s="25"/>
      <c r="P1024" s="26" t="n">
        <f aca="false">(M1024*N1024/1000000)*(INDEX(AreaRate_Vals,MATCH(C1024,AreaRate_Keys,0))+IFERROR(INDEX(GlazingUpg_Vals,MATCH(H1024,GlazingUpg_Keys,0)),0))+INDEX(Hardware_Vals,MATCH("Doors",Hardware_Keys,0))</f>
        <v>24686.992</v>
      </c>
      <c r="Q1024" s="27" t="n">
        <f aca="false">INDEX(Markup_Vals,MATCH("Doors",MarkupCat_Keys,0))</f>
        <v>0.4</v>
      </c>
      <c r="R1024" s="28" t="n">
        <f aca="false">P1024*(1+Q1024)</f>
        <v>34561.7888</v>
      </c>
      <c r="S1024" s="28" t="n">
        <f aca="false">R1024*(1-TradeDiscount)</f>
        <v>30414.374144</v>
      </c>
      <c r="T1024" s="28" t="n">
        <f aca="false">R1024*(1-VolumeDiscount)</f>
        <v>27649.43104</v>
      </c>
    </row>
    <row r="1025" customFormat="false" ht="15" hidden="false" customHeight="false" outlineLevel="0" collapsed="false">
      <c r="A1025" s="29" t="s">
        <v>2285</v>
      </c>
      <c r="B1025" s="29" t="s">
        <v>97</v>
      </c>
      <c r="C1025" s="29" t="s">
        <v>50</v>
      </c>
      <c r="D1025" s="29" t="s">
        <v>2286</v>
      </c>
      <c r="E1025" s="29" t="s">
        <v>2244</v>
      </c>
      <c r="F1025" s="29" t="s">
        <v>1859</v>
      </c>
      <c r="G1025" s="29" t="s">
        <v>36</v>
      </c>
      <c r="H1025" s="29" t="s">
        <v>65</v>
      </c>
      <c r="I1025" s="29" t="s">
        <v>190</v>
      </c>
      <c r="J1025" s="29" t="s">
        <v>191</v>
      </c>
      <c r="K1025" s="29" t="s">
        <v>298</v>
      </c>
      <c r="L1025" s="29" t="s">
        <v>30</v>
      </c>
      <c r="M1025" s="29" t="n">
        <v>3609</v>
      </c>
      <c r="N1025" s="29" t="n">
        <v>2090</v>
      </c>
      <c r="O1025" s="29"/>
      <c r="P1025" s="30" t="n">
        <f aca="false">(M1025*N1025/1000000)*(INDEX(AreaRate_Vals,MATCH(C1025,AreaRate_Keys,0))+IFERROR(INDEX(GlazingUpg_Vals,MATCH(H1025,GlazingUpg_Keys,0)),0))+INDEX(Hardware_Vals,MATCH("Doors",Hardware_Keys,0))</f>
        <v>24686.992</v>
      </c>
      <c r="Q1025" s="31" t="n">
        <f aca="false">INDEX(Markup_Vals,MATCH("Doors",MarkupCat_Keys,0))</f>
        <v>0.4</v>
      </c>
      <c r="R1025" s="32" t="n">
        <f aca="false">P1025*(1+Q1025)</f>
        <v>34561.7888</v>
      </c>
      <c r="S1025" s="32" t="n">
        <f aca="false">R1025*(1-TradeDiscount)</f>
        <v>30414.374144</v>
      </c>
      <c r="T1025" s="32" t="n">
        <f aca="false">R1025*(1-VolumeDiscount)</f>
        <v>27649.43104</v>
      </c>
    </row>
    <row r="1026" customFormat="false" ht="15" hidden="false" customHeight="false" outlineLevel="0" collapsed="false">
      <c r="A1026" s="25" t="s">
        <v>2287</v>
      </c>
      <c r="B1026" s="25" t="s">
        <v>97</v>
      </c>
      <c r="C1026" s="25" t="s">
        <v>50</v>
      </c>
      <c r="D1026" s="25" t="s">
        <v>2288</v>
      </c>
      <c r="E1026" s="25" t="s">
        <v>2244</v>
      </c>
      <c r="F1026" s="25" t="s">
        <v>1859</v>
      </c>
      <c r="G1026" s="25" t="s">
        <v>37</v>
      </c>
      <c r="H1026" s="25" t="s">
        <v>65</v>
      </c>
      <c r="I1026" s="25" t="s">
        <v>190</v>
      </c>
      <c r="J1026" s="25" t="s">
        <v>191</v>
      </c>
      <c r="K1026" s="25" t="s">
        <v>298</v>
      </c>
      <c r="L1026" s="25" t="s">
        <v>30</v>
      </c>
      <c r="M1026" s="25" t="n">
        <v>3609</v>
      </c>
      <c r="N1026" s="25" t="n">
        <v>2090</v>
      </c>
      <c r="O1026" s="25"/>
      <c r="P1026" s="26" t="n">
        <f aca="false">(M1026*N1026/1000000)*(INDEX(AreaRate_Vals,MATCH(C1026,AreaRate_Keys,0))+IFERROR(INDEX(GlazingUpg_Vals,MATCH(H1026,GlazingUpg_Keys,0)),0))+INDEX(Hardware_Vals,MATCH("Doors",Hardware_Keys,0))</f>
        <v>24686.992</v>
      </c>
      <c r="Q1026" s="27" t="n">
        <f aca="false">INDEX(Markup_Vals,MATCH("Doors",MarkupCat_Keys,0))</f>
        <v>0.4</v>
      </c>
      <c r="R1026" s="28" t="n">
        <f aca="false">P1026*(1+Q1026)</f>
        <v>34561.7888</v>
      </c>
      <c r="S1026" s="28" t="n">
        <f aca="false">R1026*(1-TradeDiscount)</f>
        <v>30414.374144</v>
      </c>
      <c r="T1026" s="28" t="n">
        <f aca="false">R1026*(1-VolumeDiscount)</f>
        <v>27649.43104</v>
      </c>
    </row>
    <row r="1027" customFormat="false" ht="15" hidden="false" customHeight="false" outlineLevel="0" collapsed="false">
      <c r="A1027" s="29" t="s">
        <v>2289</v>
      </c>
      <c r="B1027" s="29" t="s">
        <v>97</v>
      </c>
      <c r="C1027" s="29" t="s">
        <v>50</v>
      </c>
      <c r="D1027" s="29" t="s">
        <v>2290</v>
      </c>
      <c r="E1027" s="29" t="s">
        <v>2244</v>
      </c>
      <c r="F1027" s="29" t="s">
        <v>1859</v>
      </c>
      <c r="G1027" s="29" t="s">
        <v>39</v>
      </c>
      <c r="H1027" s="29" t="s">
        <v>65</v>
      </c>
      <c r="I1027" s="29" t="s">
        <v>190</v>
      </c>
      <c r="J1027" s="29" t="s">
        <v>191</v>
      </c>
      <c r="K1027" s="29" t="s">
        <v>298</v>
      </c>
      <c r="L1027" s="29" t="s">
        <v>30</v>
      </c>
      <c r="M1027" s="29" t="n">
        <v>3609</v>
      </c>
      <c r="N1027" s="29" t="n">
        <v>2090</v>
      </c>
      <c r="O1027" s="29"/>
      <c r="P1027" s="30" t="n">
        <f aca="false">(M1027*N1027/1000000)*(INDEX(AreaRate_Vals,MATCH(C1027,AreaRate_Keys,0))+IFERROR(INDEX(GlazingUpg_Vals,MATCH(H1027,GlazingUpg_Keys,0)),0))+INDEX(Hardware_Vals,MATCH("Doors",Hardware_Keys,0))</f>
        <v>24686.992</v>
      </c>
      <c r="Q1027" s="31" t="n">
        <f aca="false">INDEX(Markup_Vals,MATCH("Doors",MarkupCat_Keys,0))</f>
        <v>0.4</v>
      </c>
      <c r="R1027" s="32" t="n">
        <f aca="false">P1027*(1+Q1027)</f>
        <v>34561.7888</v>
      </c>
      <c r="S1027" s="32" t="n">
        <f aca="false">R1027*(1-TradeDiscount)</f>
        <v>30414.374144</v>
      </c>
      <c r="T1027" s="32" t="n">
        <f aca="false">R1027*(1-VolumeDiscount)</f>
        <v>27649.43104</v>
      </c>
    </row>
    <row r="1028" customFormat="false" ht="15" hidden="false" customHeight="false" outlineLevel="0" collapsed="false">
      <c r="A1028" s="25" t="s">
        <v>2291</v>
      </c>
      <c r="B1028" s="25" t="s">
        <v>97</v>
      </c>
      <c r="C1028" s="25" t="s">
        <v>50</v>
      </c>
      <c r="D1028" s="25" t="s">
        <v>2292</v>
      </c>
      <c r="E1028" s="25" t="s">
        <v>2244</v>
      </c>
      <c r="F1028" s="25" t="s">
        <v>1859</v>
      </c>
      <c r="G1028" s="25" t="s">
        <v>38</v>
      </c>
      <c r="H1028" s="25" t="s">
        <v>65</v>
      </c>
      <c r="I1028" s="25" t="s">
        <v>190</v>
      </c>
      <c r="J1028" s="25" t="s">
        <v>191</v>
      </c>
      <c r="K1028" s="25" t="s">
        <v>298</v>
      </c>
      <c r="L1028" s="25" t="s">
        <v>30</v>
      </c>
      <c r="M1028" s="25" t="n">
        <v>3609</v>
      </c>
      <c r="N1028" s="25" t="n">
        <v>2090</v>
      </c>
      <c r="O1028" s="25"/>
      <c r="P1028" s="26" t="n">
        <f aca="false">(M1028*N1028/1000000)*(INDEX(AreaRate_Vals,MATCH(C1028,AreaRate_Keys,0))+IFERROR(INDEX(GlazingUpg_Vals,MATCH(H1028,GlazingUpg_Keys,0)),0))+INDEX(Hardware_Vals,MATCH("Doors",Hardware_Keys,0))</f>
        <v>24686.992</v>
      </c>
      <c r="Q1028" s="27" t="n">
        <f aca="false">INDEX(Markup_Vals,MATCH("Doors",MarkupCat_Keys,0))</f>
        <v>0.4</v>
      </c>
      <c r="R1028" s="28" t="n">
        <f aca="false">P1028*(1+Q1028)</f>
        <v>34561.7888</v>
      </c>
      <c r="S1028" s="28" t="n">
        <f aca="false">R1028*(1-TradeDiscount)</f>
        <v>30414.374144</v>
      </c>
      <c r="T1028" s="28" t="n">
        <f aca="false">R1028*(1-VolumeDiscount)</f>
        <v>27649.43104</v>
      </c>
    </row>
    <row r="1029" customFormat="false" ht="15" hidden="false" customHeight="false" outlineLevel="0" collapsed="false">
      <c r="A1029" s="29" t="s">
        <v>2293</v>
      </c>
      <c r="B1029" s="29" t="s">
        <v>97</v>
      </c>
      <c r="C1029" s="29" t="s">
        <v>50</v>
      </c>
      <c r="D1029" s="29" t="s">
        <v>2294</v>
      </c>
      <c r="E1029" s="29" t="s">
        <v>2244</v>
      </c>
      <c r="F1029" s="29" t="s">
        <v>1859</v>
      </c>
      <c r="G1029" s="29" t="s">
        <v>35</v>
      </c>
      <c r="H1029" s="29" t="s">
        <v>66</v>
      </c>
      <c r="I1029" s="29" t="s">
        <v>190</v>
      </c>
      <c r="J1029" s="29" t="s">
        <v>191</v>
      </c>
      <c r="K1029" s="29" t="s">
        <v>298</v>
      </c>
      <c r="L1029" s="29" t="s">
        <v>30</v>
      </c>
      <c r="M1029" s="29" t="n">
        <v>3609</v>
      </c>
      <c r="N1029" s="29" t="n">
        <v>2090</v>
      </c>
      <c r="O1029" s="29"/>
      <c r="P1029" s="30" t="n">
        <f aca="false">(M1029*N1029/1000000)*(INDEX(AreaRate_Vals,MATCH(C1029,AreaRate_Keys,0))+IFERROR(INDEX(GlazingUpg_Vals,MATCH(H1029,GlazingUpg_Keys,0)),0))+INDEX(Hardware_Vals,MATCH("Doors",Hardware_Keys,0))</f>
        <v>29966.959</v>
      </c>
      <c r="Q1029" s="31" t="n">
        <f aca="false">INDEX(Markup_Vals,MATCH("Doors",MarkupCat_Keys,0))</f>
        <v>0.4</v>
      </c>
      <c r="R1029" s="32" t="n">
        <f aca="false">P1029*(1+Q1029)</f>
        <v>41953.7426</v>
      </c>
      <c r="S1029" s="32" t="n">
        <f aca="false">R1029*(1-TradeDiscount)</f>
        <v>36919.293488</v>
      </c>
      <c r="T1029" s="32" t="n">
        <f aca="false">R1029*(1-VolumeDiscount)</f>
        <v>33562.99408</v>
      </c>
    </row>
    <row r="1030" customFormat="false" ht="15" hidden="false" customHeight="false" outlineLevel="0" collapsed="false">
      <c r="A1030" s="25" t="s">
        <v>2295</v>
      </c>
      <c r="B1030" s="25" t="s">
        <v>97</v>
      </c>
      <c r="C1030" s="25" t="s">
        <v>50</v>
      </c>
      <c r="D1030" s="25" t="s">
        <v>2296</v>
      </c>
      <c r="E1030" s="25" t="s">
        <v>2244</v>
      </c>
      <c r="F1030" s="25" t="s">
        <v>1859</v>
      </c>
      <c r="G1030" s="25" t="s">
        <v>36</v>
      </c>
      <c r="H1030" s="25" t="s">
        <v>66</v>
      </c>
      <c r="I1030" s="25" t="s">
        <v>190</v>
      </c>
      <c r="J1030" s="25" t="s">
        <v>191</v>
      </c>
      <c r="K1030" s="25" t="s">
        <v>298</v>
      </c>
      <c r="L1030" s="25" t="s">
        <v>30</v>
      </c>
      <c r="M1030" s="25" t="n">
        <v>3609</v>
      </c>
      <c r="N1030" s="25" t="n">
        <v>2090</v>
      </c>
      <c r="O1030" s="25"/>
      <c r="P1030" s="26" t="n">
        <f aca="false">(M1030*N1030/1000000)*(INDEX(AreaRate_Vals,MATCH(C1030,AreaRate_Keys,0))+IFERROR(INDEX(GlazingUpg_Vals,MATCH(H1030,GlazingUpg_Keys,0)),0))+INDEX(Hardware_Vals,MATCH("Doors",Hardware_Keys,0))</f>
        <v>29966.959</v>
      </c>
      <c r="Q1030" s="27" t="n">
        <f aca="false">INDEX(Markup_Vals,MATCH("Doors",MarkupCat_Keys,0))</f>
        <v>0.4</v>
      </c>
      <c r="R1030" s="28" t="n">
        <f aca="false">P1030*(1+Q1030)</f>
        <v>41953.7426</v>
      </c>
      <c r="S1030" s="28" t="n">
        <f aca="false">R1030*(1-TradeDiscount)</f>
        <v>36919.293488</v>
      </c>
      <c r="T1030" s="28" t="n">
        <f aca="false">R1030*(1-VolumeDiscount)</f>
        <v>33562.99408</v>
      </c>
    </row>
    <row r="1031" customFormat="false" ht="15" hidden="false" customHeight="false" outlineLevel="0" collapsed="false">
      <c r="A1031" s="29" t="s">
        <v>2297</v>
      </c>
      <c r="B1031" s="29" t="s">
        <v>97</v>
      </c>
      <c r="C1031" s="29" t="s">
        <v>50</v>
      </c>
      <c r="D1031" s="29" t="s">
        <v>2298</v>
      </c>
      <c r="E1031" s="29" t="s">
        <v>2244</v>
      </c>
      <c r="F1031" s="29" t="s">
        <v>1859</v>
      </c>
      <c r="G1031" s="29" t="s">
        <v>37</v>
      </c>
      <c r="H1031" s="29" t="s">
        <v>66</v>
      </c>
      <c r="I1031" s="29" t="s">
        <v>190</v>
      </c>
      <c r="J1031" s="29" t="s">
        <v>191</v>
      </c>
      <c r="K1031" s="29" t="s">
        <v>298</v>
      </c>
      <c r="L1031" s="29" t="s">
        <v>30</v>
      </c>
      <c r="M1031" s="29" t="n">
        <v>3609</v>
      </c>
      <c r="N1031" s="29" t="n">
        <v>2090</v>
      </c>
      <c r="O1031" s="29"/>
      <c r="P1031" s="30" t="n">
        <f aca="false">(M1031*N1031/1000000)*(INDEX(AreaRate_Vals,MATCH(C1031,AreaRate_Keys,0))+IFERROR(INDEX(GlazingUpg_Vals,MATCH(H1031,GlazingUpg_Keys,0)),0))+INDEX(Hardware_Vals,MATCH("Doors",Hardware_Keys,0))</f>
        <v>29966.959</v>
      </c>
      <c r="Q1031" s="31" t="n">
        <f aca="false">INDEX(Markup_Vals,MATCH("Doors",MarkupCat_Keys,0))</f>
        <v>0.4</v>
      </c>
      <c r="R1031" s="32" t="n">
        <f aca="false">P1031*(1+Q1031)</f>
        <v>41953.7426</v>
      </c>
      <c r="S1031" s="32" t="n">
        <f aca="false">R1031*(1-TradeDiscount)</f>
        <v>36919.293488</v>
      </c>
      <c r="T1031" s="32" t="n">
        <f aca="false">R1031*(1-VolumeDiscount)</f>
        <v>33562.99408</v>
      </c>
    </row>
    <row r="1032" customFormat="false" ht="15" hidden="false" customHeight="false" outlineLevel="0" collapsed="false">
      <c r="A1032" s="25" t="s">
        <v>2299</v>
      </c>
      <c r="B1032" s="25" t="s">
        <v>97</v>
      </c>
      <c r="C1032" s="25" t="s">
        <v>50</v>
      </c>
      <c r="D1032" s="25" t="s">
        <v>2300</v>
      </c>
      <c r="E1032" s="25" t="s">
        <v>2244</v>
      </c>
      <c r="F1032" s="25" t="s">
        <v>1859</v>
      </c>
      <c r="G1032" s="25" t="s">
        <v>39</v>
      </c>
      <c r="H1032" s="25" t="s">
        <v>66</v>
      </c>
      <c r="I1032" s="25" t="s">
        <v>190</v>
      </c>
      <c r="J1032" s="25" t="s">
        <v>191</v>
      </c>
      <c r="K1032" s="25" t="s">
        <v>298</v>
      </c>
      <c r="L1032" s="25" t="s">
        <v>30</v>
      </c>
      <c r="M1032" s="25" t="n">
        <v>3609</v>
      </c>
      <c r="N1032" s="25" t="n">
        <v>2090</v>
      </c>
      <c r="O1032" s="25"/>
      <c r="P1032" s="26" t="n">
        <f aca="false">(M1032*N1032/1000000)*(INDEX(AreaRate_Vals,MATCH(C1032,AreaRate_Keys,0))+IFERROR(INDEX(GlazingUpg_Vals,MATCH(H1032,GlazingUpg_Keys,0)),0))+INDEX(Hardware_Vals,MATCH("Doors",Hardware_Keys,0))</f>
        <v>29966.959</v>
      </c>
      <c r="Q1032" s="27" t="n">
        <f aca="false">INDEX(Markup_Vals,MATCH("Doors",MarkupCat_Keys,0))</f>
        <v>0.4</v>
      </c>
      <c r="R1032" s="28" t="n">
        <f aca="false">P1032*(1+Q1032)</f>
        <v>41953.7426</v>
      </c>
      <c r="S1032" s="28" t="n">
        <f aca="false">R1032*(1-TradeDiscount)</f>
        <v>36919.293488</v>
      </c>
      <c r="T1032" s="28" t="n">
        <f aca="false">R1032*(1-VolumeDiscount)</f>
        <v>33562.99408</v>
      </c>
    </row>
    <row r="1033" customFormat="false" ht="15" hidden="false" customHeight="false" outlineLevel="0" collapsed="false">
      <c r="A1033" s="29" t="s">
        <v>2301</v>
      </c>
      <c r="B1033" s="29" t="s">
        <v>97</v>
      </c>
      <c r="C1033" s="29" t="s">
        <v>50</v>
      </c>
      <c r="D1033" s="29" t="s">
        <v>2302</v>
      </c>
      <c r="E1033" s="29" t="s">
        <v>2244</v>
      </c>
      <c r="F1033" s="29" t="s">
        <v>1859</v>
      </c>
      <c r="G1033" s="29" t="s">
        <v>38</v>
      </c>
      <c r="H1033" s="29" t="s">
        <v>66</v>
      </c>
      <c r="I1033" s="29" t="s">
        <v>190</v>
      </c>
      <c r="J1033" s="29" t="s">
        <v>191</v>
      </c>
      <c r="K1033" s="29" t="s">
        <v>298</v>
      </c>
      <c r="L1033" s="29" t="s">
        <v>30</v>
      </c>
      <c r="M1033" s="29" t="n">
        <v>3609</v>
      </c>
      <c r="N1033" s="29" t="n">
        <v>2090</v>
      </c>
      <c r="O1033" s="29"/>
      <c r="P1033" s="30" t="n">
        <f aca="false">(M1033*N1033/1000000)*(INDEX(AreaRate_Vals,MATCH(C1033,AreaRate_Keys,0))+IFERROR(INDEX(GlazingUpg_Vals,MATCH(H1033,GlazingUpg_Keys,0)),0))+INDEX(Hardware_Vals,MATCH("Doors",Hardware_Keys,0))</f>
        <v>29966.959</v>
      </c>
      <c r="Q1033" s="31" t="n">
        <f aca="false">INDEX(Markup_Vals,MATCH("Doors",MarkupCat_Keys,0))</f>
        <v>0.4</v>
      </c>
      <c r="R1033" s="32" t="n">
        <f aca="false">P1033*(1+Q1033)</f>
        <v>41953.7426</v>
      </c>
      <c r="S1033" s="32" t="n">
        <f aca="false">R1033*(1-TradeDiscount)</f>
        <v>36919.293488</v>
      </c>
      <c r="T1033" s="32" t="n">
        <f aca="false">R1033*(1-VolumeDiscount)</f>
        <v>33562.99408</v>
      </c>
    </row>
    <row r="1034" customFormat="false" ht="15" hidden="false" customHeight="false" outlineLevel="0" collapsed="false">
      <c r="A1034" s="25" t="s">
        <v>2303</v>
      </c>
      <c r="B1034" s="25" t="s">
        <v>97</v>
      </c>
      <c r="C1034" s="25" t="s">
        <v>50</v>
      </c>
      <c r="D1034" s="25" t="s">
        <v>2304</v>
      </c>
      <c r="E1034" s="25" t="s">
        <v>2244</v>
      </c>
      <c r="F1034" s="25" t="s">
        <v>1880</v>
      </c>
      <c r="G1034" s="25" t="s">
        <v>35</v>
      </c>
      <c r="H1034" s="25" t="s">
        <v>65</v>
      </c>
      <c r="I1034" s="25" t="s">
        <v>190</v>
      </c>
      <c r="J1034" s="25" t="s">
        <v>191</v>
      </c>
      <c r="K1034" s="25" t="s">
        <v>298</v>
      </c>
      <c r="L1034" s="25" t="s">
        <v>30</v>
      </c>
      <c r="M1034" s="25" t="n">
        <v>4209</v>
      </c>
      <c r="N1034" s="25" t="n">
        <v>2090</v>
      </c>
      <c r="O1034" s="25"/>
      <c r="P1034" s="26" t="n">
        <f aca="false">(M1034*N1034/1000000)*(INDEX(AreaRate_Vals,MATCH(C1034,AreaRate_Keys,0))+IFERROR(INDEX(GlazingUpg_Vals,MATCH(H1034,GlazingUpg_Keys,0)),0))+INDEX(Hardware_Vals,MATCH("Doors",Hardware_Keys,0))</f>
        <v>28699.792</v>
      </c>
      <c r="Q1034" s="27" t="n">
        <f aca="false">INDEX(Markup_Vals,MATCH("Doors",MarkupCat_Keys,0))</f>
        <v>0.4</v>
      </c>
      <c r="R1034" s="28" t="n">
        <f aca="false">P1034*(1+Q1034)</f>
        <v>40179.7088</v>
      </c>
      <c r="S1034" s="28" t="n">
        <f aca="false">R1034*(1-TradeDiscount)</f>
        <v>35358.143744</v>
      </c>
      <c r="T1034" s="28" t="n">
        <f aca="false">R1034*(1-VolumeDiscount)</f>
        <v>32143.76704</v>
      </c>
    </row>
    <row r="1035" customFormat="false" ht="15" hidden="false" customHeight="false" outlineLevel="0" collapsed="false">
      <c r="A1035" s="29" t="s">
        <v>2305</v>
      </c>
      <c r="B1035" s="29" t="s">
        <v>97</v>
      </c>
      <c r="C1035" s="29" t="s">
        <v>50</v>
      </c>
      <c r="D1035" s="29" t="s">
        <v>2306</v>
      </c>
      <c r="E1035" s="29" t="s">
        <v>2244</v>
      </c>
      <c r="F1035" s="29" t="s">
        <v>1880</v>
      </c>
      <c r="G1035" s="29" t="s">
        <v>36</v>
      </c>
      <c r="H1035" s="29" t="s">
        <v>65</v>
      </c>
      <c r="I1035" s="29" t="s">
        <v>190</v>
      </c>
      <c r="J1035" s="29" t="s">
        <v>191</v>
      </c>
      <c r="K1035" s="29" t="s">
        <v>298</v>
      </c>
      <c r="L1035" s="29" t="s">
        <v>30</v>
      </c>
      <c r="M1035" s="29" t="n">
        <v>4209</v>
      </c>
      <c r="N1035" s="29" t="n">
        <v>2090</v>
      </c>
      <c r="O1035" s="29"/>
      <c r="P1035" s="30" t="n">
        <f aca="false">(M1035*N1035/1000000)*(INDEX(AreaRate_Vals,MATCH(C1035,AreaRate_Keys,0))+IFERROR(INDEX(GlazingUpg_Vals,MATCH(H1035,GlazingUpg_Keys,0)),0))+INDEX(Hardware_Vals,MATCH("Doors",Hardware_Keys,0))</f>
        <v>28699.792</v>
      </c>
      <c r="Q1035" s="31" t="n">
        <f aca="false">INDEX(Markup_Vals,MATCH("Doors",MarkupCat_Keys,0))</f>
        <v>0.4</v>
      </c>
      <c r="R1035" s="32" t="n">
        <f aca="false">P1035*(1+Q1035)</f>
        <v>40179.7088</v>
      </c>
      <c r="S1035" s="32" t="n">
        <f aca="false">R1035*(1-TradeDiscount)</f>
        <v>35358.143744</v>
      </c>
      <c r="T1035" s="32" t="n">
        <f aca="false">R1035*(1-VolumeDiscount)</f>
        <v>32143.76704</v>
      </c>
    </row>
    <row r="1036" customFormat="false" ht="15" hidden="false" customHeight="false" outlineLevel="0" collapsed="false">
      <c r="A1036" s="25" t="s">
        <v>2307</v>
      </c>
      <c r="B1036" s="25" t="s">
        <v>97</v>
      </c>
      <c r="C1036" s="25" t="s">
        <v>50</v>
      </c>
      <c r="D1036" s="25" t="s">
        <v>2308</v>
      </c>
      <c r="E1036" s="25" t="s">
        <v>2244</v>
      </c>
      <c r="F1036" s="25" t="s">
        <v>1880</v>
      </c>
      <c r="G1036" s="25" t="s">
        <v>37</v>
      </c>
      <c r="H1036" s="25" t="s">
        <v>65</v>
      </c>
      <c r="I1036" s="25" t="s">
        <v>190</v>
      </c>
      <c r="J1036" s="25" t="s">
        <v>191</v>
      </c>
      <c r="K1036" s="25" t="s">
        <v>298</v>
      </c>
      <c r="L1036" s="25" t="s">
        <v>30</v>
      </c>
      <c r="M1036" s="25" t="n">
        <v>4209</v>
      </c>
      <c r="N1036" s="25" t="n">
        <v>2090</v>
      </c>
      <c r="O1036" s="25"/>
      <c r="P1036" s="26" t="n">
        <f aca="false">(M1036*N1036/1000000)*(INDEX(AreaRate_Vals,MATCH(C1036,AreaRate_Keys,0))+IFERROR(INDEX(GlazingUpg_Vals,MATCH(H1036,GlazingUpg_Keys,0)),0))+INDEX(Hardware_Vals,MATCH("Doors",Hardware_Keys,0))</f>
        <v>28699.792</v>
      </c>
      <c r="Q1036" s="27" t="n">
        <f aca="false">INDEX(Markup_Vals,MATCH("Doors",MarkupCat_Keys,0))</f>
        <v>0.4</v>
      </c>
      <c r="R1036" s="28" t="n">
        <f aca="false">P1036*(1+Q1036)</f>
        <v>40179.7088</v>
      </c>
      <c r="S1036" s="28" t="n">
        <f aca="false">R1036*(1-TradeDiscount)</f>
        <v>35358.143744</v>
      </c>
      <c r="T1036" s="28" t="n">
        <f aca="false">R1036*(1-VolumeDiscount)</f>
        <v>32143.76704</v>
      </c>
    </row>
    <row r="1037" customFormat="false" ht="15" hidden="false" customHeight="false" outlineLevel="0" collapsed="false">
      <c r="A1037" s="29" t="s">
        <v>2309</v>
      </c>
      <c r="B1037" s="29" t="s">
        <v>97</v>
      </c>
      <c r="C1037" s="29" t="s">
        <v>50</v>
      </c>
      <c r="D1037" s="29" t="s">
        <v>2310</v>
      </c>
      <c r="E1037" s="29" t="s">
        <v>2244</v>
      </c>
      <c r="F1037" s="29" t="s">
        <v>1880</v>
      </c>
      <c r="G1037" s="29" t="s">
        <v>39</v>
      </c>
      <c r="H1037" s="29" t="s">
        <v>65</v>
      </c>
      <c r="I1037" s="29" t="s">
        <v>190</v>
      </c>
      <c r="J1037" s="29" t="s">
        <v>191</v>
      </c>
      <c r="K1037" s="29" t="s">
        <v>298</v>
      </c>
      <c r="L1037" s="29" t="s">
        <v>30</v>
      </c>
      <c r="M1037" s="29" t="n">
        <v>4209</v>
      </c>
      <c r="N1037" s="29" t="n">
        <v>2090</v>
      </c>
      <c r="O1037" s="29"/>
      <c r="P1037" s="30" t="n">
        <f aca="false">(M1037*N1037/1000000)*(INDEX(AreaRate_Vals,MATCH(C1037,AreaRate_Keys,0))+IFERROR(INDEX(GlazingUpg_Vals,MATCH(H1037,GlazingUpg_Keys,0)),0))+INDEX(Hardware_Vals,MATCH("Doors",Hardware_Keys,0))</f>
        <v>28699.792</v>
      </c>
      <c r="Q1037" s="31" t="n">
        <f aca="false">INDEX(Markup_Vals,MATCH("Doors",MarkupCat_Keys,0))</f>
        <v>0.4</v>
      </c>
      <c r="R1037" s="32" t="n">
        <f aca="false">P1037*(1+Q1037)</f>
        <v>40179.7088</v>
      </c>
      <c r="S1037" s="32" t="n">
        <f aca="false">R1037*(1-TradeDiscount)</f>
        <v>35358.143744</v>
      </c>
      <c r="T1037" s="32" t="n">
        <f aca="false">R1037*(1-VolumeDiscount)</f>
        <v>32143.76704</v>
      </c>
    </row>
    <row r="1038" customFormat="false" ht="15" hidden="false" customHeight="false" outlineLevel="0" collapsed="false">
      <c r="A1038" s="25" t="s">
        <v>2311</v>
      </c>
      <c r="B1038" s="25" t="s">
        <v>97</v>
      </c>
      <c r="C1038" s="25" t="s">
        <v>50</v>
      </c>
      <c r="D1038" s="25" t="s">
        <v>2312</v>
      </c>
      <c r="E1038" s="25" t="s">
        <v>2244</v>
      </c>
      <c r="F1038" s="25" t="s">
        <v>1880</v>
      </c>
      <c r="G1038" s="25" t="s">
        <v>38</v>
      </c>
      <c r="H1038" s="25" t="s">
        <v>65</v>
      </c>
      <c r="I1038" s="25" t="s">
        <v>190</v>
      </c>
      <c r="J1038" s="25" t="s">
        <v>191</v>
      </c>
      <c r="K1038" s="25" t="s">
        <v>298</v>
      </c>
      <c r="L1038" s="25" t="s">
        <v>30</v>
      </c>
      <c r="M1038" s="25" t="n">
        <v>4209</v>
      </c>
      <c r="N1038" s="25" t="n">
        <v>2090</v>
      </c>
      <c r="O1038" s="25"/>
      <c r="P1038" s="26" t="n">
        <f aca="false">(M1038*N1038/1000000)*(INDEX(AreaRate_Vals,MATCH(C1038,AreaRate_Keys,0))+IFERROR(INDEX(GlazingUpg_Vals,MATCH(H1038,GlazingUpg_Keys,0)),0))+INDEX(Hardware_Vals,MATCH("Doors",Hardware_Keys,0))</f>
        <v>28699.792</v>
      </c>
      <c r="Q1038" s="27" t="n">
        <f aca="false">INDEX(Markup_Vals,MATCH("Doors",MarkupCat_Keys,0))</f>
        <v>0.4</v>
      </c>
      <c r="R1038" s="28" t="n">
        <f aca="false">P1038*(1+Q1038)</f>
        <v>40179.7088</v>
      </c>
      <c r="S1038" s="28" t="n">
        <f aca="false">R1038*(1-TradeDiscount)</f>
        <v>35358.143744</v>
      </c>
      <c r="T1038" s="28" t="n">
        <f aca="false">R1038*(1-VolumeDiscount)</f>
        <v>32143.76704</v>
      </c>
    </row>
    <row r="1039" customFormat="false" ht="15" hidden="false" customHeight="false" outlineLevel="0" collapsed="false">
      <c r="A1039" s="29" t="s">
        <v>2313</v>
      </c>
      <c r="B1039" s="29" t="s">
        <v>97</v>
      </c>
      <c r="C1039" s="29" t="s">
        <v>50</v>
      </c>
      <c r="D1039" s="29" t="s">
        <v>2314</v>
      </c>
      <c r="E1039" s="29" t="s">
        <v>2244</v>
      </c>
      <c r="F1039" s="29" t="s">
        <v>1880</v>
      </c>
      <c r="G1039" s="29" t="s">
        <v>35</v>
      </c>
      <c r="H1039" s="29" t="s">
        <v>66</v>
      </c>
      <c r="I1039" s="29" t="s">
        <v>190</v>
      </c>
      <c r="J1039" s="29" t="s">
        <v>191</v>
      </c>
      <c r="K1039" s="29" t="s">
        <v>298</v>
      </c>
      <c r="L1039" s="29" t="s">
        <v>30</v>
      </c>
      <c r="M1039" s="29" t="n">
        <v>4209</v>
      </c>
      <c r="N1039" s="29" t="n">
        <v>2090</v>
      </c>
      <c r="O1039" s="29"/>
      <c r="P1039" s="30" t="n">
        <f aca="false">(M1039*N1039/1000000)*(INDEX(AreaRate_Vals,MATCH(C1039,AreaRate_Keys,0))+IFERROR(INDEX(GlazingUpg_Vals,MATCH(H1039,GlazingUpg_Keys,0)),0))+INDEX(Hardware_Vals,MATCH("Doors",Hardware_Keys,0))</f>
        <v>34857.559</v>
      </c>
      <c r="Q1039" s="31" t="n">
        <f aca="false">INDEX(Markup_Vals,MATCH("Doors",MarkupCat_Keys,0))</f>
        <v>0.4</v>
      </c>
      <c r="R1039" s="32" t="n">
        <f aca="false">P1039*(1+Q1039)</f>
        <v>48800.5826</v>
      </c>
      <c r="S1039" s="32" t="n">
        <f aca="false">R1039*(1-TradeDiscount)</f>
        <v>42944.512688</v>
      </c>
      <c r="T1039" s="32" t="n">
        <f aca="false">R1039*(1-VolumeDiscount)</f>
        <v>39040.46608</v>
      </c>
    </row>
    <row r="1040" customFormat="false" ht="15" hidden="false" customHeight="false" outlineLevel="0" collapsed="false">
      <c r="A1040" s="25" t="s">
        <v>2315</v>
      </c>
      <c r="B1040" s="25" t="s">
        <v>97</v>
      </c>
      <c r="C1040" s="25" t="s">
        <v>50</v>
      </c>
      <c r="D1040" s="25" t="s">
        <v>2316</v>
      </c>
      <c r="E1040" s="25" t="s">
        <v>2244</v>
      </c>
      <c r="F1040" s="25" t="s">
        <v>1880</v>
      </c>
      <c r="G1040" s="25" t="s">
        <v>36</v>
      </c>
      <c r="H1040" s="25" t="s">
        <v>66</v>
      </c>
      <c r="I1040" s="25" t="s">
        <v>190</v>
      </c>
      <c r="J1040" s="25" t="s">
        <v>191</v>
      </c>
      <c r="K1040" s="25" t="s">
        <v>298</v>
      </c>
      <c r="L1040" s="25" t="s">
        <v>30</v>
      </c>
      <c r="M1040" s="25" t="n">
        <v>4209</v>
      </c>
      <c r="N1040" s="25" t="n">
        <v>2090</v>
      </c>
      <c r="O1040" s="25"/>
      <c r="P1040" s="26" t="n">
        <f aca="false">(M1040*N1040/1000000)*(INDEX(AreaRate_Vals,MATCH(C1040,AreaRate_Keys,0))+IFERROR(INDEX(GlazingUpg_Vals,MATCH(H1040,GlazingUpg_Keys,0)),0))+INDEX(Hardware_Vals,MATCH("Doors",Hardware_Keys,0))</f>
        <v>34857.559</v>
      </c>
      <c r="Q1040" s="27" t="n">
        <f aca="false">INDEX(Markup_Vals,MATCH("Doors",MarkupCat_Keys,0))</f>
        <v>0.4</v>
      </c>
      <c r="R1040" s="28" t="n">
        <f aca="false">P1040*(1+Q1040)</f>
        <v>48800.5826</v>
      </c>
      <c r="S1040" s="28" t="n">
        <f aca="false">R1040*(1-TradeDiscount)</f>
        <v>42944.512688</v>
      </c>
      <c r="T1040" s="28" t="n">
        <f aca="false">R1040*(1-VolumeDiscount)</f>
        <v>39040.46608</v>
      </c>
    </row>
    <row r="1041" customFormat="false" ht="15" hidden="false" customHeight="false" outlineLevel="0" collapsed="false">
      <c r="A1041" s="29" t="s">
        <v>2317</v>
      </c>
      <c r="B1041" s="29" t="s">
        <v>97</v>
      </c>
      <c r="C1041" s="29" t="s">
        <v>50</v>
      </c>
      <c r="D1041" s="29" t="s">
        <v>2318</v>
      </c>
      <c r="E1041" s="29" t="s">
        <v>2244</v>
      </c>
      <c r="F1041" s="29" t="s">
        <v>1880</v>
      </c>
      <c r="G1041" s="29" t="s">
        <v>37</v>
      </c>
      <c r="H1041" s="29" t="s">
        <v>66</v>
      </c>
      <c r="I1041" s="29" t="s">
        <v>190</v>
      </c>
      <c r="J1041" s="29" t="s">
        <v>191</v>
      </c>
      <c r="K1041" s="29" t="s">
        <v>298</v>
      </c>
      <c r="L1041" s="29" t="s">
        <v>30</v>
      </c>
      <c r="M1041" s="29" t="n">
        <v>4209</v>
      </c>
      <c r="N1041" s="29" t="n">
        <v>2090</v>
      </c>
      <c r="O1041" s="29"/>
      <c r="P1041" s="30" t="n">
        <f aca="false">(M1041*N1041/1000000)*(INDEX(AreaRate_Vals,MATCH(C1041,AreaRate_Keys,0))+IFERROR(INDEX(GlazingUpg_Vals,MATCH(H1041,GlazingUpg_Keys,0)),0))+INDEX(Hardware_Vals,MATCH("Doors",Hardware_Keys,0))</f>
        <v>34857.559</v>
      </c>
      <c r="Q1041" s="31" t="n">
        <f aca="false">INDEX(Markup_Vals,MATCH("Doors",MarkupCat_Keys,0))</f>
        <v>0.4</v>
      </c>
      <c r="R1041" s="32" t="n">
        <f aca="false">P1041*(1+Q1041)</f>
        <v>48800.5826</v>
      </c>
      <c r="S1041" s="32" t="n">
        <f aca="false">R1041*(1-TradeDiscount)</f>
        <v>42944.512688</v>
      </c>
      <c r="T1041" s="32" t="n">
        <f aca="false">R1041*(1-VolumeDiscount)</f>
        <v>39040.46608</v>
      </c>
    </row>
    <row r="1042" customFormat="false" ht="15" hidden="false" customHeight="false" outlineLevel="0" collapsed="false">
      <c r="A1042" s="25" t="s">
        <v>2319</v>
      </c>
      <c r="B1042" s="25" t="s">
        <v>97</v>
      </c>
      <c r="C1042" s="25" t="s">
        <v>50</v>
      </c>
      <c r="D1042" s="25" t="s">
        <v>2320</v>
      </c>
      <c r="E1042" s="25" t="s">
        <v>2244</v>
      </c>
      <c r="F1042" s="25" t="s">
        <v>1880</v>
      </c>
      <c r="G1042" s="25" t="s">
        <v>39</v>
      </c>
      <c r="H1042" s="25" t="s">
        <v>66</v>
      </c>
      <c r="I1042" s="25" t="s">
        <v>190</v>
      </c>
      <c r="J1042" s="25" t="s">
        <v>191</v>
      </c>
      <c r="K1042" s="25" t="s">
        <v>298</v>
      </c>
      <c r="L1042" s="25" t="s">
        <v>30</v>
      </c>
      <c r="M1042" s="25" t="n">
        <v>4209</v>
      </c>
      <c r="N1042" s="25" t="n">
        <v>2090</v>
      </c>
      <c r="O1042" s="25"/>
      <c r="P1042" s="26" t="n">
        <f aca="false">(M1042*N1042/1000000)*(INDEX(AreaRate_Vals,MATCH(C1042,AreaRate_Keys,0))+IFERROR(INDEX(GlazingUpg_Vals,MATCH(H1042,GlazingUpg_Keys,0)),0))+INDEX(Hardware_Vals,MATCH("Doors",Hardware_Keys,0))</f>
        <v>34857.559</v>
      </c>
      <c r="Q1042" s="27" t="n">
        <f aca="false">INDEX(Markup_Vals,MATCH("Doors",MarkupCat_Keys,0))</f>
        <v>0.4</v>
      </c>
      <c r="R1042" s="28" t="n">
        <f aca="false">P1042*(1+Q1042)</f>
        <v>48800.5826</v>
      </c>
      <c r="S1042" s="28" t="n">
        <f aca="false">R1042*(1-TradeDiscount)</f>
        <v>42944.512688</v>
      </c>
      <c r="T1042" s="28" t="n">
        <f aca="false">R1042*(1-VolumeDiscount)</f>
        <v>39040.46608</v>
      </c>
    </row>
    <row r="1043" customFormat="false" ht="15" hidden="false" customHeight="false" outlineLevel="0" collapsed="false">
      <c r="A1043" s="29" t="s">
        <v>2321</v>
      </c>
      <c r="B1043" s="29" t="s">
        <v>97</v>
      </c>
      <c r="C1043" s="29" t="s">
        <v>50</v>
      </c>
      <c r="D1043" s="29" t="s">
        <v>2322</v>
      </c>
      <c r="E1043" s="29" t="s">
        <v>2244</v>
      </c>
      <c r="F1043" s="29" t="s">
        <v>1880</v>
      </c>
      <c r="G1043" s="29" t="s">
        <v>38</v>
      </c>
      <c r="H1043" s="29" t="s">
        <v>66</v>
      </c>
      <c r="I1043" s="29" t="s">
        <v>190</v>
      </c>
      <c r="J1043" s="29" t="s">
        <v>191</v>
      </c>
      <c r="K1043" s="29" t="s">
        <v>298</v>
      </c>
      <c r="L1043" s="29" t="s">
        <v>30</v>
      </c>
      <c r="M1043" s="29" t="n">
        <v>4209</v>
      </c>
      <c r="N1043" s="29" t="n">
        <v>2090</v>
      </c>
      <c r="O1043" s="29"/>
      <c r="P1043" s="30" t="n">
        <f aca="false">(M1043*N1043/1000000)*(INDEX(AreaRate_Vals,MATCH(C1043,AreaRate_Keys,0))+IFERROR(INDEX(GlazingUpg_Vals,MATCH(H1043,GlazingUpg_Keys,0)),0))+INDEX(Hardware_Vals,MATCH("Doors",Hardware_Keys,0))</f>
        <v>34857.559</v>
      </c>
      <c r="Q1043" s="31" t="n">
        <f aca="false">INDEX(Markup_Vals,MATCH("Doors",MarkupCat_Keys,0))</f>
        <v>0.4</v>
      </c>
      <c r="R1043" s="32" t="n">
        <f aca="false">P1043*(1+Q1043)</f>
        <v>48800.5826</v>
      </c>
      <c r="S1043" s="32" t="n">
        <f aca="false">R1043*(1-TradeDiscount)</f>
        <v>42944.512688</v>
      </c>
      <c r="T1043" s="32" t="n">
        <f aca="false">R1043*(1-VolumeDiscount)</f>
        <v>39040.46608</v>
      </c>
    </row>
    <row r="1044" customFormat="false" ht="15" hidden="false" customHeight="false" outlineLevel="0" collapsed="false">
      <c r="A1044" s="25" t="s">
        <v>2323</v>
      </c>
      <c r="B1044" s="25" t="s">
        <v>97</v>
      </c>
      <c r="C1044" s="25" t="s">
        <v>50</v>
      </c>
      <c r="D1044" s="25" t="s">
        <v>2324</v>
      </c>
      <c r="E1044" s="25" t="s">
        <v>2244</v>
      </c>
      <c r="F1044" s="25" t="s">
        <v>1901</v>
      </c>
      <c r="G1044" s="25" t="s">
        <v>35</v>
      </c>
      <c r="H1044" s="25" t="s">
        <v>65</v>
      </c>
      <c r="I1044" s="25" t="s">
        <v>190</v>
      </c>
      <c r="J1044" s="25" t="s">
        <v>191</v>
      </c>
      <c r="K1044" s="25" t="s">
        <v>298</v>
      </c>
      <c r="L1044" s="25" t="s">
        <v>30</v>
      </c>
      <c r="M1044" s="25" t="n">
        <v>4809</v>
      </c>
      <c r="N1044" s="25" t="n">
        <v>2090</v>
      </c>
      <c r="O1044" s="25"/>
      <c r="P1044" s="26" t="n">
        <f aca="false">(M1044*N1044/1000000)*(INDEX(AreaRate_Vals,MATCH(C1044,AreaRate_Keys,0))+IFERROR(INDEX(GlazingUpg_Vals,MATCH(H1044,GlazingUpg_Keys,0)),0))+INDEX(Hardware_Vals,MATCH("Doors",Hardware_Keys,0))</f>
        <v>32712.592</v>
      </c>
      <c r="Q1044" s="27" t="n">
        <f aca="false">INDEX(Markup_Vals,MATCH("Doors",MarkupCat_Keys,0))</f>
        <v>0.4</v>
      </c>
      <c r="R1044" s="28" t="n">
        <f aca="false">P1044*(1+Q1044)</f>
        <v>45797.6288</v>
      </c>
      <c r="S1044" s="28" t="n">
        <f aca="false">R1044*(1-TradeDiscount)</f>
        <v>40301.913344</v>
      </c>
      <c r="T1044" s="28" t="n">
        <f aca="false">R1044*(1-VolumeDiscount)</f>
        <v>36638.10304</v>
      </c>
    </row>
    <row r="1045" customFormat="false" ht="15" hidden="false" customHeight="false" outlineLevel="0" collapsed="false">
      <c r="A1045" s="29" t="s">
        <v>2325</v>
      </c>
      <c r="B1045" s="29" t="s">
        <v>97</v>
      </c>
      <c r="C1045" s="29" t="s">
        <v>50</v>
      </c>
      <c r="D1045" s="29" t="s">
        <v>2326</v>
      </c>
      <c r="E1045" s="29" t="s">
        <v>2244</v>
      </c>
      <c r="F1045" s="29" t="s">
        <v>1901</v>
      </c>
      <c r="G1045" s="29" t="s">
        <v>36</v>
      </c>
      <c r="H1045" s="29" t="s">
        <v>65</v>
      </c>
      <c r="I1045" s="29" t="s">
        <v>190</v>
      </c>
      <c r="J1045" s="29" t="s">
        <v>191</v>
      </c>
      <c r="K1045" s="29" t="s">
        <v>298</v>
      </c>
      <c r="L1045" s="29" t="s">
        <v>30</v>
      </c>
      <c r="M1045" s="29" t="n">
        <v>4809</v>
      </c>
      <c r="N1045" s="29" t="n">
        <v>2090</v>
      </c>
      <c r="O1045" s="29"/>
      <c r="P1045" s="30" t="n">
        <f aca="false">(M1045*N1045/1000000)*(INDEX(AreaRate_Vals,MATCH(C1045,AreaRate_Keys,0))+IFERROR(INDEX(GlazingUpg_Vals,MATCH(H1045,GlazingUpg_Keys,0)),0))+INDEX(Hardware_Vals,MATCH("Doors",Hardware_Keys,0))</f>
        <v>32712.592</v>
      </c>
      <c r="Q1045" s="31" t="n">
        <f aca="false">INDEX(Markup_Vals,MATCH("Doors",MarkupCat_Keys,0))</f>
        <v>0.4</v>
      </c>
      <c r="R1045" s="32" t="n">
        <f aca="false">P1045*(1+Q1045)</f>
        <v>45797.6288</v>
      </c>
      <c r="S1045" s="32" t="n">
        <f aca="false">R1045*(1-TradeDiscount)</f>
        <v>40301.913344</v>
      </c>
      <c r="T1045" s="32" t="n">
        <f aca="false">R1045*(1-VolumeDiscount)</f>
        <v>36638.10304</v>
      </c>
    </row>
    <row r="1046" customFormat="false" ht="15" hidden="false" customHeight="false" outlineLevel="0" collapsed="false">
      <c r="A1046" s="25" t="s">
        <v>2327</v>
      </c>
      <c r="B1046" s="25" t="s">
        <v>97</v>
      </c>
      <c r="C1046" s="25" t="s">
        <v>50</v>
      </c>
      <c r="D1046" s="25" t="s">
        <v>2328</v>
      </c>
      <c r="E1046" s="25" t="s">
        <v>2244</v>
      </c>
      <c r="F1046" s="25" t="s">
        <v>1901</v>
      </c>
      <c r="G1046" s="25" t="s">
        <v>37</v>
      </c>
      <c r="H1046" s="25" t="s">
        <v>65</v>
      </c>
      <c r="I1046" s="25" t="s">
        <v>190</v>
      </c>
      <c r="J1046" s="25" t="s">
        <v>191</v>
      </c>
      <c r="K1046" s="25" t="s">
        <v>298</v>
      </c>
      <c r="L1046" s="25" t="s">
        <v>30</v>
      </c>
      <c r="M1046" s="25" t="n">
        <v>4809</v>
      </c>
      <c r="N1046" s="25" t="n">
        <v>2090</v>
      </c>
      <c r="O1046" s="25"/>
      <c r="P1046" s="26" t="n">
        <f aca="false">(M1046*N1046/1000000)*(INDEX(AreaRate_Vals,MATCH(C1046,AreaRate_Keys,0))+IFERROR(INDEX(GlazingUpg_Vals,MATCH(H1046,GlazingUpg_Keys,0)),0))+INDEX(Hardware_Vals,MATCH("Doors",Hardware_Keys,0))</f>
        <v>32712.592</v>
      </c>
      <c r="Q1046" s="27" t="n">
        <f aca="false">INDEX(Markup_Vals,MATCH("Doors",MarkupCat_Keys,0))</f>
        <v>0.4</v>
      </c>
      <c r="R1046" s="28" t="n">
        <f aca="false">P1046*(1+Q1046)</f>
        <v>45797.6288</v>
      </c>
      <c r="S1046" s="28" t="n">
        <f aca="false">R1046*(1-TradeDiscount)</f>
        <v>40301.913344</v>
      </c>
      <c r="T1046" s="28" t="n">
        <f aca="false">R1046*(1-VolumeDiscount)</f>
        <v>36638.10304</v>
      </c>
    </row>
    <row r="1047" customFormat="false" ht="15" hidden="false" customHeight="false" outlineLevel="0" collapsed="false">
      <c r="A1047" s="29" t="s">
        <v>2329</v>
      </c>
      <c r="B1047" s="29" t="s">
        <v>97</v>
      </c>
      <c r="C1047" s="29" t="s">
        <v>50</v>
      </c>
      <c r="D1047" s="29" t="s">
        <v>2330</v>
      </c>
      <c r="E1047" s="29" t="s">
        <v>2244</v>
      </c>
      <c r="F1047" s="29" t="s">
        <v>1901</v>
      </c>
      <c r="G1047" s="29" t="s">
        <v>39</v>
      </c>
      <c r="H1047" s="29" t="s">
        <v>65</v>
      </c>
      <c r="I1047" s="29" t="s">
        <v>190</v>
      </c>
      <c r="J1047" s="29" t="s">
        <v>191</v>
      </c>
      <c r="K1047" s="29" t="s">
        <v>298</v>
      </c>
      <c r="L1047" s="29" t="s">
        <v>30</v>
      </c>
      <c r="M1047" s="29" t="n">
        <v>4809</v>
      </c>
      <c r="N1047" s="29" t="n">
        <v>2090</v>
      </c>
      <c r="O1047" s="29"/>
      <c r="P1047" s="30" t="n">
        <f aca="false">(M1047*N1047/1000000)*(INDEX(AreaRate_Vals,MATCH(C1047,AreaRate_Keys,0))+IFERROR(INDEX(GlazingUpg_Vals,MATCH(H1047,GlazingUpg_Keys,0)),0))+INDEX(Hardware_Vals,MATCH("Doors",Hardware_Keys,0))</f>
        <v>32712.592</v>
      </c>
      <c r="Q1047" s="31" t="n">
        <f aca="false">INDEX(Markup_Vals,MATCH("Doors",MarkupCat_Keys,0))</f>
        <v>0.4</v>
      </c>
      <c r="R1047" s="32" t="n">
        <f aca="false">P1047*(1+Q1047)</f>
        <v>45797.6288</v>
      </c>
      <c r="S1047" s="32" t="n">
        <f aca="false">R1047*(1-TradeDiscount)</f>
        <v>40301.913344</v>
      </c>
      <c r="T1047" s="32" t="n">
        <f aca="false">R1047*(1-VolumeDiscount)</f>
        <v>36638.10304</v>
      </c>
    </row>
    <row r="1048" customFormat="false" ht="15" hidden="false" customHeight="false" outlineLevel="0" collapsed="false">
      <c r="A1048" s="25" t="s">
        <v>2331</v>
      </c>
      <c r="B1048" s="25" t="s">
        <v>97</v>
      </c>
      <c r="C1048" s="25" t="s">
        <v>50</v>
      </c>
      <c r="D1048" s="25" t="s">
        <v>2332</v>
      </c>
      <c r="E1048" s="25" t="s">
        <v>2244</v>
      </c>
      <c r="F1048" s="25" t="s">
        <v>1901</v>
      </c>
      <c r="G1048" s="25" t="s">
        <v>38</v>
      </c>
      <c r="H1048" s="25" t="s">
        <v>65</v>
      </c>
      <c r="I1048" s="25" t="s">
        <v>190</v>
      </c>
      <c r="J1048" s="25" t="s">
        <v>191</v>
      </c>
      <c r="K1048" s="25" t="s">
        <v>298</v>
      </c>
      <c r="L1048" s="25" t="s">
        <v>30</v>
      </c>
      <c r="M1048" s="25" t="n">
        <v>4809</v>
      </c>
      <c r="N1048" s="25" t="n">
        <v>2090</v>
      </c>
      <c r="O1048" s="25"/>
      <c r="P1048" s="26" t="n">
        <f aca="false">(M1048*N1048/1000000)*(INDEX(AreaRate_Vals,MATCH(C1048,AreaRate_Keys,0))+IFERROR(INDEX(GlazingUpg_Vals,MATCH(H1048,GlazingUpg_Keys,0)),0))+INDEX(Hardware_Vals,MATCH("Doors",Hardware_Keys,0))</f>
        <v>32712.592</v>
      </c>
      <c r="Q1048" s="27" t="n">
        <f aca="false">INDEX(Markup_Vals,MATCH("Doors",MarkupCat_Keys,0))</f>
        <v>0.4</v>
      </c>
      <c r="R1048" s="28" t="n">
        <f aca="false">P1048*(1+Q1048)</f>
        <v>45797.6288</v>
      </c>
      <c r="S1048" s="28" t="n">
        <f aca="false">R1048*(1-TradeDiscount)</f>
        <v>40301.913344</v>
      </c>
      <c r="T1048" s="28" t="n">
        <f aca="false">R1048*(1-VolumeDiscount)</f>
        <v>36638.10304</v>
      </c>
    </row>
    <row r="1049" customFormat="false" ht="15" hidden="false" customHeight="false" outlineLevel="0" collapsed="false">
      <c r="A1049" s="29" t="s">
        <v>2333</v>
      </c>
      <c r="B1049" s="29" t="s">
        <v>97</v>
      </c>
      <c r="C1049" s="29" t="s">
        <v>50</v>
      </c>
      <c r="D1049" s="29" t="s">
        <v>2334</v>
      </c>
      <c r="E1049" s="29" t="s">
        <v>2244</v>
      </c>
      <c r="F1049" s="29" t="s">
        <v>1901</v>
      </c>
      <c r="G1049" s="29" t="s">
        <v>35</v>
      </c>
      <c r="H1049" s="29" t="s">
        <v>66</v>
      </c>
      <c r="I1049" s="29" t="s">
        <v>190</v>
      </c>
      <c r="J1049" s="29" t="s">
        <v>191</v>
      </c>
      <c r="K1049" s="29" t="s">
        <v>298</v>
      </c>
      <c r="L1049" s="29" t="s">
        <v>30</v>
      </c>
      <c r="M1049" s="29" t="n">
        <v>4809</v>
      </c>
      <c r="N1049" s="29" t="n">
        <v>2090</v>
      </c>
      <c r="O1049" s="29"/>
      <c r="P1049" s="30" t="n">
        <f aca="false">(M1049*N1049/1000000)*(INDEX(AreaRate_Vals,MATCH(C1049,AreaRate_Keys,0))+IFERROR(INDEX(GlazingUpg_Vals,MATCH(H1049,GlazingUpg_Keys,0)),0))+INDEX(Hardware_Vals,MATCH("Doors",Hardware_Keys,0))</f>
        <v>39748.159</v>
      </c>
      <c r="Q1049" s="31" t="n">
        <f aca="false">INDEX(Markup_Vals,MATCH("Doors",MarkupCat_Keys,0))</f>
        <v>0.4</v>
      </c>
      <c r="R1049" s="32" t="n">
        <f aca="false">P1049*(1+Q1049)</f>
        <v>55647.4226</v>
      </c>
      <c r="S1049" s="32" t="n">
        <f aca="false">R1049*(1-TradeDiscount)</f>
        <v>48969.731888</v>
      </c>
      <c r="T1049" s="32" t="n">
        <f aca="false">R1049*(1-VolumeDiscount)</f>
        <v>44517.93808</v>
      </c>
    </row>
    <row r="1050" customFormat="false" ht="15" hidden="false" customHeight="false" outlineLevel="0" collapsed="false">
      <c r="A1050" s="25" t="s">
        <v>2335</v>
      </c>
      <c r="B1050" s="25" t="s">
        <v>97</v>
      </c>
      <c r="C1050" s="25" t="s">
        <v>50</v>
      </c>
      <c r="D1050" s="25" t="s">
        <v>2336</v>
      </c>
      <c r="E1050" s="25" t="s">
        <v>2244</v>
      </c>
      <c r="F1050" s="25" t="s">
        <v>1901</v>
      </c>
      <c r="G1050" s="25" t="s">
        <v>36</v>
      </c>
      <c r="H1050" s="25" t="s">
        <v>66</v>
      </c>
      <c r="I1050" s="25" t="s">
        <v>190</v>
      </c>
      <c r="J1050" s="25" t="s">
        <v>191</v>
      </c>
      <c r="K1050" s="25" t="s">
        <v>298</v>
      </c>
      <c r="L1050" s="25" t="s">
        <v>30</v>
      </c>
      <c r="M1050" s="25" t="n">
        <v>4809</v>
      </c>
      <c r="N1050" s="25" t="n">
        <v>2090</v>
      </c>
      <c r="O1050" s="25"/>
      <c r="P1050" s="26" t="n">
        <f aca="false">(M1050*N1050/1000000)*(INDEX(AreaRate_Vals,MATCH(C1050,AreaRate_Keys,0))+IFERROR(INDEX(GlazingUpg_Vals,MATCH(H1050,GlazingUpg_Keys,0)),0))+INDEX(Hardware_Vals,MATCH("Doors",Hardware_Keys,0))</f>
        <v>39748.159</v>
      </c>
      <c r="Q1050" s="27" t="n">
        <f aca="false">INDEX(Markup_Vals,MATCH("Doors",MarkupCat_Keys,0))</f>
        <v>0.4</v>
      </c>
      <c r="R1050" s="28" t="n">
        <f aca="false">P1050*(1+Q1050)</f>
        <v>55647.4226</v>
      </c>
      <c r="S1050" s="28" t="n">
        <f aca="false">R1050*(1-TradeDiscount)</f>
        <v>48969.731888</v>
      </c>
      <c r="T1050" s="28" t="n">
        <f aca="false">R1050*(1-VolumeDiscount)</f>
        <v>44517.93808</v>
      </c>
    </row>
    <row r="1051" customFormat="false" ht="15" hidden="false" customHeight="false" outlineLevel="0" collapsed="false">
      <c r="A1051" s="29" t="s">
        <v>2337</v>
      </c>
      <c r="B1051" s="29" t="s">
        <v>97</v>
      </c>
      <c r="C1051" s="29" t="s">
        <v>50</v>
      </c>
      <c r="D1051" s="29" t="s">
        <v>2338</v>
      </c>
      <c r="E1051" s="29" t="s">
        <v>2244</v>
      </c>
      <c r="F1051" s="29" t="s">
        <v>1901</v>
      </c>
      <c r="G1051" s="29" t="s">
        <v>37</v>
      </c>
      <c r="H1051" s="29" t="s">
        <v>66</v>
      </c>
      <c r="I1051" s="29" t="s">
        <v>190</v>
      </c>
      <c r="J1051" s="29" t="s">
        <v>191</v>
      </c>
      <c r="K1051" s="29" t="s">
        <v>298</v>
      </c>
      <c r="L1051" s="29" t="s">
        <v>30</v>
      </c>
      <c r="M1051" s="29" t="n">
        <v>4809</v>
      </c>
      <c r="N1051" s="29" t="n">
        <v>2090</v>
      </c>
      <c r="O1051" s="29"/>
      <c r="P1051" s="30" t="n">
        <f aca="false">(M1051*N1051/1000000)*(INDEX(AreaRate_Vals,MATCH(C1051,AreaRate_Keys,0))+IFERROR(INDEX(GlazingUpg_Vals,MATCH(H1051,GlazingUpg_Keys,0)),0))+INDEX(Hardware_Vals,MATCH("Doors",Hardware_Keys,0))</f>
        <v>39748.159</v>
      </c>
      <c r="Q1051" s="31" t="n">
        <f aca="false">INDEX(Markup_Vals,MATCH("Doors",MarkupCat_Keys,0))</f>
        <v>0.4</v>
      </c>
      <c r="R1051" s="32" t="n">
        <f aca="false">P1051*(1+Q1051)</f>
        <v>55647.4226</v>
      </c>
      <c r="S1051" s="32" t="n">
        <f aca="false">R1051*(1-TradeDiscount)</f>
        <v>48969.731888</v>
      </c>
      <c r="T1051" s="32" t="n">
        <f aca="false">R1051*(1-VolumeDiscount)</f>
        <v>44517.93808</v>
      </c>
    </row>
    <row r="1052" customFormat="false" ht="15" hidden="false" customHeight="false" outlineLevel="0" collapsed="false">
      <c r="A1052" s="25" t="s">
        <v>2339</v>
      </c>
      <c r="B1052" s="25" t="s">
        <v>97</v>
      </c>
      <c r="C1052" s="25" t="s">
        <v>50</v>
      </c>
      <c r="D1052" s="25" t="s">
        <v>2340</v>
      </c>
      <c r="E1052" s="25" t="s">
        <v>2244</v>
      </c>
      <c r="F1052" s="25" t="s">
        <v>1901</v>
      </c>
      <c r="G1052" s="25" t="s">
        <v>39</v>
      </c>
      <c r="H1052" s="25" t="s">
        <v>66</v>
      </c>
      <c r="I1052" s="25" t="s">
        <v>190</v>
      </c>
      <c r="J1052" s="25" t="s">
        <v>191</v>
      </c>
      <c r="K1052" s="25" t="s">
        <v>298</v>
      </c>
      <c r="L1052" s="25" t="s">
        <v>30</v>
      </c>
      <c r="M1052" s="25" t="n">
        <v>4809</v>
      </c>
      <c r="N1052" s="25" t="n">
        <v>2090</v>
      </c>
      <c r="O1052" s="25"/>
      <c r="P1052" s="26" t="n">
        <f aca="false">(M1052*N1052/1000000)*(INDEX(AreaRate_Vals,MATCH(C1052,AreaRate_Keys,0))+IFERROR(INDEX(GlazingUpg_Vals,MATCH(H1052,GlazingUpg_Keys,0)),0))+INDEX(Hardware_Vals,MATCH("Doors",Hardware_Keys,0))</f>
        <v>39748.159</v>
      </c>
      <c r="Q1052" s="27" t="n">
        <f aca="false">INDEX(Markup_Vals,MATCH("Doors",MarkupCat_Keys,0))</f>
        <v>0.4</v>
      </c>
      <c r="R1052" s="28" t="n">
        <f aca="false">P1052*(1+Q1052)</f>
        <v>55647.4226</v>
      </c>
      <c r="S1052" s="28" t="n">
        <f aca="false">R1052*(1-TradeDiscount)</f>
        <v>48969.731888</v>
      </c>
      <c r="T1052" s="28" t="n">
        <f aca="false">R1052*(1-VolumeDiscount)</f>
        <v>44517.93808</v>
      </c>
    </row>
    <row r="1053" customFormat="false" ht="15" hidden="false" customHeight="false" outlineLevel="0" collapsed="false">
      <c r="A1053" s="29" t="s">
        <v>2341</v>
      </c>
      <c r="B1053" s="29" t="s">
        <v>97</v>
      </c>
      <c r="C1053" s="29" t="s">
        <v>50</v>
      </c>
      <c r="D1053" s="29" t="s">
        <v>2342</v>
      </c>
      <c r="E1053" s="29" t="s">
        <v>2244</v>
      </c>
      <c r="F1053" s="29" t="s">
        <v>1901</v>
      </c>
      <c r="G1053" s="29" t="s">
        <v>38</v>
      </c>
      <c r="H1053" s="29" t="s">
        <v>66</v>
      </c>
      <c r="I1053" s="29" t="s">
        <v>190</v>
      </c>
      <c r="J1053" s="29" t="s">
        <v>191</v>
      </c>
      <c r="K1053" s="29" t="s">
        <v>298</v>
      </c>
      <c r="L1053" s="29" t="s">
        <v>30</v>
      </c>
      <c r="M1053" s="29" t="n">
        <v>4809</v>
      </c>
      <c r="N1053" s="29" t="n">
        <v>2090</v>
      </c>
      <c r="O1053" s="29"/>
      <c r="P1053" s="30" t="n">
        <f aca="false">(M1053*N1053/1000000)*(INDEX(AreaRate_Vals,MATCH(C1053,AreaRate_Keys,0))+IFERROR(INDEX(GlazingUpg_Vals,MATCH(H1053,GlazingUpg_Keys,0)),0))+INDEX(Hardware_Vals,MATCH("Doors",Hardware_Keys,0))</f>
        <v>39748.159</v>
      </c>
      <c r="Q1053" s="31" t="n">
        <f aca="false">INDEX(Markup_Vals,MATCH("Doors",MarkupCat_Keys,0))</f>
        <v>0.4</v>
      </c>
      <c r="R1053" s="32" t="n">
        <f aca="false">P1053*(1+Q1053)</f>
        <v>55647.4226</v>
      </c>
      <c r="S1053" s="32" t="n">
        <f aca="false">R1053*(1-TradeDiscount)</f>
        <v>48969.731888</v>
      </c>
      <c r="T1053" s="32" t="n">
        <f aca="false">R1053*(1-VolumeDiscount)</f>
        <v>44517.93808</v>
      </c>
    </row>
    <row r="1054" customFormat="false" ht="15" hidden="false" customHeight="false" outlineLevel="0" collapsed="false">
      <c r="A1054" s="25" t="s">
        <v>2343</v>
      </c>
      <c r="B1054" s="25" t="s">
        <v>97</v>
      </c>
      <c r="C1054" s="25" t="s">
        <v>50</v>
      </c>
      <c r="D1054" s="25" t="s">
        <v>2344</v>
      </c>
      <c r="E1054" s="25" t="s">
        <v>2244</v>
      </c>
      <c r="F1054" s="25" t="s">
        <v>2345</v>
      </c>
      <c r="G1054" s="25" t="s">
        <v>35</v>
      </c>
      <c r="H1054" s="25" t="s">
        <v>65</v>
      </c>
      <c r="I1054" s="25" t="s">
        <v>190</v>
      </c>
      <c r="J1054" s="25" t="s">
        <v>191</v>
      </c>
      <c r="K1054" s="25" t="s">
        <v>298</v>
      </c>
      <c r="L1054" s="25" t="s">
        <v>30</v>
      </c>
      <c r="M1054" s="25" t="n">
        <v>5409</v>
      </c>
      <c r="N1054" s="25" t="n">
        <v>2090</v>
      </c>
      <c r="O1054" s="25"/>
      <c r="P1054" s="26" t="n">
        <f aca="false">(M1054*N1054/1000000)*(INDEX(AreaRate_Vals,MATCH(C1054,AreaRate_Keys,0))+IFERROR(INDEX(GlazingUpg_Vals,MATCH(H1054,GlazingUpg_Keys,0)),0))+INDEX(Hardware_Vals,MATCH("Doors",Hardware_Keys,0))</f>
        <v>36725.392</v>
      </c>
      <c r="Q1054" s="27" t="n">
        <f aca="false">INDEX(Markup_Vals,MATCH("Doors",MarkupCat_Keys,0))</f>
        <v>0.4</v>
      </c>
      <c r="R1054" s="28" t="n">
        <f aca="false">P1054*(1+Q1054)</f>
        <v>51415.5488</v>
      </c>
      <c r="S1054" s="28" t="n">
        <f aca="false">R1054*(1-TradeDiscount)</f>
        <v>45245.682944</v>
      </c>
      <c r="T1054" s="28" t="n">
        <f aca="false">R1054*(1-VolumeDiscount)</f>
        <v>41132.43904</v>
      </c>
    </row>
    <row r="1055" customFormat="false" ht="15" hidden="false" customHeight="false" outlineLevel="0" collapsed="false">
      <c r="A1055" s="29" t="s">
        <v>2346</v>
      </c>
      <c r="B1055" s="29" t="s">
        <v>97</v>
      </c>
      <c r="C1055" s="29" t="s">
        <v>50</v>
      </c>
      <c r="D1055" s="29" t="s">
        <v>2347</v>
      </c>
      <c r="E1055" s="29" t="s">
        <v>2244</v>
      </c>
      <c r="F1055" s="29" t="s">
        <v>2345</v>
      </c>
      <c r="G1055" s="29" t="s">
        <v>36</v>
      </c>
      <c r="H1055" s="29" t="s">
        <v>65</v>
      </c>
      <c r="I1055" s="29" t="s">
        <v>190</v>
      </c>
      <c r="J1055" s="29" t="s">
        <v>191</v>
      </c>
      <c r="K1055" s="29" t="s">
        <v>298</v>
      </c>
      <c r="L1055" s="29" t="s">
        <v>30</v>
      </c>
      <c r="M1055" s="29" t="n">
        <v>5409</v>
      </c>
      <c r="N1055" s="29" t="n">
        <v>2090</v>
      </c>
      <c r="O1055" s="29"/>
      <c r="P1055" s="30" t="n">
        <f aca="false">(M1055*N1055/1000000)*(INDEX(AreaRate_Vals,MATCH(C1055,AreaRate_Keys,0))+IFERROR(INDEX(GlazingUpg_Vals,MATCH(H1055,GlazingUpg_Keys,0)),0))+INDEX(Hardware_Vals,MATCH("Doors",Hardware_Keys,0))</f>
        <v>36725.392</v>
      </c>
      <c r="Q1055" s="31" t="n">
        <f aca="false">INDEX(Markup_Vals,MATCH("Doors",MarkupCat_Keys,0))</f>
        <v>0.4</v>
      </c>
      <c r="R1055" s="32" t="n">
        <f aca="false">P1055*(1+Q1055)</f>
        <v>51415.5488</v>
      </c>
      <c r="S1055" s="32" t="n">
        <f aca="false">R1055*(1-TradeDiscount)</f>
        <v>45245.682944</v>
      </c>
      <c r="T1055" s="32" t="n">
        <f aca="false">R1055*(1-VolumeDiscount)</f>
        <v>41132.43904</v>
      </c>
    </row>
    <row r="1056" customFormat="false" ht="15" hidden="false" customHeight="false" outlineLevel="0" collapsed="false">
      <c r="A1056" s="25" t="s">
        <v>2348</v>
      </c>
      <c r="B1056" s="25" t="s">
        <v>97</v>
      </c>
      <c r="C1056" s="25" t="s">
        <v>50</v>
      </c>
      <c r="D1056" s="25" t="s">
        <v>2349</v>
      </c>
      <c r="E1056" s="25" t="s">
        <v>2244</v>
      </c>
      <c r="F1056" s="25" t="s">
        <v>2345</v>
      </c>
      <c r="G1056" s="25" t="s">
        <v>37</v>
      </c>
      <c r="H1056" s="25" t="s">
        <v>65</v>
      </c>
      <c r="I1056" s="25" t="s">
        <v>190</v>
      </c>
      <c r="J1056" s="25" t="s">
        <v>191</v>
      </c>
      <c r="K1056" s="25" t="s">
        <v>298</v>
      </c>
      <c r="L1056" s="25" t="s">
        <v>30</v>
      </c>
      <c r="M1056" s="25" t="n">
        <v>5409</v>
      </c>
      <c r="N1056" s="25" t="n">
        <v>2090</v>
      </c>
      <c r="O1056" s="25"/>
      <c r="P1056" s="26" t="n">
        <f aca="false">(M1056*N1056/1000000)*(INDEX(AreaRate_Vals,MATCH(C1056,AreaRate_Keys,0))+IFERROR(INDEX(GlazingUpg_Vals,MATCH(H1056,GlazingUpg_Keys,0)),0))+INDEX(Hardware_Vals,MATCH("Doors",Hardware_Keys,0))</f>
        <v>36725.392</v>
      </c>
      <c r="Q1056" s="27" t="n">
        <f aca="false">INDEX(Markup_Vals,MATCH("Doors",MarkupCat_Keys,0))</f>
        <v>0.4</v>
      </c>
      <c r="R1056" s="28" t="n">
        <f aca="false">P1056*(1+Q1056)</f>
        <v>51415.5488</v>
      </c>
      <c r="S1056" s="28" t="n">
        <f aca="false">R1056*(1-TradeDiscount)</f>
        <v>45245.682944</v>
      </c>
      <c r="T1056" s="28" t="n">
        <f aca="false">R1056*(1-VolumeDiscount)</f>
        <v>41132.43904</v>
      </c>
    </row>
    <row r="1057" customFormat="false" ht="15" hidden="false" customHeight="false" outlineLevel="0" collapsed="false">
      <c r="A1057" s="29" t="s">
        <v>2350</v>
      </c>
      <c r="B1057" s="29" t="s">
        <v>97</v>
      </c>
      <c r="C1057" s="29" t="s">
        <v>50</v>
      </c>
      <c r="D1057" s="29" t="s">
        <v>2351</v>
      </c>
      <c r="E1057" s="29" t="s">
        <v>2244</v>
      </c>
      <c r="F1057" s="29" t="s">
        <v>2345</v>
      </c>
      <c r="G1057" s="29" t="s">
        <v>39</v>
      </c>
      <c r="H1057" s="29" t="s">
        <v>65</v>
      </c>
      <c r="I1057" s="29" t="s">
        <v>190</v>
      </c>
      <c r="J1057" s="29" t="s">
        <v>191</v>
      </c>
      <c r="K1057" s="29" t="s">
        <v>298</v>
      </c>
      <c r="L1057" s="29" t="s">
        <v>30</v>
      </c>
      <c r="M1057" s="29" t="n">
        <v>5409</v>
      </c>
      <c r="N1057" s="29" t="n">
        <v>2090</v>
      </c>
      <c r="O1057" s="29"/>
      <c r="P1057" s="30" t="n">
        <f aca="false">(M1057*N1057/1000000)*(INDEX(AreaRate_Vals,MATCH(C1057,AreaRate_Keys,0))+IFERROR(INDEX(GlazingUpg_Vals,MATCH(H1057,GlazingUpg_Keys,0)),0))+INDEX(Hardware_Vals,MATCH("Doors",Hardware_Keys,0))</f>
        <v>36725.392</v>
      </c>
      <c r="Q1057" s="31" t="n">
        <f aca="false">INDEX(Markup_Vals,MATCH("Doors",MarkupCat_Keys,0))</f>
        <v>0.4</v>
      </c>
      <c r="R1057" s="32" t="n">
        <f aca="false">P1057*(1+Q1057)</f>
        <v>51415.5488</v>
      </c>
      <c r="S1057" s="32" t="n">
        <f aca="false">R1057*(1-TradeDiscount)</f>
        <v>45245.682944</v>
      </c>
      <c r="T1057" s="32" t="n">
        <f aca="false">R1057*(1-VolumeDiscount)</f>
        <v>41132.43904</v>
      </c>
    </row>
    <row r="1058" customFormat="false" ht="15" hidden="false" customHeight="false" outlineLevel="0" collapsed="false">
      <c r="A1058" s="25" t="s">
        <v>2352</v>
      </c>
      <c r="B1058" s="25" t="s">
        <v>97</v>
      </c>
      <c r="C1058" s="25" t="s">
        <v>50</v>
      </c>
      <c r="D1058" s="25" t="s">
        <v>2353</v>
      </c>
      <c r="E1058" s="25" t="s">
        <v>2244</v>
      </c>
      <c r="F1058" s="25" t="s">
        <v>2345</v>
      </c>
      <c r="G1058" s="25" t="s">
        <v>38</v>
      </c>
      <c r="H1058" s="25" t="s">
        <v>65</v>
      </c>
      <c r="I1058" s="25" t="s">
        <v>190</v>
      </c>
      <c r="J1058" s="25" t="s">
        <v>191</v>
      </c>
      <c r="K1058" s="25" t="s">
        <v>298</v>
      </c>
      <c r="L1058" s="25" t="s">
        <v>30</v>
      </c>
      <c r="M1058" s="25" t="n">
        <v>5409</v>
      </c>
      <c r="N1058" s="25" t="n">
        <v>2090</v>
      </c>
      <c r="O1058" s="25"/>
      <c r="P1058" s="26" t="n">
        <f aca="false">(M1058*N1058/1000000)*(INDEX(AreaRate_Vals,MATCH(C1058,AreaRate_Keys,0))+IFERROR(INDEX(GlazingUpg_Vals,MATCH(H1058,GlazingUpg_Keys,0)),0))+INDEX(Hardware_Vals,MATCH("Doors",Hardware_Keys,0))</f>
        <v>36725.392</v>
      </c>
      <c r="Q1058" s="27" t="n">
        <f aca="false">INDEX(Markup_Vals,MATCH("Doors",MarkupCat_Keys,0))</f>
        <v>0.4</v>
      </c>
      <c r="R1058" s="28" t="n">
        <f aca="false">P1058*(1+Q1058)</f>
        <v>51415.5488</v>
      </c>
      <c r="S1058" s="28" t="n">
        <f aca="false">R1058*(1-TradeDiscount)</f>
        <v>45245.682944</v>
      </c>
      <c r="T1058" s="28" t="n">
        <f aca="false">R1058*(1-VolumeDiscount)</f>
        <v>41132.43904</v>
      </c>
    </row>
    <row r="1059" customFormat="false" ht="15" hidden="false" customHeight="false" outlineLevel="0" collapsed="false">
      <c r="A1059" s="29" t="s">
        <v>2354</v>
      </c>
      <c r="B1059" s="29" t="s">
        <v>97</v>
      </c>
      <c r="C1059" s="29" t="s">
        <v>50</v>
      </c>
      <c r="D1059" s="29" t="s">
        <v>2355</v>
      </c>
      <c r="E1059" s="29" t="s">
        <v>2244</v>
      </c>
      <c r="F1059" s="29" t="s">
        <v>2345</v>
      </c>
      <c r="G1059" s="29" t="s">
        <v>35</v>
      </c>
      <c r="H1059" s="29" t="s">
        <v>66</v>
      </c>
      <c r="I1059" s="29" t="s">
        <v>190</v>
      </c>
      <c r="J1059" s="29" t="s">
        <v>191</v>
      </c>
      <c r="K1059" s="29" t="s">
        <v>298</v>
      </c>
      <c r="L1059" s="29" t="s">
        <v>30</v>
      </c>
      <c r="M1059" s="29" t="n">
        <v>5409</v>
      </c>
      <c r="N1059" s="29" t="n">
        <v>2090</v>
      </c>
      <c r="O1059" s="29"/>
      <c r="P1059" s="30" t="n">
        <f aca="false">(M1059*N1059/1000000)*(INDEX(AreaRate_Vals,MATCH(C1059,AreaRate_Keys,0))+IFERROR(INDEX(GlazingUpg_Vals,MATCH(H1059,GlazingUpg_Keys,0)),0))+INDEX(Hardware_Vals,MATCH("Doors",Hardware_Keys,0))</f>
        <v>44638.759</v>
      </c>
      <c r="Q1059" s="31" t="n">
        <f aca="false">INDEX(Markup_Vals,MATCH("Doors",MarkupCat_Keys,0))</f>
        <v>0.4</v>
      </c>
      <c r="R1059" s="32" t="n">
        <f aca="false">P1059*(1+Q1059)</f>
        <v>62494.2626</v>
      </c>
      <c r="S1059" s="32" t="n">
        <f aca="false">R1059*(1-TradeDiscount)</f>
        <v>54994.951088</v>
      </c>
      <c r="T1059" s="32" t="n">
        <f aca="false">R1059*(1-VolumeDiscount)</f>
        <v>49995.41008</v>
      </c>
    </row>
    <row r="1060" customFormat="false" ht="15" hidden="false" customHeight="false" outlineLevel="0" collapsed="false">
      <c r="A1060" s="25" t="s">
        <v>2356</v>
      </c>
      <c r="B1060" s="25" t="s">
        <v>97</v>
      </c>
      <c r="C1060" s="25" t="s">
        <v>50</v>
      </c>
      <c r="D1060" s="25" t="s">
        <v>2357</v>
      </c>
      <c r="E1060" s="25" t="s">
        <v>2244</v>
      </c>
      <c r="F1060" s="25" t="s">
        <v>2345</v>
      </c>
      <c r="G1060" s="25" t="s">
        <v>36</v>
      </c>
      <c r="H1060" s="25" t="s">
        <v>66</v>
      </c>
      <c r="I1060" s="25" t="s">
        <v>190</v>
      </c>
      <c r="J1060" s="25" t="s">
        <v>191</v>
      </c>
      <c r="K1060" s="25" t="s">
        <v>298</v>
      </c>
      <c r="L1060" s="25" t="s">
        <v>30</v>
      </c>
      <c r="M1060" s="25" t="n">
        <v>5409</v>
      </c>
      <c r="N1060" s="25" t="n">
        <v>2090</v>
      </c>
      <c r="O1060" s="25"/>
      <c r="P1060" s="26" t="n">
        <f aca="false">(M1060*N1060/1000000)*(INDEX(AreaRate_Vals,MATCH(C1060,AreaRate_Keys,0))+IFERROR(INDEX(GlazingUpg_Vals,MATCH(H1060,GlazingUpg_Keys,0)),0))+INDEX(Hardware_Vals,MATCH("Doors",Hardware_Keys,0))</f>
        <v>44638.759</v>
      </c>
      <c r="Q1060" s="27" t="n">
        <f aca="false">INDEX(Markup_Vals,MATCH("Doors",MarkupCat_Keys,0))</f>
        <v>0.4</v>
      </c>
      <c r="R1060" s="28" t="n">
        <f aca="false">P1060*(1+Q1060)</f>
        <v>62494.2626</v>
      </c>
      <c r="S1060" s="28" t="n">
        <f aca="false">R1060*(1-TradeDiscount)</f>
        <v>54994.951088</v>
      </c>
      <c r="T1060" s="28" t="n">
        <f aca="false">R1060*(1-VolumeDiscount)</f>
        <v>49995.41008</v>
      </c>
    </row>
    <row r="1061" customFormat="false" ht="15" hidden="false" customHeight="false" outlineLevel="0" collapsed="false">
      <c r="A1061" s="29" t="s">
        <v>2358</v>
      </c>
      <c r="B1061" s="29" t="s">
        <v>97</v>
      </c>
      <c r="C1061" s="29" t="s">
        <v>50</v>
      </c>
      <c r="D1061" s="29" t="s">
        <v>2359</v>
      </c>
      <c r="E1061" s="29" t="s">
        <v>2244</v>
      </c>
      <c r="F1061" s="29" t="s">
        <v>2345</v>
      </c>
      <c r="G1061" s="29" t="s">
        <v>37</v>
      </c>
      <c r="H1061" s="29" t="s">
        <v>66</v>
      </c>
      <c r="I1061" s="29" t="s">
        <v>190</v>
      </c>
      <c r="J1061" s="29" t="s">
        <v>191</v>
      </c>
      <c r="K1061" s="29" t="s">
        <v>298</v>
      </c>
      <c r="L1061" s="29" t="s">
        <v>30</v>
      </c>
      <c r="M1061" s="29" t="n">
        <v>5409</v>
      </c>
      <c r="N1061" s="29" t="n">
        <v>2090</v>
      </c>
      <c r="O1061" s="29"/>
      <c r="P1061" s="30" t="n">
        <f aca="false">(M1061*N1061/1000000)*(INDEX(AreaRate_Vals,MATCH(C1061,AreaRate_Keys,0))+IFERROR(INDEX(GlazingUpg_Vals,MATCH(H1061,GlazingUpg_Keys,0)),0))+INDEX(Hardware_Vals,MATCH("Doors",Hardware_Keys,0))</f>
        <v>44638.759</v>
      </c>
      <c r="Q1061" s="31" t="n">
        <f aca="false">INDEX(Markup_Vals,MATCH("Doors",MarkupCat_Keys,0))</f>
        <v>0.4</v>
      </c>
      <c r="R1061" s="32" t="n">
        <f aca="false">P1061*(1+Q1061)</f>
        <v>62494.2626</v>
      </c>
      <c r="S1061" s="32" t="n">
        <f aca="false">R1061*(1-TradeDiscount)</f>
        <v>54994.951088</v>
      </c>
      <c r="T1061" s="32" t="n">
        <f aca="false">R1061*(1-VolumeDiscount)</f>
        <v>49995.41008</v>
      </c>
    </row>
    <row r="1062" customFormat="false" ht="15" hidden="false" customHeight="false" outlineLevel="0" collapsed="false">
      <c r="A1062" s="25" t="s">
        <v>2360</v>
      </c>
      <c r="B1062" s="25" t="s">
        <v>97</v>
      </c>
      <c r="C1062" s="25" t="s">
        <v>50</v>
      </c>
      <c r="D1062" s="25" t="s">
        <v>2361</v>
      </c>
      <c r="E1062" s="25" t="s">
        <v>2244</v>
      </c>
      <c r="F1062" s="25" t="s">
        <v>2345</v>
      </c>
      <c r="G1062" s="25" t="s">
        <v>39</v>
      </c>
      <c r="H1062" s="25" t="s">
        <v>66</v>
      </c>
      <c r="I1062" s="25" t="s">
        <v>190</v>
      </c>
      <c r="J1062" s="25" t="s">
        <v>191</v>
      </c>
      <c r="K1062" s="25" t="s">
        <v>298</v>
      </c>
      <c r="L1062" s="25" t="s">
        <v>30</v>
      </c>
      <c r="M1062" s="25" t="n">
        <v>5409</v>
      </c>
      <c r="N1062" s="25" t="n">
        <v>2090</v>
      </c>
      <c r="O1062" s="25"/>
      <c r="P1062" s="26" t="n">
        <f aca="false">(M1062*N1062/1000000)*(INDEX(AreaRate_Vals,MATCH(C1062,AreaRate_Keys,0))+IFERROR(INDEX(GlazingUpg_Vals,MATCH(H1062,GlazingUpg_Keys,0)),0))+INDEX(Hardware_Vals,MATCH("Doors",Hardware_Keys,0))</f>
        <v>44638.759</v>
      </c>
      <c r="Q1062" s="27" t="n">
        <f aca="false">INDEX(Markup_Vals,MATCH("Doors",MarkupCat_Keys,0))</f>
        <v>0.4</v>
      </c>
      <c r="R1062" s="28" t="n">
        <f aca="false">P1062*(1+Q1062)</f>
        <v>62494.2626</v>
      </c>
      <c r="S1062" s="28" t="n">
        <f aca="false">R1062*(1-TradeDiscount)</f>
        <v>54994.951088</v>
      </c>
      <c r="T1062" s="28" t="n">
        <f aca="false">R1062*(1-VolumeDiscount)</f>
        <v>49995.41008</v>
      </c>
    </row>
    <row r="1063" customFormat="false" ht="15" hidden="false" customHeight="false" outlineLevel="0" collapsed="false">
      <c r="A1063" s="29" t="s">
        <v>2362</v>
      </c>
      <c r="B1063" s="29" t="s">
        <v>97</v>
      </c>
      <c r="C1063" s="29" t="s">
        <v>50</v>
      </c>
      <c r="D1063" s="29" t="s">
        <v>2363</v>
      </c>
      <c r="E1063" s="29" t="s">
        <v>2244</v>
      </c>
      <c r="F1063" s="29" t="s">
        <v>2345</v>
      </c>
      <c r="G1063" s="29" t="s">
        <v>38</v>
      </c>
      <c r="H1063" s="29" t="s">
        <v>66</v>
      </c>
      <c r="I1063" s="29" t="s">
        <v>190</v>
      </c>
      <c r="J1063" s="29" t="s">
        <v>191</v>
      </c>
      <c r="K1063" s="29" t="s">
        <v>298</v>
      </c>
      <c r="L1063" s="29" t="s">
        <v>30</v>
      </c>
      <c r="M1063" s="29" t="n">
        <v>5409</v>
      </c>
      <c r="N1063" s="29" t="n">
        <v>2090</v>
      </c>
      <c r="O1063" s="29"/>
      <c r="P1063" s="30" t="n">
        <f aca="false">(M1063*N1063/1000000)*(INDEX(AreaRate_Vals,MATCH(C1063,AreaRate_Keys,0))+IFERROR(INDEX(GlazingUpg_Vals,MATCH(H1063,GlazingUpg_Keys,0)),0))+INDEX(Hardware_Vals,MATCH("Doors",Hardware_Keys,0))</f>
        <v>44638.759</v>
      </c>
      <c r="Q1063" s="31" t="n">
        <f aca="false">INDEX(Markup_Vals,MATCH("Doors",MarkupCat_Keys,0))</f>
        <v>0.4</v>
      </c>
      <c r="R1063" s="32" t="n">
        <f aca="false">P1063*(1+Q1063)</f>
        <v>62494.2626</v>
      </c>
      <c r="S1063" s="32" t="n">
        <f aca="false">R1063*(1-TradeDiscount)</f>
        <v>54994.951088</v>
      </c>
      <c r="T1063" s="32" t="n">
        <f aca="false">R1063*(1-VolumeDiscount)</f>
        <v>49995.41008</v>
      </c>
    </row>
    <row r="1064" customFormat="false" ht="15" hidden="false" customHeight="false" outlineLevel="0" collapsed="false">
      <c r="A1064" s="25" t="s">
        <v>2364</v>
      </c>
      <c r="B1064" s="25" t="s">
        <v>97</v>
      </c>
      <c r="C1064" s="25" t="s">
        <v>50</v>
      </c>
      <c r="D1064" s="25" t="s">
        <v>2365</v>
      </c>
      <c r="E1064" s="25" t="s">
        <v>2366</v>
      </c>
      <c r="F1064" s="25" t="s">
        <v>1817</v>
      </c>
      <c r="G1064" s="25" t="s">
        <v>35</v>
      </c>
      <c r="H1064" s="25" t="s">
        <v>65</v>
      </c>
      <c r="I1064" s="25" t="s">
        <v>190</v>
      </c>
      <c r="J1064" s="25" t="s">
        <v>191</v>
      </c>
      <c r="K1064" s="25" t="s">
        <v>298</v>
      </c>
      <c r="L1064" s="25" t="s">
        <v>30</v>
      </c>
      <c r="M1064" s="25" t="n">
        <v>2409</v>
      </c>
      <c r="N1064" s="25" t="n">
        <v>2090</v>
      </c>
      <c r="O1064" s="25"/>
      <c r="P1064" s="26" t="n">
        <f aca="false">(M1064*N1064/1000000)*(INDEX(AreaRate_Vals,MATCH(C1064,AreaRate_Keys,0))+IFERROR(INDEX(GlazingUpg_Vals,MATCH(H1064,GlazingUpg_Keys,0)),0))+INDEX(Hardware_Vals,MATCH("Doors",Hardware_Keys,0))</f>
        <v>16661.392</v>
      </c>
      <c r="Q1064" s="27" t="n">
        <f aca="false">INDEX(Markup_Vals,MATCH("Doors",MarkupCat_Keys,0))</f>
        <v>0.4</v>
      </c>
      <c r="R1064" s="28" t="n">
        <f aca="false">P1064*(1+Q1064)</f>
        <v>23325.9488</v>
      </c>
      <c r="S1064" s="28" t="n">
        <f aca="false">R1064*(1-TradeDiscount)</f>
        <v>20526.834944</v>
      </c>
      <c r="T1064" s="28" t="n">
        <f aca="false">R1064*(1-VolumeDiscount)</f>
        <v>18660.75904</v>
      </c>
    </row>
    <row r="1065" customFormat="false" ht="15" hidden="false" customHeight="false" outlineLevel="0" collapsed="false">
      <c r="A1065" s="29" t="s">
        <v>2367</v>
      </c>
      <c r="B1065" s="29" t="s">
        <v>97</v>
      </c>
      <c r="C1065" s="29" t="s">
        <v>50</v>
      </c>
      <c r="D1065" s="29" t="s">
        <v>2368</v>
      </c>
      <c r="E1065" s="29" t="s">
        <v>2366</v>
      </c>
      <c r="F1065" s="29" t="s">
        <v>1817</v>
      </c>
      <c r="G1065" s="29" t="s">
        <v>36</v>
      </c>
      <c r="H1065" s="29" t="s">
        <v>65</v>
      </c>
      <c r="I1065" s="29" t="s">
        <v>190</v>
      </c>
      <c r="J1065" s="29" t="s">
        <v>191</v>
      </c>
      <c r="K1065" s="29" t="s">
        <v>298</v>
      </c>
      <c r="L1065" s="29" t="s">
        <v>30</v>
      </c>
      <c r="M1065" s="29" t="n">
        <v>2409</v>
      </c>
      <c r="N1065" s="29" t="n">
        <v>2090</v>
      </c>
      <c r="O1065" s="29"/>
      <c r="P1065" s="30" t="n">
        <f aca="false">(M1065*N1065/1000000)*(INDEX(AreaRate_Vals,MATCH(C1065,AreaRate_Keys,0))+IFERROR(INDEX(GlazingUpg_Vals,MATCH(H1065,GlazingUpg_Keys,0)),0))+INDEX(Hardware_Vals,MATCH("Doors",Hardware_Keys,0))</f>
        <v>16661.392</v>
      </c>
      <c r="Q1065" s="31" t="n">
        <f aca="false">INDEX(Markup_Vals,MATCH("Doors",MarkupCat_Keys,0))</f>
        <v>0.4</v>
      </c>
      <c r="R1065" s="32" t="n">
        <f aca="false">P1065*(1+Q1065)</f>
        <v>23325.9488</v>
      </c>
      <c r="S1065" s="32" t="n">
        <f aca="false">R1065*(1-TradeDiscount)</f>
        <v>20526.834944</v>
      </c>
      <c r="T1065" s="32" t="n">
        <f aca="false">R1065*(1-VolumeDiscount)</f>
        <v>18660.75904</v>
      </c>
    </row>
    <row r="1066" customFormat="false" ht="15" hidden="false" customHeight="false" outlineLevel="0" collapsed="false">
      <c r="A1066" s="25" t="s">
        <v>2369</v>
      </c>
      <c r="B1066" s="25" t="s">
        <v>97</v>
      </c>
      <c r="C1066" s="25" t="s">
        <v>50</v>
      </c>
      <c r="D1066" s="25" t="s">
        <v>2370</v>
      </c>
      <c r="E1066" s="25" t="s">
        <v>2366</v>
      </c>
      <c r="F1066" s="25" t="s">
        <v>1817</v>
      </c>
      <c r="G1066" s="25" t="s">
        <v>37</v>
      </c>
      <c r="H1066" s="25" t="s">
        <v>65</v>
      </c>
      <c r="I1066" s="25" t="s">
        <v>190</v>
      </c>
      <c r="J1066" s="25" t="s">
        <v>191</v>
      </c>
      <c r="K1066" s="25" t="s">
        <v>298</v>
      </c>
      <c r="L1066" s="25" t="s">
        <v>30</v>
      </c>
      <c r="M1066" s="25" t="n">
        <v>2409</v>
      </c>
      <c r="N1066" s="25" t="n">
        <v>2090</v>
      </c>
      <c r="O1066" s="25"/>
      <c r="P1066" s="26" t="n">
        <f aca="false">(M1066*N1066/1000000)*(INDEX(AreaRate_Vals,MATCH(C1066,AreaRate_Keys,0))+IFERROR(INDEX(GlazingUpg_Vals,MATCH(H1066,GlazingUpg_Keys,0)),0))+INDEX(Hardware_Vals,MATCH("Doors",Hardware_Keys,0))</f>
        <v>16661.392</v>
      </c>
      <c r="Q1066" s="27" t="n">
        <f aca="false">INDEX(Markup_Vals,MATCH("Doors",MarkupCat_Keys,0))</f>
        <v>0.4</v>
      </c>
      <c r="R1066" s="28" t="n">
        <f aca="false">P1066*(1+Q1066)</f>
        <v>23325.9488</v>
      </c>
      <c r="S1066" s="28" t="n">
        <f aca="false">R1066*(1-TradeDiscount)</f>
        <v>20526.834944</v>
      </c>
      <c r="T1066" s="28" t="n">
        <f aca="false">R1066*(1-VolumeDiscount)</f>
        <v>18660.75904</v>
      </c>
    </row>
    <row r="1067" customFormat="false" ht="15" hidden="false" customHeight="false" outlineLevel="0" collapsed="false">
      <c r="A1067" s="29" t="s">
        <v>2371</v>
      </c>
      <c r="B1067" s="29" t="s">
        <v>97</v>
      </c>
      <c r="C1067" s="29" t="s">
        <v>50</v>
      </c>
      <c r="D1067" s="29" t="s">
        <v>2372</v>
      </c>
      <c r="E1067" s="29" t="s">
        <v>2366</v>
      </c>
      <c r="F1067" s="29" t="s">
        <v>1817</v>
      </c>
      <c r="G1067" s="29" t="s">
        <v>39</v>
      </c>
      <c r="H1067" s="29" t="s">
        <v>65</v>
      </c>
      <c r="I1067" s="29" t="s">
        <v>190</v>
      </c>
      <c r="J1067" s="29" t="s">
        <v>191</v>
      </c>
      <c r="K1067" s="29" t="s">
        <v>298</v>
      </c>
      <c r="L1067" s="29" t="s">
        <v>30</v>
      </c>
      <c r="M1067" s="29" t="n">
        <v>2409</v>
      </c>
      <c r="N1067" s="29" t="n">
        <v>2090</v>
      </c>
      <c r="O1067" s="29"/>
      <c r="P1067" s="30" t="n">
        <f aca="false">(M1067*N1067/1000000)*(INDEX(AreaRate_Vals,MATCH(C1067,AreaRate_Keys,0))+IFERROR(INDEX(GlazingUpg_Vals,MATCH(H1067,GlazingUpg_Keys,0)),0))+INDEX(Hardware_Vals,MATCH("Doors",Hardware_Keys,0))</f>
        <v>16661.392</v>
      </c>
      <c r="Q1067" s="31" t="n">
        <f aca="false">INDEX(Markup_Vals,MATCH("Doors",MarkupCat_Keys,0))</f>
        <v>0.4</v>
      </c>
      <c r="R1067" s="32" t="n">
        <f aca="false">P1067*(1+Q1067)</f>
        <v>23325.9488</v>
      </c>
      <c r="S1067" s="32" t="n">
        <f aca="false">R1067*(1-TradeDiscount)</f>
        <v>20526.834944</v>
      </c>
      <c r="T1067" s="32" t="n">
        <f aca="false">R1067*(1-VolumeDiscount)</f>
        <v>18660.75904</v>
      </c>
    </row>
    <row r="1068" customFormat="false" ht="15" hidden="false" customHeight="false" outlineLevel="0" collapsed="false">
      <c r="A1068" s="25" t="s">
        <v>2373</v>
      </c>
      <c r="B1068" s="25" t="s">
        <v>97</v>
      </c>
      <c r="C1068" s="25" t="s">
        <v>50</v>
      </c>
      <c r="D1068" s="25" t="s">
        <v>2374</v>
      </c>
      <c r="E1068" s="25" t="s">
        <v>2366</v>
      </c>
      <c r="F1068" s="25" t="s">
        <v>1817</v>
      </c>
      <c r="G1068" s="25" t="s">
        <v>38</v>
      </c>
      <c r="H1068" s="25" t="s">
        <v>65</v>
      </c>
      <c r="I1068" s="25" t="s">
        <v>190</v>
      </c>
      <c r="J1068" s="25" t="s">
        <v>191</v>
      </c>
      <c r="K1068" s="25" t="s">
        <v>298</v>
      </c>
      <c r="L1068" s="25" t="s">
        <v>30</v>
      </c>
      <c r="M1068" s="25" t="n">
        <v>2409</v>
      </c>
      <c r="N1068" s="25" t="n">
        <v>2090</v>
      </c>
      <c r="O1068" s="25"/>
      <c r="P1068" s="26" t="n">
        <f aca="false">(M1068*N1068/1000000)*(INDEX(AreaRate_Vals,MATCH(C1068,AreaRate_Keys,0))+IFERROR(INDEX(GlazingUpg_Vals,MATCH(H1068,GlazingUpg_Keys,0)),0))+INDEX(Hardware_Vals,MATCH("Doors",Hardware_Keys,0))</f>
        <v>16661.392</v>
      </c>
      <c r="Q1068" s="27" t="n">
        <f aca="false">INDEX(Markup_Vals,MATCH("Doors",MarkupCat_Keys,0))</f>
        <v>0.4</v>
      </c>
      <c r="R1068" s="28" t="n">
        <f aca="false">P1068*(1+Q1068)</f>
        <v>23325.9488</v>
      </c>
      <c r="S1068" s="28" t="n">
        <f aca="false">R1068*(1-TradeDiscount)</f>
        <v>20526.834944</v>
      </c>
      <c r="T1068" s="28" t="n">
        <f aca="false">R1068*(1-VolumeDiscount)</f>
        <v>18660.75904</v>
      </c>
    </row>
    <row r="1069" customFormat="false" ht="15" hidden="false" customHeight="false" outlineLevel="0" collapsed="false">
      <c r="A1069" s="29" t="s">
        <v>2375</v>
      </c>
      <c r="B1069" s="29" t="s">
        <v>97</v>
      </c>
      <c r="C1069" s="29" t="s">
        <v>50</v>
      </c>
      <c r="D1069" s="29" t="s">
        <v>2376</v>
      </c>
      <c r="E1069" s="29" t="s">
        <v>2366</v>
      </c>
      <c r="F1069" s="29" t="s">
        <v>1817</v>
      </c>
      <c r="G1069" s="29" t="s">
        <v>35</v>
      </c>
      <c r="H1069" s="29" t="s">
        <v>66</v>
      </c>
      <c r="I1069" s="29" t="s">
        <v>190</v>
      </c>
      <c r="J1069" s="29" t="s">
        <v>191</v>
      </c>
      <c r="K1069" s="29" t="s">
        <v>298</v>
      </c>
      <c r="L1069" s="29" t="s">
        <v>30</v>
      </c>
      <c r="M1069" s="29" t="n">
        <v>2409</v>
      </c>
      <c r="N1069" s="29" t="n">
        <v>2090</v>
      </c>
      <c r="O1069" s="29"/>
      <c r="P1069" s="30" t="n">
        <f aca="false">(M1069*N1069/1000000)*(INDEX(AreaRate_Vals,MATCH(C1069,AreaRate_Keys,0))+IFERROR(INDEX(GlazingUpg_Vals,MATCH(H1069,GlazingUpg_Keys,0)),0))+INDEX(Hardware_Vals,MATCH("Doors",Hardware_Keys,0))</f>
        <v>20185.759</v>
      </c>
      <c r="Q1069" s="31" t="n">
        <f aca="false">INDEX(Markup_Vals,MATCH("Doors",MarkupCat_Keys,0))</f>
        <v>0.4</v>
      </c>
      <c r="R1069" s="32" t="n">
        <f aca="false">P1069*(1+Q1069)</f>
        <v>28260.0626</v>
      </c>
      <c r="S1069" s="32" t="n">
        <f aca="false">R1069*(1-TradeDiscount)</f>
        <v>24868.855088</v>
      </c>
      <c r="T1069" s="32" t="n">
        <f aca="false">R1069*(1-VolumeDiscount)</f>
        <v>22608.05008</v>
      </c>
    </row>
    <row r="1070" customFormat="false" ht="15" hidden="false" customHeight="false" outlineLevel="0" collapsed="false">
      <c r="A1070" s="25" t="s">
        <v>2377</v>
      </c>
      <c r="B1070" s="25" t="s">
        <v>97</v>
      </c>
      <c r="C1070" s="25" t="s">
        <v>50</v>
      </c>
      <c r="D1070" s="25" t="s">
        <v>2378</v>
      </c>
      <c r="E1070" s="25" t="s">
        <v>2366</v>
      </c>
      <c r="F1070" s="25" t="s">
        <v>1817</v>
      </c>
      <c r="G1070" s="25" t="s">
        <v>36</v>
      </c>
      <c r="H1070" s="25" t="s">
        <v>66</v>
      </c>
      <c r="I1070" s="25" t="s">
        <v>190</v>
      </c>
      <c r="J1070" s="25" t="s">
        <v>191</v>
      </c>
      <c r="K1070" s="25" t="s">
        <v>298</v>
      </c>
      <c r="L1070" s="25" t="s">
        <v>30</v>
      </c>
      <c r="M1070" s="25" t="n">
        <v>2409</v>
      </c>
      <c r="N1070" s="25" t="n">
        <v>2090</v>
      </c>
      <c r="O1070" s="25"/>
      <c r="P1070" s="26" t="n">
        <f aca="false">(M1070*N1070/1000000)*(INDEX(AreaRate_Vals,MATCH(C1070,AreaRate_Keys,0))+IFERROR(INDEX(GlazingUpg_Vals,MATCH(H1070,GlazingUpg_Keys,0)),0))+INDEX(Hardware_Vals,MATCH("Doors",Hardware_Keys,0))</f>
        <v>20185.759</v>
      </c>
      <c r="Q1070" s="27" t="n">
        <f aca="false">INDEX(Markup_Vals,MATCH("Doors",MarkupCat_Keys,0))</f>
        <v>0.4</v>
      </c>
      <c r="R1070" s="28" t="n">
        <f aca="false">P1070*(1+Q1070)</f>
        <v>28260.0626</v>
      </c>
      <c r="S1070" s="28" t="n">
        <f aca="false">R1070*(1-TradeDiscount)</f>
        <v>24868.855088</v>
      </c>
      <c r="T1070" s="28" t="n">
        <f aca="false">R1070*(1-VolumeDiscount)</f>
        <v>22608.05008</v>
      </c>
    </row>
    <row r="1071" customFormat="false" ht="15" hidden="false" customHeight="false" outlineLevel="0" collapsed="false">
      <c r="A1071" s="29" t="s">
        <v>2379</v>
      </c>
      <c r="B1071" s="29" t="s">
        <v>97</v>
      </c>
      <c r="C1071" s="29" t="s">
        <v>50</v>
      </c>
      <c r="D1071" s="29" t="s">
        <v>2380</v>
      </c>
      <c r="E1071" s="29" t="s">
        <v>2366</v>
      </c>
      <c r="F1071" s="29" t="s">
        <v>1817</v>
      </c>
      <c r="G1071" s="29" t="s">
        <v>37</v>
      </c>
      <c r="H1071" s="29" t="s">
        <v>66</v>
      </c>
      <c r="I1071" s="29" t="s">
        <v>190</v>
      </c>
      <c r="J1071" s="29" t="s">
        <v>191</v>
      </c>
      <c r="K1071" s="29" t="s">
        <v>298</v>
      </c>
      <c r="L1071" s="29" t="s">
        <v>30</v>
      </c>
      <c r="M1071" s="29" t="n">
        <v>2409</v>
      </c>
      <c r="N1071" s="29" t="n">
        <v>2090</v>
      </c>
      <c r="O1071" s="29"/>
      <c r="P1071" s="30" t="n">
        <f aca="false">(M1071*N1071/1000000)*(INDEX(AreaRate_Vals,MATCH(C1071,AreaRate_Keys,0))+IFERROR(INDEX(GlazingUpg_Vals,MATCH(H1071,GlazingUpg_Keys,0)),0))+INDEX(Hardware_Vals,MATCH("Doors",Hardware_Keys,0))</f>
        <v>20185.759</v>
      </c>
      <c r="Q1071" s="31" t="n">
        <f aca="false">INDEX(Markup_Vals,MATCH("Doors",MarkupCat_Keys,0))</f>
        <v>0.4</v>
      </c>
      <c r="R1071" s="32" t="n">
        <f aca="false">P1071*(1+Q1071)</f>
        <v>28260.0626</v>
      </c>
      <c r="S1071" s="32" t="n">
        <f aca="false">R1071*(1-TradeDiscount)</f>
        <v>24868.855088</v>
      </c>
      <c r="T1071" s="32" t="n">
        <f aca="false">R1071*(1-VolumeDiscount)</f>
        <v>22608.05008</v>
      </c>
    </row>
    <row r="1072" customFormat="false" ht="15" hidden="false" customHeight="false" outlineLevel="0" collapsed="false">
      <c r="A1072" s="25" t="s">
        <v>2381</v>
      </c>
      <c r="B1072" s="25" t="s">
        <v>97</v>
      </c>
      <c r="C1072" s="25" t="s">
        <v>50</v>
      </c>
      <c r="D1072" s="25" t="s">
        <v>2382</v>
      </c>
      <c r="E1072" s="25" t="s">
        <v>2366</v>
      </c>
      <c r="F1072" s="25" t="s">
        <v>1817</v>
      </c>
      <c r="G1072" s="25" t="s">
        <v>39</v>
      </c>
      <c r="H1072" s="25" t="s">
        <v>66</v>
      </c>
      <c r="I1072" s="25" t="s">
        <v>190</v>
      </c>
      <c r="J1072" s="25" t="s">
        <v>191</v>
      </c>
      <c r="K1072" s="25" t="s">
        <v>298</v>
      </c>
      <c r="L1072" s="25" t="s">
        <v>30</v>
      </c>
      <c r="M1072" s="25" t="n">
        <v>2409</v>
      </c>
      <c r="N1072" s="25" t="n">
        <v>2090</v>
      </c>
      <c r="O1072" s="25"/>
      <c r="P1072" s="26" t="n">
        <f aca="false">(M1072*N1072/1000000)*(INDEX(AreaRate_Vals,MATCH(C1072,AreaRate_Keys,0))+IFERROR(INDEX(GlazingUpg_Vals,MATCH(H1072,GlazingUpg_Keys,0)),0))+INDEX(Hardware_Vals,MATCH("Doors",Hardware_Keys,0))</f>
        <v>20185.759</v>
      </c>
      <c r="Q1072" s="27" t="n">
        <f aca="false">INDEX(Markup_Vals,MATCH("Doors",MarkupCat_Keys,0))</f>
        <v>0.4</v>
      </c>
      <c r="R1072" s="28" t="n">
        <f aca="false">P1072*(1+Q1072)</f>
        <v>28260.0626</v>
      </c>
      <c r="S1072" s="28" t="n">
        <f aca="false">R1072*(1-TradeDiscount)</f>
        <v>24868.855088</v>
      </c>
      <c r="T1072" s="28" t="n">
        <f aca="false">R1072*(1-VolumeDiscount)</f>
        <v>22608.05008</v>
      </c>
    </row>
    <row r="1073" customFormat="false" ht="15" hidden="false" customHeight="false" outlineLevel="0" collapsed="false">
      <c r="A1073" s="29" t="s">
        <v>2383</v>
      </c>
      <c r="B1073" s="29" t="s">
        <v>97</v>
      </c>
      <c r="C1073" s="29" t="s">
        <v>50</v>
      </c>
      <c r="D1073" s="29" t="s">
        <v>2384</v>
      </c>
      <c r="E1073" s="29" t="s">
        <v>2366</v>
      </c>
      <c r="F1073" s="29" t="s">
        <v>1817</v>
      </c>
      <c r="G1073" s="29" t="s">
        <v>38</v>
      </c>
      <c r="H1073" s="29" t="s">
        <v>66</v>
      </c>
      <c r="I1073" s="29" t="s">
        <v>190</v>
      </c>
      <c r="J1073" s="29" t="s">
        <v>191</v>
      </c>
      <c r="K1073" s="29" t="s">
        <v>298</v>
      </c>
      <c r="L1073" s="29" t="s">
        <v>30</v>
      </c>
      <c r="M1073" s="29" t="n">
        <v>2409</v>
      </c>
      <c r="N1073" s="29" t="n">
        <v>2090</v>
      </c>
      <c r="O1073" s="29"/>
      <c r="P1073" s="30" t="n">
        <f aca="false">(M1073*N1073/1000000)*(INDEX(AreaRate_Vals,MATCH(C1073,AreaRate_Keys,0))+IFERROR(INDEX(GlazingUpg_Vals,MATCH(H1073,GlazingUpg_Keys,0)),0))+INDEX(Hardware_Vals,MATCH("Doors",Hardware_Keys,0))</f>
        <v>20185.759</v>
      </c>
      <c r="Q1073" s="31" t="n">
        <f aca="false">INDEX(Markup_Vals,MATCH("Doors",MarkupCat_Keys,0))</f>
        <v>0.4</v>
      </c>
      <c r="R1073" s="32" t="n">
        <f aca="false">P1073*(1+Q1073)</f>
        <v>28260.0626</v>
      </c>
      <c r="S1073" s="32" t="n">
        <f aca="false">R1073*(1-TradeDiscount)</f>
        <v>24868.855088</v>
      </c>
      <c r="T1073" s="32" t="n">
        <f aca="false">R1073*(1-VolumeDiscount)</f>
        <v>22608.05008</v>
      </c>
    </row>
    <row r="1074" customFormat="false" ht="15" hidden="false" customHeight="false" outlineLevel="0" collapsed="false">
      <c r="A1074" s="25" t="s">
        <v>2385</v>
      </c>
      <c r="B1074" s="25" t="s">
        <v>97</v>
      </c>
      <c r="C1074" s="25" t="s">
        <v>50</v>
      </c>
      <c r="D1074" s="25" t="s">
        <v>2386</v>
      </c>
      <c r="E1074" s="25" t="s">
        <v>2366</v>
      </c>
      <c r="F1074" s="25" t="s">
        <v>1838</v>
      </c>
      <c r="G1074" s="25" t="s">
        <v>35</v>
      </c>
      <c r="H1074" s="25" t="s">
        <v>65</v>
      </c>
      <c r="I1074" s="25" t="s">
        <v>190</v>
      </c>
      <c r="J1074" s="25" t="s">
        <v>191</v>
      </c>
      <c r="K1074" s="25" t="s">
        <v>298</v>
      </c>
      <c r="L1074" s="25" t="s">
        <v>30</v>
      </c>
      <c r="M1074" s="25" t="n">
        <v>3009</v>
      </c>
      <c r="N1074" s="25" t="n">
        <v>2090</v>
      </c>
      <c r="O1074" s="25"/>
      <c r="P1074" s="26" t="n">
        <f aca="false">(M1074*N1074/1000000)*(INDEX(AreaRate_Vals,MATCH(C1074,AreaRate_Keys,0))+IFERROR(INDEX(GlazingUpg_Vals,MATCH(H1074,GlazingUpg_Keys,0)),0))+INDEX(Hardware_Vals,MATCH("Doors",Hardware_Keys,0))</f>
        <v>20674.192</v>
      </c>
      <c r="Q1074" s="27" t="n">
        <f aca="false">INDEX(Markup_Vals,MATCH("Doors",MarkupCat_Keys,0))</f>
        <v>0.4</v>
      </c>
      <c r="R1074" s="28" t="n">
        <f aca="false">P1074*(1+Q1074)</f>
        <v>28943.8688</v>
      </c>
      <c r="S1074" s="28" t="n">
        <f aca="false">R1074*(1-TradeDiscount)</f>
        <v>25470.604544</v>
      </c>
      <c r="T1074" s="28" t="n">
        <f aca="false">R1074*(1-VolumeDiscount)</f>
        <v>23155.09504</v>
      </c>
    </row>
    <row r="1075" customFormat="false" ht="15" hidden="false" customHeight="false" outlineLevel="0" collapsed="false">
      <c r="A1075" s="29" t="s">
        <v>2387</v>
      </c>
      <c r="B1075" s="29" t="s">
        <v>97</v>
      </c>
      <c r="C1075" s="29" t="s">
        <v>50</v>
      </c>
      <c r="D1075" s="29" t="s">
        <v>2388</v>
      </c>
      <c r="E1075" s="29" t="s">
        <v>2366</v>
      </c>
      <c r="F1075" s="29" t="s">
        <v>1838</v>
      </c>
      <c r="G1075" s="29" t="s">
        <v>36</v>
      </c>
      <c r="H1075" s="29" t="s">
        <v>65</v>
      </c>
      <c r="I1075" s="29" t="s">
        <v>190</v>
      </c>
      <c r="J1075" s="29" t="s">
        <v>191</v>
      </c>
      <c r="K1075" s="29" t="s">
        <v>298</v>
      </c>
      <c r="L1075" s="29" t="s">
        <v>30</v>
      </c>
      <c r="M1075" s="29" t="n">
        <v>3009</v>
      </c>
      <c r="N1075" s="29" t="n">
        <v>2090</v>
      </c>
      <c r="O1075" s="29"/>
      <c r="P1075" s="30" t="n">
        <f aca="false">(M1075*N1075/1000000)*(INDEX(AreaRate_Vals,MATCH(C1075,AreaRate_Keys,0))+IFERROR(INDEX(GlazingUpg_Vals,MATCH(H1075,GlazingUpg_Keys,0)),0))+INDEX(Hardware_Vals,MATCH("Doors",Hardware_Keys,0))</f>
        <v>20674.192</v>
      </c>
      <c r="Q1075" s="31" t="n">
        <f aca="false">INDEX(Markup_Vals,MATCH("Doors",MarkupCat_Keys,0))</f>
        <v>0.4</v>
      </c>
      <c r="R1075" s="32" t="n">
        <f aca="false">P1075*(1+Q1075)</f>
        <v>28943.8688</v>
      </c>
      <c r="S1075" s="32" t="n">
        <f aca="false">R1075*(1-TradeDiscount)</f>
        <v>25470.604544</v>
      </c>
      <c r="T1075" s="32" t="n">
        <f aca="false">R1075*(1-VolumeDiscount)</f>
        <v>23155.09504</v>
      </c>
    </row>
    <row r="1076" customFormat="false" ht="15" hidden="false" customHeight="false" outlineLevel="0" collapsed="false">
      <c r="A1076" s="25" t="s">
        <v>2389</v>
      </c>
      <c r="B1076" s="25" t="s">
        <v>97</v>
      </c>
      <c r="C1076" s="25" t="s">
        <v>50</v>
      </c>
      <c r="D1076" s="25" t="s">
        <v>2390</v>
      </c>
      <c r="E1076" s="25" t="s">
        <v>2366</v>
      </c>
      <c r="F1076" s="25" t="s">
        <v>1838</v>
      </c>
      <c r="G1076" s="25" t="s">
        <v>37</v>
      </c>
      <c r="H1076" s="25" t="s">
        <v>65</v>
      </c>
      <c r="I1076" s="25" t="s">
        <v>190</v>
      </c>
      <c r="J1076" s="25" t="s">
        <v>191</v>
      </c>
      <c r="K1076" s="25" t="s">
        <v>298</v>
      </c>
      <c r="L1076" s="25" t="s">
        <v>30</v>
      </c>
      <c r="M1076" s="25" t="n">
        <v>3009</v>
      </c>
      <c r="N1076" s="25" t="n">
        <v>2090</v>
      </c>
      <c r="O1076" s="25"/>
      <c r="P1076" s="26" t="n">
        <f aca="false">(M1076*N1076/1000000)*(INDEX(AreaRate_Vals,MATCH(C1076,AreaRate_Keys,0))+IFERROR(INDEX(GlazingUpg_Vals,MATCH(H1076,GlazingUpg_Keys,0)),0))+INDEX(Hardware_Vals,MATCH("Doors",Hardware_Keys,0))</f>
        <v>20674.192</v>
      </c>
      <c r="Q1076" s="27" t="n">
        <f aca="false">INDEX(Markup_Vals,MATCH("Doors",MarkupCat_Keys,0))</f>
        <v>0.4</v>
      </c>
      <c r="R1076" s="28" t="n">
        <f aca="false">P1076*(1+Q1076)</f>
        <v>28943.8688</v>
      </c>
      <c r="S1076" s="28" t="n">
        <f aca="false">R1076*(1-TradeDiscount)</f>
        <v>25470.604544</v>
      </c>
      <c r="T1076" s="28" t="n">
        <f aca="false">R1076*(1-VolumeDiscount)</f>
        <v>23155.09504</v>
      </c>
    </row>
    <row r="1077" customFormat="false" ht="15" hidden="false" customHeight="false" outlineLevel="0" collapsed="false">
      <c r="A1077" s="29" t="s">
        <v>2391</v>
      </c>
      <c r="B1077" s="29" t="s">
        <v>97</v>
      </c>
      <c r="C1077" s="29" t="s">
        <v>50</v>
      </c>
      <c r="D1077" s="29" t="s">
        <v>2392</v>
      </c>
      <c r="E1077" s="29" t="s">
        <v>2366</v>
      </c>
      <c r="F1077" s="29" t="s">
        <v>1838</v>
      </c>
      <c r="G1077" s="29" t="s">
        <v>39</v>
      </c>
      <c r="H1077" s="29" t="s">
        <v>65</v>
      </c>
      <c r="I1077" s="29" t="s">
        <v>190</v>
      </c>
      <c r="J1077" s="29" t="s">
        <v>191</v>
      </c>
      <c r="K1077" s="29" t="s">
        <v>298</v>
      </c>
      <c r="L1077" s="29" t="s">
        <v>30</v>
      </c>
      <c r="M1077" s="29" t="n">
        <v>3009</v>
      </c>
      <c r="N1077" s="29" t="n">
        <v>2090</v>
      </c>
      <c r="O1077" s="29"/>
      <c r="P1077" s="30" t="n">
        <f aca="false">(M1077*N1077/1000000)*(INDEX(AreaRate_Vals,MATCH(C1077,AreaRate_Keys,0))+IFERROR(INDEX(GlazingUpg_Vals,MATCH(H1077,GlazingUpg_Keys,0)),0))+INDEX(Hardware_Vals,MATCH("Doors",Hardware_Keys,0))</f>
        <v>20674.192</v>
      </c>
      <c r="Q1077" s="31" t="n">
        <f aca="false">INDEX(Markup_Vals,MATCH("Doors",MarkupCat_Keys,0))</f>
        <v>0.4</v>
      </c>
      <c r="R1077" s="32" t="n">
        <f aca="false">P1077*(1+Q1077)</f>
        <v>28943.8688</v>
      </c>
      <c r="S1077" s="32" t="n">
        <f aca="false">R1077*(1-TradeDiscount)</f>
        <v>25470.604544</v>
      </c>
      <c r="T1077" s="32" t="n">
        <f aca="false">R1077*(1-VolumeDiscount)</f>
        <v>23155.09504</v>
      </c>
    </row>
    <row r="1078" customFormat="false" ht="15" hidden="false" customHeight="false" outlineLevel="0" collapsed="false">
      <c r="A1078" s="25" t="s">
        <v>2393</v>
      </c>
      <c r="B1078" s="25" t="s">
        <v>97</v>
      </c>
      <c r="C1078" s="25" t="s">
        <v>50</v>
      </c>
      <c r="D1078" s="25" t="s">
        <v>2394</v>
      </c>
      <c r="E1078" s="25" t="s">
        <v>2366</v>
      </c>
      <c r="F1078" s="25" t="s">
        <v>1838</v>
      </c>
      <c r="G1078" s="25" t="s">
        <v>38</v>
      </c>
      <c r="H1078" s="25" t="s">
        <v>65</v>
      </c>
      <c r="I1078" s="25" t="s">
        <v>190</v>
      </c>
      <c r="J1078" s="25" t="s">
        <v>191</v>
      </c>
      <c r="K1078" s="25" t="s">
        <v>298</v>
      </c>
      <c r="L1078" s="25" t="s">
        <v>30</v>
      </c>
      <c r="M1078" s="25" t="n">
        <v>3009</v>
      </c>
      <c r="N1078" s="25" t="n">
        <v>2090</v>
      </c>
      <c r="O1078" s="25"/>
      <c r="P1078" s="26" t="n">
        <f aca="false">(M1078*N1078/1000000)*(INDEX(AreaRate_Vals,MATCH(C1078,AreaRate_Keys,0))+IFERROR(INDEX(GlazingUpg_Vals,MATCH(H1078,GlazingUpg_Keys,0)),0))+INDEX(Hardware_Vals,MATCH("Doors",Hardware_Keys,0))</f>
        <v>20674.192</v>
      </c>
      <c r="Q1078" s="27" t="n">
        <f aca="false">INDEX(Markup_Vals,MATCH("Doors",MarkupCat_Keys,0))</f>
        <v>0.4</v>
      </c>
      <c r="R1078" s="28" t="n">
        <f aca="false">P1078*(1+Q1078)</f>
        <v>28943.8688</v>
      </c>
      <c r="S1078" s="28" t="n">
        <f aca="false">R1078*(1-TradeDiscount)</f>
        <v>25470.604544</v>
      </c>
      <c r="T1078" s="28" t="n">
        <f aca="false">R1078*(1-VolumeDiscount)</f>
        <v>23155.09504</v>
      </c>
    </row>
    <row r="1079" customFormat="false" ht="15" hidden="false" customHeight="false" outlineLevel="0" collapsed="false">
      <c r="A1079" s="29" t="s">
        <v>2395</v>
      </c>
      <c r="B1079" s="29" t="s">
        <v>97</v>
      </c>
      <c r="C1079" s="29" t="s">
        <v>50</v>
      </c>
      <c r="D1079" s="29" t="s">
        <v>2396</v>
      </c>
      <c r="E1079" s="29" t="s">
        <v>2366</v>
      </c>
      <c r="F1079" s="29" t="s">
        <v>1838</v>
      </c>
      <c r="G1079" s="29" t="s">
        <v>35</v>
      </c>
      <c r="H1079" s="29" t="s">
        <v>66</v>
      </c>
      <c r="I1079" s="29" t="s">
        <v>190</v>
      </c>
      <c r="J1079" s="29" t="s">
        <v>191</v>
      </c>
      <c r="K1079" s="29" t="s">
        <v>298</v>
      </c>
      <c r="L1079" s="29" t="s">
        <v>30</v>
      </c>
      <c r="M1079" s="29" t="n">
        <v>3009</v>
      </c>
      <c r="N1079" s="29" t="n">
        <v>2090</v>
      </c>
      <c r="O1079" s="29"/>
      <c r="P1079" s="30" t="n">
        <f aca="false">(M1079*N1079/1000000)*(INDEX(AreaRate_Vals,MATCH(C1079,AreaRate_Keys,0))+IFERROR(INDEX(GlazingUpg_Vals,MATCH(H1079,GlazingUpg_Keys,0)),0))+INDEX(Hardware_Vals,MATCH("Doors",Hardware_Keys,0))</f>
        <v>25076.359</v>
      </c>
      <c r="Q1079" s="31" t="n">
        <f aca="false">INDEX(Markup_Vals,MATCH("Doors",MarkupCat_Keys,0))</f>
        <v>0.4</v>
      </c>
      <c r="R1079" s="32" t="n">
        <f aca="false">P1079*(1+Q1079)</f>
        <v>35106.9026</v>
      </c>
      <c r="S1079" s="32" t="n">
        <f aca="false">R1079*(1-TradeDiscount)</f>
        <v>30894.074288</v>
      </c>
      <c r="T1079" s="32" t="n">
        <f aca="false">R1079*(1-VolumeDiscount)</f>
        <v>28085.52208</v>
      </c>
    </row>
    <row r="1080" customFormat="false" ht="15" hidden="false" customHeight="false" outlineLevel="0" collapsed="false">
      <c r="A1080" s="25" t="s">
        <v>2397</v>
      </c>
      <c r="B1080" s="25" t="s">
        <v>97</v>
      </c>
      <c r="C1080" s="25" t="s">
        <v>50</v>
      </c>
      <c r="D1080" s="25" t="s">
        <v>2398</v>
      </c>
      <c r="E1080" s="25" t="s">
        <v>2366</v>
      </c>
      <c r="F1080" s="25" t="s">
        <v>1838</v>
      </c>
      <c r="G1080" s="25" t="s">
        <v>36</v>
      </c>
      <c r="H1080" s="25" t="s">
        <v>66</v>
      </c>
      <c r="I1080" s="25" t="s">
        <v>190</v>
      </c>
      <c r="J1080" s="25" t="s">
        <v>191</v>
      </c>
      <c r="K1080" s="25" t="s">
        <v>298</v>
      </c>
      <c r="L1080" s="25" t="s">
        <v>30</v>
      </c>
      <c r="M1080" s="25" t="n">
        <v>3009</v>
      </c>
      <c r="N1080" s="25" t="n">
        <v>2090</v>
      </c>
      <c r="O1080" s="25"/>
      <c r="P1080" s="26" t="n">
        <f aca="false">(M1080*N1080/1000000)*(INDEX(AreaRate_Vals,MATCH(C1080,AreaRate_Keys,0))+IFERROR(INDEX(GlazingUpg_Vals,MATCH(H1080,GlazingUpg_Keys,0)),0))+INDEX(Hardware_Vals,MATCH("Doors",Hardware_Keys,0))</f>
        <v>25076.359</v>
      </c>
      <c r="Q1080" s="27" t="n">
        <f aca="false">INDEX(Markup_Vals,MATCH("Doors",MarkupCat_Keys,0))</f>
        <v>0.4</v>
      </c>
      <c r="R1080" s="28" t="n">
        <f aca="false">P1080*(1+Q1080)</f>
        <v>35106.9026</v>
      </c>
      <c r="S1080" s="28" t="n">
        <f aca="false">R1080*(1-TradeDiscount)</f>
        <v>30894.074288</v>
      </c>
      <c r="T1080" s="28" t="n">
        <f aca="false">R1080*(1-VolumeDiscount)</f>
        <v>28085.52208</v>
      </c>
    </row>
    <row r="1081" customFormat="false" ht="15" hidden="false" customHeight="false" outlineLevel="0" collapsed="false">
      <c r="A1081" s="29" t="s">
        <v>2399</v>
      </c>
      <c r="B1081" s="29" t="s">
        <v>97</v>
      </c>
      <c r="C1081" s="29" t="s">
        <v>50</v>
      </c>
      <c r="D1081" s="29" t="s">
        <v>2400</v>
      </c>
      <c r="E1081" s="29" t="s">
        <v>2366</v>
      </c>
      <c r="F1081" s="29" t="s">
        <v>1838</v>
      </c>
      <c r="G1081" s="29" t="s">
        <v>37</v>
      </c>
      <c r="H1081" s="29" t="s">
        <v>66</v>
      </c>
      <c r="I1081" s="29" t="s">
        <v>190</v>
      </c>
      <c r="J1081" s="29" t="s">
        <v>191</v>
      </c>
      <c r="K1081" s="29" t="s">
        <v>298</v>
      </c>
      <c r="L1081" s="29" t="s">
        <v>30</v>
      </c>
      <c r="M1081" s="29" t="n">
        <v>3009</v>
      </c>
      <c r="N1081" s="29" t="n">
        <v>2090</v>
      </c>
      <c r="O1081" s="29"/>
      <c r="P1081" s="30" t="n">
        <f aca="false">(M1081*N1081/1000000)*(INDEX(AreaRate_Vals,MATCH(C1081,AreaRate_Keys,0))+IFERROR(INDEX(GlazingUpg_Vals,MATCH(H1081,GlazingUpg_Keys,0)),0))+INDEX(Hardware_Vals,MATCH("Doors",Hardware_Keys,0))</f>
        <v>25076.359</v>
      </c>
      <c r="Q1081" s="31" t="n">
        <f aca="false">INDEX(Markup_Vals,MATCH("Doors",MarkupCat_Keys,0))</f>
        <v>0.4</v>
      </c>
      <c r="R1081" s="32" t="n">
        <f aca="false">P1081*(1+Q1081)</f>
        <v>35106.9026</v>
      </c>
      <c r="S1081" s="32" t="n">
        <f aca="false">R1081*(1-TradeDiscount)</f>
        <v>30894.074288</v>
      </c>
      <c r="T1081" s="32" t="n">
        <f aca="false">R1081*(1-VolumeDiscount)</f>
        <v>28085.52208</v>
      </c>
    </row>
    <row r="1082" customFormat="false" ht="15" hidden="false" customHeight="false" outlineLevel="0" collapsed="false">
      <c r="A1082" s="25" t="s">
        <v>2401</v>
      </c>
      <c r="B1082" s="25" t="s">
        <v>97</v>
      </c>
      <c r="C1082" s="25" t="s">
        <v>50</v>
      </c>
      <c r="D1082" s="25" t="s">
        <v>2402</v>
      </c>
      <c r="E1082" s="25" t="s">
        <v>2366</v>
      </c>
      <c r="F1082" s="25" t="s">
        <v>1838</v>
      </c>
      <c r="G1082" s="25" t="s">
        <v>39</v>
      </c>
      <c r="H1082" s="25" t="s">
        <v>66</v>
      </c>
      <c r="I1082" s="25" t="s">
        <v>190</v>
      </c>
      <c r="J1082" s="25" t="s">
        <v>191</v>
      </c>
      <c r="K1082" s="25" t="s">
        <v>298</v>
      </c>
      <c r="L1082" s="25" t="s">
        <v>30</v>
      </c>
      <c r="M1082" s="25" t="n">
        <v>3009</v>
      </c>
      <c r="N1082" s="25" t="n">
        <v>2090</v>
      </c>
      <c r="O1082" s="25"/>
      <c r="P1082" s="26" t="n">
        <f aca="false">(M1082*N1082/1000000)*(INDEX(AreaRate_Vals,MATCH(C1082,AreaRate_Keys,0))+IFERROR(INDEX(GlazingUpg_Vals,MATCH(H1082,GlazingUpg_Keys,0)),0))+INDEX(Hardware_Vals,MATCH("Doors",Hardware_Keys,0))</f>
        <v>25076.359</v>
      </c>
      <c r="Q1082" s="27" t="n">
        <f aca="false">INDEX(Markup_Vals,MATCH("Doors",MarkupCat_Keys,0))</f>
        <v>0.4</v>
      </c>
      <c r="R1082" s="28" t="n">
        <f aca="false">P1082*(1+Q1082)</f>
        <v>35106.9026</v>
      </c>
      <c r="S1082" s="28" t="n">
        <f aca="false">R1082*(1-TradeDiscount)</f>
        <v>30894.074288</v>
      </c>
      <c r="T1082" s="28" t="n">
        <f aca="false">R1082*(1-VolumeDiscount)</f>
        <v>28085.52208</v>
      </c>
    </row>
    <row r="1083" customFormat="false" ht="15" hidden="false" customHeight="false" outlineLevel="0" collapsed="false">
      <c r="A1083" s="29" t="s">
        <v>2403</v>
      </c>
      <c r="B1083" s="29" t="s">
        <v>97</v>
      </c>
      <c r="C1083" s="29" t="s">
        <v>50</v>
      </c>
      <c r="D1083" s="29" t="s">
        <v>2404</v>
      </c>
      <c r="E1083" s="29" t="s">
        <v>2366</v>
      </c>
      <c r="F1083" s="29" t="s">
        <v>1838</v>
      </c>
      <c r="G1083" s="29" t="s">
        <v>38</v>
      </c>
      <c r="H1083" s="29" t="s">
        <v>66</v>
      </c>
      <c r="I1083" s="29" t="s">
        <v>190</v>
      </c>
      <c r="J1083" s="29" t="s">
        <v>191</v>
      </c>
      <c r="K1083" s="29" t="s">
        <v>298</v>
      </c>
      <c r="L1083" s="29" t="s">
        <v>30</v>
      </c>
      <c r="M1083" s="29" t="n">
        <v>3009</v>
      </c>
      <c r="N1083" s="29" t="n">
        <v>2090</v>
      </c>
      <c r="O1083" s="29"/>
      <c r="P1083" s="30" t="n">
        <f aca="false">(M1083*N1083/1000000)*(INDEX(AreaRate_Vals,MATCH(C1083,AreaRate_Keys,0))+IFERROR(INDEX(GlazingUpg_Vals,MATCH(H1083,GlazingUpg_Keys,0)),0))+INDEX(Hardware_Vals,MATCH("Doors",Hardware_Keys,0))</f>
        <v>25076.359</v>
      </c>
      <c r="Q1083" s="31" t="n">
        <f aca="false">INDEX(Markup_Vals,MATCH("Doors",MarkupCat_Keys,0))</f>
        <v>0.4</v>
      </c>
      <c r="R1083" s="32" t="n">
        <f aca="false">P1083*(1+Q1083)</f>
        <v>35106.9026</v>
      </c>
      <c r="S1083" s="32" t="n">
        <f aca="false">R1083*(1-TradeDiscount)</f>
        <v>30894.074288</v>
      </c>
      <c r="T1083" s="32" t="n">
        <f aca="false">R1083*(1-VolumeDiscount)</f>
        <v>28085.52208</v>
      </c>
    </row>
    <row r="1084" customFormat="false" ht="15" hidden="false" customHeight="false" outlineLevel="0" collapsed="false">
      <c r="A1084" s="25" t="s">
        <v>2405</v>
      </c>
      <c r="B1084" s="25" t="s">
        <v>97</v>
      </c>
      <c r="C1084" s="25" t="s">
        <v>50</v>
      </c>
      <c r="D1084" s="25" t="s">
        <v>2406</v>
      </c>
      <c r="E1084" s="25" t="s">
        <v>2366</v>
      </c>
      <c r="F1084" s="25" t="s">
        <v>1859</v>
      </c>
      <c r="G1084" s="25" t="s">
        <v>35</v>
      </c>
      <c r="H1084" s="25" t="s">
        <v>65</v>
      </c>
      <c r="I1084" s="25" t="s">
        <v>190</v>
      </c>
      <c r="J1084" s="25" t="s">
        <v>191</v>
      </c>
      <c r="K1084" s="25" t="s">
        <v>298</v>
      </c>
      <c r="L1084" s="25" t="s">
        <v>30</v>
      </c>
      <c r="M1084" s="25" t="n">
        <v>3609</v>
      </c>
      <c r="N1084" s="25" t="n">
        <v>2090</v>
      </c>
      <c r="O1084" s="25"/>
      <c r="P1084" s="26" t="n">
        <f aca="false">(M1084*N1084/1000000)*(INDEX(AreaRate_Vals,MATCH(C1084,AreaRate_Keys,0))+IFERROR(INDEX(GlazingUpg_Vals,MATCH(H1084,GlazingUpg_Keys,0)),0))+INDEX(Hardware_Vals,MATCH("Doors",Hardware_Keys,0))</f>
        <v>24686.992</v>
      </c>
      <c r="Q1084" s="27" t="n">
        <f aca="false">INDEX(Markup_Vals,MATCH("Doors",MarkupCat_Keys,0))</f>
        <v>0.4</v>
      </c>
      <c r="R1084" s="28" t="n">
        <f aca="false">P1084*(1+Q1084)</f>
        <v>34561.7888</v>
      </c>
      <c r="S1084" s="28" t="n">
        <f aca="false">R1084*(1-TradeDiscount)</f>
        <v>30414.374144</v>
      </c>
      <c r="T1084" s="28" t="n">
        <f aca="false">R1084*(1-VolumeDiscount)</f>
        <v>27649.43104</v>
      </c>
    </row>
    <row r="1085" customFormat="false" ht="15" hidden="false" customHeight="false" outlineLevel="0" collapsed="false">
      <c r="A1085" s="29" t="s">
        <v>2407</v>
      </c>
      <c r="B1085" s="29" t="s">
        <v>97</v>
      </c>
      <c r="C1085" s="29" t="s">
        <v>50</v>
      </c>
      <c r="D1085" s="29" t="s">
        <v>2408</v>
      </c>
      <c r="E1085" s="29" t="s">
        <v>2366</v>
      </c>
      <c r="F1085" s="29" t="s">
        <v>1859</v>
      </c>
      <c r="G1085" s="29" t="s">
        <v>36</v>
      </c>
      <c r="H1085" s="29" t="s">
        <v>65</v>
      </c>
      <c r="I1085" s="29" t="s">
        <v>190</v>
      </c>
      <c r="J1085" s="29" t="s">
        <v>191</v>
      </c>
      <c r="K1085" s="29" t="s">
        <v>298</v>
      </c>
      <c r="L1085" s="29" t="s">
        <v>30</v>
      </c>
      <c r="M1085" s="29" t="n">
        <v>3609</v>
      </c>
      <c r="N1085" s="29" t="n">
        <v>2090</v>
      </c>
      <c r="O1085" s="29"/>
      <c r="P1085" s="30" t="n">
        <f aca="false">(M1085*N1085/1000000)*(INDEX(AreaRate_Vals,MATCH(C1085,AreaRate_Keys,0))+IFERROR(INDEX(GlazingUpg_Vals,MATCH(H1085,GlazingUpg_Keys,0)),0))+INDEX(Hardware_Vals,MATCH("Doors",Hardware_Keys,0))</f>
        <v>24686.992</v>
      </c>
      <c r="Q1085" s="31" t="n">
        <f aca="false">INDEX(Markup_Vals,MATCH("Doors",MarkupCat_Keys,0))</f>
        <v>0.4</v>
      </c>
      <c r="R1085" s="32" t="n">
        <f aca="false">P1085*(1+Q1085)</f>
        <v>34561.7888</v>
      </c>
      <c r="S1085" s="32" t="n">
        <f aca="false">R1085*(1-TradeDiscount)</f>
        <v>30414.374144</v>
      </c>
      <c r="T1085" s="32" t="n">
        <f aca="false">R1085*(1-VolumeDiscount)</f>
        <v>27649.43104</v>
      </c>
    </row>
    <row r="1086" customFormat="false" ht="15" hidden="false" customHeight="false" outlineLevel="0" collapsed="false">
      <c r="A1086" s="25" t="s">
        <v>2409</v>
      </c>
      <c r="B1086" s="25" t="s">
        <v>97</v>
      </c>
      <c r="C1086" s="25" t="s">
        <v>50</v>
      </c>
      <c r="D1086" s="25" t="s">
        <v>2410</v>
      </c>
      <c r="E1086" s="25" t="s">
        <v>2366</v>
      </c>
      <c r="F1086" s="25" t="s">
        <v>1859</v>
      </c>
      <c r="G1086" s="25" t="s">
        <v>37</v>
      </c>
      <c r="H1086" s="25" t="s">
        <v>65</v>
      </c>
      <c r="I1086" s="25" t="s">
        <v>190</v>
      </c>
      <c r="J1086" s="25" t="s">
        <v>191</v>
      </c>
      <c r="K1086" s="25" t="s">
        <v>298</v>
      </c>
      <c r="L1086" s="25" t="s">
        <v>30</v>
      </c>
      <c r="M1086" s="25" t="n">
        <v>3609</v>
      </c>
      <c r="N1086" s="25" t="n">
        <v>2090</v>
      </c>
      <c r="O1086" s="25"/>
      <c r="P1086" s="26" t="n">
        <f aca="false">(M1086*N1086/1000000)*(INDEX(AreaRate_Vals,MATCH(C1086,AreaRate_Keys,0))+IFERROR(INDEX(GlazingUpg_Vals,MATCH(H1086,GlazingUpg_Keys,0)),0))+INDEX(Hardware_Vals,MATCH("Doors",Hardware_Keys,0))</f>
        <v>24686.992</v>
      </c>
      <c r="Q1086" s="27" t="n">
        <f aca="false">INDEX(Markup_Vals,MATCH("Doors",MarkupCat_Keys,0))</f>
        <v>0.4</v>
      </c>
      <c r="R1086" s="28" t="n">
        <f aca="false">P1086*(1+Q1086)</f>
        <v>34561.7888</v>
      </c>
      <c r="S1086" s="28" t="n">
        <f aca="false">R1086*(1-TradeDiscount)</f>
        <v>30414.374144</v>
      </c>
      <c r="T1086" s="28" t="n">
        <f aca="false">R1086*(1-VolumeDiscount)</f>
        <v>27649.43104</v>
      </c>
    </row>
    <row r="1087" customFormat="false" ht="15" hidden="false" customHeight="false" outlineLevel="0" collapsed="false">
      <c r="A1087" s="29" t="s">
        <v>2411</v>
      </c>
      <c r="B1087" s="29" t="s">
        <v>97</v>
      </c>
      <c r="C1087" s="29" t="s">
        <v>50</v>
      </c>
      <c r="D1087" s="29" t="s">
        <v>2412</v>
      </c>
      <c r="E1087" s="29" t="s">
        <v>2366</v>
      </c>
      <c r="F1087" s="29" t="s">
        <v>1859</v>
      </c>
      <c r="G1087" s="29" t="s">
        <v>39</v>
      </c>
      <c r="H1087" s="29" t="s">
        <v>65</v>
      </c>
      <c r="I1087" s="29" t="s">
        <v>190</v>
      </c>
      <c r="J1087" s="29" t="s">
        <v>191</v>
      </c>
      <c r="K1087" s="29" t="s">
        <v>298</v>
      </c>
      <c r="L1087" s="29" t="s">
        <v>30</v>
      </c>
      <c r="M1087" s="29" t="n">
        <v>3609</v>
      </c>
      <c r="N1087" s="29" t="n">
        <v>2090</v>
      </c>
      <c r="O1087" s="29"/>
      <c r="P1087" s="30" t="n">
        <f aca="false">(M1087*N1087/1000000)*(INDEX(AreaRate_Vals,MATCH(C1087,AreaRate_Keys,0))+IFERROR(INDEX(GlazingUpg_Vals,MATCH(H1087,GlazingUpg_Keys,0)),0))+INDEX(Hardware_Vals,MATCH("Doors",Hardware_Keys,0))</f>
        <v>24686.992</v>
      </c>
      <c r="Q1087" s="31" t="n">
        <f aca="false">INDEX(Markup_Vals,MATCH("Doors",MarkupCat_Keys,0))</f>
        <v>0.4</v>
      </c>
      <c r="R1087" s="32" t="n">
        <f aca="false">P1087*(1+Q1087)</f>
        <v>34561.7888</v>
      </c>
      <c r="S1087" s="32" t="n">
        <f aca="false">R1087*(1-TradeDiscount)</f>
        <v>30414.374144</v>
      </c>
      <c r="T1087" s="32" t="n">
        <f aca="false">R1087*(1-VolumeDiscount)</f>
        <v>27649.43104</v>
      </c>
    </row>
    <row r="1088" customFormat="false" ht="15" hidden="false" customHeight="false" outlineLevel="0" collapsed="false">
      <c r="A1088" s="25" t="s">
        <v>2413</v>
      </c>
      <c r="B1088" s="25" t="s">
        <v>97</v>
      </c>
      <c r="C1088" s="25" t="s">
        <v>50</v>
      </c>
      <c r="D1088" s="25" t="s">
        <v>2414</v>
      </c>
      <c r="E1088" s="25" t="s">
        <v>2366</v>
      </c>
      <c r="F1088" s="25" t="s">
        <v>1859</v>
      </c>
      <c r="G1088" s="25" t="s">
        <v>38</v>
      </c>
      <c r="H1088" s="25" t="s">
        <v>65</v>
      </c>
      <c r="I1088" s="25" t="s">
        <v>190</v>
      </c>
      <c r="J1088" s="25" t="s">
        <v>191</v>
      </c>
      <c r="K1088" s="25" t="s">
        <v>298</v>
      </c>
      <c r="L1088" s="25" t="s">
        <v>30</v>
      </c>
      <c r="M1088" s="25" t="n">
        <v>3609</v>
      </c>
      <c r="N1088" s="25" t="n">
        <v>2090</v>
      </c>
      <c r="O1088" s="25"/>
      <c r="P1088" s="26" t="n">
        <f aca="false">(M1088*N1088/1000000)*(INDEX(AreaRate_Vals,MATCH(C1088,AreaRate_Keys,0))+IFERROR(INDEX(GlazingUpg_Vals,MATCH(H1088,GlazingUpg_Keys,0)),0))+INDEX(Hardware_Vals,MATCH("Doors",Hardware_Keys,0))</f>
        <v>24686.992</v>
      </c>
      <c r="Q1088" s="27" t="n">
        <f aca="false">INDEX(Markup_Vals,MATCH("Doors",MarkupCat_Keys,0))</f>
        <v>0.4</v>
      </c>
      <c r="R1088" s="28" t="n">
        <f aca="false">P1088*(1+Q1088)</f>
        <v>34561.7888</v>
      </c>
      <c r="S1088" s="28" t="n">
        <f aca="false">R1088*(1-TradeDiscount)</f>
        <v>30414.374144</v>
      </c>
      <c r="T1088" s="28" t="n">
        <f aca="false">R1088*(1-VolumeDiscount)</f>
        <v>27649.43104</v>
      </c>
    </row>
    <row r="1089" customFormat="false" ht="15" hidden="false" customHeight="false" outlineLevel="0" collapsed="false">
      <c r="A1089" s="29" t="s">
        <v>2415</v>
      </c>
      <c r="B1089" s="29" t="s">
        <v>97</v>
      </c>
      <c r="C1089" s="29" t="s">
        <v>50</v>
      </c>
      <c r="D1089" s="29" t="s">
        <v>2416</v>
      </c>
      <c r="E1089" s="29" t="s">
        <v>2366</v>
      </c>
      <c r="F1089" s="29" t="s">
        <v>1859</v>
      </c>
      <c r="G1089" s="29" t="s">
        <v>35</v>
      </c>
      <c r="H1089" s="29" t="s">
        <v>66</v>
      </c>
      <c r="I1089" s="29" t="s">
        <v>190</v>
      </c>
      <c r="J1089" s="29" t="s">
        <v>191</v>
      </c>
      <c r="K1089" s="29" t="s">
        <v>298</v>
      </c>
      <c r="L1089" s="29" t="s">
        <v>30</v>
      </c>
      <c r="M1089" s="29" t="n">
        <v>3609</v>
      </c>
      <c r="N1089" s="29" t="n">
        <v>2090</v>
      </c>
      <c r="O1089" s="29"/>
      <c r="P1089" s="30" t="n">
        <f aca="false">(M1089*N1089/1000000)*(INDEX(AreaRate_Vals,MATCH(C1089,AreaRate_Keys,0))+IFERROR(INDEX(GlazingUpg_Vals,MATCH(H1089,GlazingUpg_Keys,0)),0))+INDEX(Hardware_Vals,MATCH("Doors",Hardware_Keys,0))</f>
        <v>29966.959</v>
      </c>
      <c r="Q1089" s="31" t="n">
        <f aca="false">INDEX(Markup_Vals,MATCH("Doors",MarkupCat_Keys,0))</f>
        <v>0.4</v>
      </c>
      <c r="R1089" s="32" t="n">
        <f aca="false">P1089*(1+Q1089)</f>
        <v>41953.7426</v>
      </c>
      <c r="S1089" s="32" t="n">
        <f aca="false">R1089*(1-TradeDiscount)</f>
        <v>36919.293488</v>
      </c>
      <c r="T1089" s="32" t="n">
        <f aca="false">R1089*(1-VolumeDiscount)</f>
        <v>33562.99408</v>
      </c>
    </row>
    <row r="1090" customFormat="false" ht="15" hidden="false" customHeight="false" outlineLevel="0" collapsed="false">
      <c r="A1090" s="25" t="s">
        <v>2417</v>
      </c>
      <c r="B1090" s="25" t="s">
        <v>97</v>
      </c>
      <c r="C1090" s="25" t="s">
        <v>50</v>
      </c>
      <c r="D1090" s="25" t="s">
        <v>2418</v>
      </c>
      <c r="E1090" s="25" t="s">
        <v>2366</v>
      </c>
      <c r="F1090" s="25" t="s">
        <v>1859</v>
      </c>
      <c r="G1090" s="25" t="s">
        <v>36</v>
      </c>
      <c r="H1090" s="25" t="s">
        <v>66</v>
      </c>
      <c r="I1090" s="25" t="s">
        <v>190</v>
      </c>
      <c r="J1090" s="25" t="s">
        <v>191</v>
      </c>
      <c r="K1090" s="25" t="s">
        <v>298</v>
      </c>
      <c r="L1090" s="25" t="s">
        <v>30</v>
      </c>
      <c r="M1090" s="25" t="n">
        <v>3609</v>
      </c>
      <c r="N1090" s="25" t="n">
        <v>2090</v>
      </c>
      <c r="O1090" s="25"/>
      <c r="P1090" s="26" t="n">
        <f aca="false">(M1090*N1090/1000000)*(INDEX(AreaRate_Vals,MATCH(C1090,AreaRate_Keys,0))+IFERROR(INDEX(GlazingUpg_Vals,MATCH(H1090,GlazingUpg_Keys,0)),0))+INDEX(Hardware_Vals,MATCH("Doors",Hardware_Keys,0))</f>
        <v>29966.959</v>
      </c>
      <c r="Q1090" s="27" t="n">
        <f aca="false">INDEX(Markup_Vals,MATCH("Doors",MarkupCat_Keys,0))</f>
        <v>0.4</v>
      </c>
      <c r="R1090" s="28" t="n">
        <f aca="false">P1090*(1+Q1090)</f>
        <v>41953.7426</v>
      </c>
      <c r="S1090" s="28" t="n">
        <f aca="false">R1090*(1-TradeDiscount)</f>
        <v>36919.293488</v>
      </c>
      <c r="T1090" s="28" t="n">
        <f aca="false">R1090*(1-VolumeDiscount)</f>
        <v>33562.99408</v>
      </c>
    </row>
    <row r="1091" customFormat="false" ht="15" hidden="false" customHeight="false" outlineLevel="0" collapsed="false">
      <c r="A1091" s="29" t="s">
        <v>2419</v>
      </c>
      <c r="B1091" s="29" t="s">
        <v>97</v>
      </c>
      <c r="C1091" s="29" t="s">
        <v>50</v>
      </c>
      <c r="D1091" s="29" t="s">
        <v>2420</v>
      </c>
      <c r="E1091" s="29" t="s">
        <v>2366</v>
      </c>
      <c r="F1091" s="29" t="s">
        <v>1859</v>
      </c>
      <c r="G1091" s="29" t="s">
        <v>37</v>
      </c>
      <c r="H1091" s="29" t="s">
        <v>66</v>
      </c>
      <c r="I1091" s="29" t="s">
        <v>190</v>
      </c>
      <c r="J1091" s="29" t="s">
        <v>191</v>
      </c>
      <c r="K1091" s="29" t="s">
        <v>298</v>
      </c>
      <c r="L1091" s="29" t="s">
        <v>30</v>
      </c>
      <c r="M1091" s="29" t="n">
        <v>3609</v>
      </c>
      <c r="N1091" s="29" t="n">
        <v>2090</v>
      </c>
      <c r="O1091" s="29"/>
      <c r="P1091" s="30" t="n">
        <f aca="false">(M1091*N1091/1000000)*(INDEX(AreaRate_Vals,MATCH(C1091,AreaRate_Keys,0))+IFERROR(INDEX(GlazingUpg_Vals,MATCH(H1091,GlazingUpg_Keys,0)),0))+INDEX(Hardware_Vals,MATCH("Doors",Hardware_Keys,0))</f>
        <v>29966.959</v>
      </c>
      <c r="Q1091" s="31" t="n">
        <f aca="false">INDEX(Markup_Vals,MATCH("Doors",MarkupCat_Keys,0))</f>
        <v>0.4</v>
      </c>
      <c r="R1091" s="32" t="n">
        <f aca="false">P1091*(1+Q1091)</f>
        <v>41953.7426</v>
      </c>
      <c r="S1091" s="32" t="n">
        <f aca="false">R1091*(1-TradeDiscount)</f>
        <v>36919.293488</v>
      </c>
      <c r="T1091" s="32" t="n">
        <f aca="false">R1091*(1-VolumeDiscount)</f>
        <v>33562.99408</v>
      </c>
    </row>
    <row r="1092" customFormat="false" ht="15" hidden="false" customHeight="false" outlineLevel="0" collapsed="false">
      <c r="A1092" s="25" t="s">
        <v>2421</v>
      </c>
      <c r="B1092" s="25" t="s">
        <v>97</v>
      </c>
      <c r="C1092" s="25" t="s">
        <v>50</v>
      </c>
      <c r="D1092" s="25" t="s">
        <v>2422</v>
      </c>
      <c r="E1092" s="25" t="s">
        <v>2366</v>
      </c>
      <c r="F1092" s="25" t="s">
        <v>1859</v>
      </c>
      <c r="G1092" s="25" t="s">
        <v>39</v>
      </c>
      <c r="H1092" s="25" t="s">
        <v>66</v>
      </c>
      <c r="I1092" s="25" t="s">
        <v>190</v>
      </c>
      <c r="J1092" s="25" t="s">
        <v>191</v>
      </c>
      <c r="K1092" s="25" t="s">
        <v>298</v>
      </c>
      <c r="L1092" s="25" t="s">
        <v>30</v>
      </c>
      <c r="M1092" s="25" t="n">
        <v>3609</v>
      </c>
      <c r="N1092" s="25" t="n">
        <v>2090</v>
      </c>
      <c r="O1092" s="25"/>
      <c r="P1092" s="26" t="n">
        <f aca="false">(M1092*N1092/1000000)*(INDEX(AreaRate_Vals,MATCH(C1092,AreaRate_Keys,0))+IFERROR(INDEX(GlazingUpg_Vals,MATCH(H1092,GlazingUpg_Keys,0)),0))+INDEX(Hardware_Vals,MATCH("Doors",Hardware_Keys,0))</f>
        <v>29966.959</v>
      </c>
      <c r="Q1092" s="27" t="n">
        <f aca="false">INDEX(Markup_Vals,MATCH("Doors",MarkupCat_Keys,0))</f>
        <v>0.4</v>
      </c>
      <c r="R1092" s="28" t="n">
        <f aca="false">P1092*(1+Q1092)</f>
        <v>41953.7426</v>
      </c>
      <c r="S1092" s="28" t="n">
        <f aca="false">R1092*(1-TradeDiscount)</f>
        <v>36919.293488</v>
      </c>
      <c r="T1092" s="28" t="n">
        <f aca="false">R1092*(1-VolumeDiscount)</f>
        <v>33562.99408</v>
      </c>
    </row>
    <row r="1093" customFormat="false" ht="15" hidden="false" customHeight="false" outlineLevel="0" collapsed="false">
      <c r="A1093" s="29" t="s">
        <v>2423</v>
      </c>
      <c r="B1093" s="29" t="s">
        <v>97</v>
      </c>
      <c r="C1093" s="29" t="s">
        <v>50</v>
      </c>
      <c r="D1093" s="29" t="s">
        <v>2424</v>
      </c>
      <c r="E1093" s="29" t="s">
        <v>2366</v>
      </c>
      <c r="F1093" s="29" t="s">
        <v>1859</v>
      </c>
      <c r="G1093" s="29" t="s">
        <v>38</v>
      </c>
      <c r="H1093" s="29" t="s">
        <v>66</v>
      </c>
      <c r="I1093" s="29" t="s">
        <v>190</v>
      </c>
      <c r="J1093" s="29" t="s">
        <v>191</v>
      </c>
      <c r="K1093" s="29" t="s">
        <v>298</v>
      </c>
      <c r="L1093" s="29" t="s">
        <v>30</v>
      </c>
      <c r="M1093" s="29" t="n">
        <v>3609</v>
      </c>
      <c r="N1093" s="29" t="n">
        <v>2090</v>
      </c>
      <c r="O1093" s="29"/>
      <c r="P1093" s="30" t="n">
        <f aca="false">(M1093*N1093/1000000)*(INDEX(AreaRate_Vals,MATCH(C1093,AreaRate_Keys,0))+IFERROR(INDEX(GlazingUpg_Vals,MATCH(H1093,GlazingUpg_Keys,0)),0))+INDEX(Hardware_Vals,MATCH("Doors",Hardware_Keys,0))</f>
        <v>29966.959</v>
      </c>
      <c r="Q1093" s="31" t="n">
        <f aca="false">INDEX(Markup_Vals,MATCH("Doors",MarkupCat_Keys,0))</f>
        <v>0.4</v>
      </c>
      <c r="R1093" s="32" t="n">
        <f aca="false">P1093*(1+Q1093)</f>
        <v>41953.7426</v>
      </c>
      <c r="S1093" s="32" t="n">
        <f aca="false">R1093*(1-TradeDiscount)</f>
        <v>36919.293488</v>
      </c>
      <c r="T1093" s="32" t="n">
        <f aca="false">R1093*(1-VolumeDiscount)</f>
        <v>33562.99408</v>
      </c>
    </row>
    <row r="1094" customFormat="false" ht="15" hidden="false" customHeight="false" outlineLevel="0" collapsed="false">
      <c r="A1094" s="25" t="s">
        <v>2425</v>
      </c>
      <c r="B1094" s="25" t="s">
        <v>97</v>
      </c>
      <c r="C1094" s="25" t="s">
        <v>50</v>
      </c>
      <c r="D1094" s="25" t="s">
        <v>2426</v>
      </c>
      <c r="E1094" s="25" t="s">
        <v>2366</v>
      </c>
      <c r="F1094" s="25" t="s">
        <v>1880</v>
      </c>
      <c r="G1094" s="25" t="s">
        <v>35</v>
      </c>
      <c r="H1094" s="25" t="s">
        <v>65</v>
      </c>
      <c r="I1094" s="25" t="s">
        <v>190</v>
      </c>
      <c r="J1094" s="25" t="s">
        <v>191</v>
      </c>
      <c r="K1094" s="25" t="s">
        <v>298</v>
      </c>
      <c r="L1094" s="25" t="s">
        <v>30</v>
      </c>
      <c r="M1094" s="25" t="n">
        <v>4209</v>
      </c>
      <c r="N1094" s="25" t="n">
        <v>2090</v>
      </c>
      <c r="O1094" s="25"/>
      <c r="P1094" s="26" t="n">
        <f aca="false">(M1094*N1094/1000000)*(INDEX(AreaRate_Vals,MATCH(C1094,AreaRate_Keys,0))+IFERROR(INDEX(GlazingUpg_Vals,MATCH(H1094,GlazingUpg_Keys,0)),0))+INDEX(Hardware_Vals,MATCH("Doors",Hardware_Keys,0))</f>
        <v>28699.792</v>
      </c>
      <c r="Q1094" s="27" t="n">
        <f aca="false">INDEX(Markup_Vals,MATCH("Doors",MarkupCat_Keys,0))</f>
        <v>0.4</v>
      </c>
      <c r="R1094" s="28" t="n">
        <f aca="false">P1094*(1+Q1094)</f>
        <v>40179.7088</v>
      </c>
      <c r="S1094" s="28" t="n">
        <f aca="false">R1094*(1-TradeDiscount)</f>
        <v>35358.143744</v>
      </c>
      <c r="T1094" s="28" t="n">
        <f aca="false">R1094*(1-VolumeDiscount)</f>
        <v>32143.76704</v>
      </c>
    </row>
    <row r="1095" customFormat="false" ht="15" hidden="false" customHeight="false" outlineLevel="0" collapsed="false">
      <c r="A1095" s="29" t="s">
        <v>2427</v>
      </c>
      <c r="B1095" s="29" t="s">
        <v>97</v>
      </c>
      <c r="C1095" s="29" t="s">
        <v>50</v>
      </c>
      <c r="D1095" s="29" t="s">
        <v>2428</v>
      </c>
      <c r="E1095" s="29" t="s">
        <v>2366</v>
      </c>
      <c r="F1095" s="29" t="s">
        <v>1880</v>
      </c>
      <c r="G1095" s="29" t="s">
        <v>36</v>
      </c>
      <c r="H1095" s="29" t="s">
        <v>65</v>
      </c>
      <c r="I1095" s="29" t="s">
        <v>190</v>
      </c>
      <c r="J1095" s="29" t="s">
        <v>191</v>
      </c>
      <c r="K1095" s="29" t="s">
        <v>298</v>
      </c>
      <c r="L1095" s="29" t="s">
        <v>30</v>
      </c>
      <c r="M1095" s="29" t="n">
        <v>4209</v>
      </c>
      <c r="N1095" s="29" t="n">
        <v>2090</v>
      </c>
      <c r="O1095" s="29"/>
      <c r="P1095" s="30" t="n">
        <f aca="false">(M1095*N1095/1000000)*(INDEX(AreaRate_Vals,MATCH(C1095,AreaRate_Keys,0))+IFERROR(INDEX(GlazingUpg_Vals,MATCH(H1095,GlazingUpg_Keys,0)),0))+INDEX(Hardware_Vals,MATCH("Doors",Hardware_Keys,0))</f>
        <v>28699.792</v>
      </c>
      <c r="Q1095" s="31" t="n">
        <f aca="false">INDEX(Markup_Vals,MATCH("Doors",MarkupCat_Keys,0))</f>
        <v>0.4</v>
      </c>
      <c r="R1095" s="32" t="n">
        <f aca="false">P1095*(1+Q1095)</f>
        <v>40179.7088</v>
      </c>
      <c r="S1095" s="32" t="n">
        <f aca="false">R1095*(1-TradeDiscount)</f>
        <v>35358.143744</v>
      </c>
      <c r="T1095" s="32" t="n">
        <f aca="false">R1095*(1-VolumeDiscount)</f>
        <v>32143.76704</v>
      </c>
    </row>
    <row r="1096" customFormat="false" ht="15" hidden="false" customHeight="false" outlineLevel="0" collapsed="false">
      <c r="A1096" s="25" t="s">
        <v>2429</v>
      </c>
      <c r="B1096" s="25" t="s">
        <v>97</v>
      </c>
      <c r="C1096" s="25" t="s">
        <v>50</v>
      </c>
      <c r="D1096" s="25" t="s">
        <v>2430</v>
      </c>
      <c r="E1096" s="25" t="s">
        <v>2366</v>
      </c>
      <c r="F1096" s="25" t="s">
        <v>1880</v>
      </c>
      <c r="G1096" s="25" t="s">
        <v>37</v>
      </c>
      <c r="H1096" s="25" t="s">
        <v>65</v>
      </c>
      <c r="I1096" s="25" t="s">
        <v>190</v>
      </c>
      <c r="J1096" s="25" t="s">
        <v>191</v>
      </c>
      <c r="K1096" s="25" t="s">
        <v>298</v>
      </c>
      <c r="L1096" s="25" t="s">
        <v>30</v>
      </c>
      <c r="M1096" s="25" t="n">
        <v>4209</v>
      </c>
      <c r="N1096" s="25" t="n">
        <v>2090</v>
      </c>
      <c r="O1096" s="25"/>
      <c r="P1096" s="26" t="n">
        <f aca="false">(M1096*N1096/1000000)*(INDEX(AreaRate_Vals,MATCH(C1096,AreaRate_Keys,0))+IFERROR(INDEX(GlazingUpg_Vals,MATCH(H1096,GlazingUpg_Keys,0)),0))+INDEX(Hardware_Vals,MATCH("Doors",Hardware_Keys,0))</f>
        <v>28699.792</v>
      </c>
      <c r="Q1096" s="27" t="n">
        <f aca="false">INDEX(Markup_Vals,MATCH("Doors",MarkupCat_Keys,0))</f>
        <v>0.4</v>
      </c>
      <c r="R1096" s="28" t="n">
        <f aca="false">P1096*(1+Q1096)</f>
        <v>40179.7088</v>
      </c>
      <c r="S1096" s="28" t="n">
        <f aca="false">R1096*(1-TradeDiscount)</f>
        <v>35358.143744</v>
      </c>
      <c r="T1096" s="28" t="n">
        <f aca="false">R1096*(1-VolumeDiscount)</f>
        <v>32143.76704</v>
      </c>
    </row>
    <row r="1097" customFormat="false" ht="15" hidden="false" customHeight="false" outlineLevel="0" collapsed="false">
      <c r="A1097" s="29" t="s">
        <v>2431</v>
      </c>
      <c r="B1097" s="29" t="s">
        <v>97</v>
      </c>
      <c r="C1097" s="29" t="s">
        <v>50</v>
      </c>
      <c r="D1097" s="29" t="s">
        <v>2432</v>
      </c>
      <c r="E1097" s="29" t="s">
        <v>2366</v>
      </c>
      <c r="F1097" s="29" t="s">
        <v>1880</v>
      </c>
      <c r="G1097" s="29" t="s">
        <v>39</v>
      </c>
      <c r="H1097" s="29" t="s">
        <v>65</v>
      </c>
      <c r="I1097" s="29" t="s">
        <v>190</v>
      </c>
      <c r="J1097" s="29" t="s">
        <v>191</v>
      </c>
      <c r="K1097" s="29" t="s">
        <v>298</v>
      </c>
      <c r="L1097" s="29" t="s">
        <v>30</v>
      </c>
      <c r="M1097" s="29" t="n">
        <v>4209</v>
      </c>
      <c r="N1097" s="29" t="n">
        <v>2090</v>
      </c>
      <c r="O1097" s="29"/>
      <c r="P1097" s="30" t="n">
        <f aca="false">(M1097*N1097/1000000)*(INDEX(AreaRate_Vals,MATCH(C1097,AreaRate_Keys,0))+IFERROR(INDEX(GlazingUpg_Vals,MATCH(H1097,GlazingUpg_Keys,0)),0))+INDEX(Hardware_Vals,MATCH("Doors",Hardware_Keys,0))</f>
        <v>28699.792</v>
      </c>
      <c r="Q1097" s="31" t="n">
        <f aca="false">INDEX(Markup_Vals,MATCH("Doors",MarkupCat_Keys,0))</f>
        <v>0.4</v>
      </c>
      <c r="R1097" s="32" t="n">
        <f aca="false">P1097*(1+Q1097)</f>
        <v>40179.7088</v>
      </c>
      <c r="S1097" s="32" t="n">
        <f aca="false">R1097*(1-TradeDiscount)</f>
        <v>35358.143744</v>
      </c>
      <c r="T1097" s="32" t="n">
        <f aca="false">R1097*(1-VolumeDiscount)</f>
        <v>32143.76704</v>
      </c>
    </row>
    <row r="1098" customFormat="false" ht="15" hidden="false" customHeight="false" outlineLevel="0" collapsed="false">
      <c r="A1098" s="25" t="s">
        <v>2433</v>
      </c>
      <c r="B1098" s="25" t="s">
        <v>97</v>
      </c>
      <c r="C1098" s="25" t="s">
        <v>50</v>
      </c>
      <c r="D1098" s="25" t="s">
        <v>2434</v>
      </c>
      <c r="E1098" s="25" t="s">
        <v>2366</v>
      </c>
      <c r="F1098" s="25" t="s">
        <v>1880</v>
      </c>
      <c r="G1098" s="25" t="s">
        <v>38</v>
      </c>
      <c r="H1098" s="25" t="s">
        <v>65</v>
      </c>
      <c r="I1098" s="25" t="s">
        <v>190</v>
      </c>
      <c r="J1098" s="25" t="s">
        <v>191</v>
      </c>
      <c r="K1098" s="25" t="s">
        <v>298</v>
      </c>
      <c r="L1098" s="25" t="s">
        <v>30</v>
      </c>
      <c r="M1098" s="25" t="n">
        <v>4209</v>
      </c>
      <c r="N1098" s="25" t="n">
        <v>2090</v>
      </c>
      <c r="O1098" s="25"/>
      <c r="P1098" s="26" t="n">
        <f aca="false">(M1098*N1098/1000000)*(INDEX(AreaRate_Vals,MATCH(C1098,AreaRate_Keys,0))+IFERROR(INDEX(GlazingUpg_Vals,MATCH(H1098,GlazingUpg_Keys,0)),0))+INDEX(Hardware_Vals,MATCH("Doors",Hardware_Keys,0))</f>
        <v>28699.792</v>
      </c>
      <c r="Q1098" s="27" t="n">
        <f aca="false">INDEX(Markup_Vals,MATCH("Doors",MarkupCat_Keys,0))</f>
        <v>0.4</v>
      </c>
      <c r="R1098" s="28" t="n">
        <f aca="false">P1098*(1+Q1098)</f>
        <v>40179.7088</v>
      </c>
      <c r="S1098" s="28" t="n">
        <f aca="false">R1098*(1-TradeDiscount)</f>
        <v>35358.143744</v>
      </c>
      <c r="T1098" s="28" t="n">
        <f aca="false">R1098*(1-VolumeDiscount)</f>
        <v>32143.76704</v>
      </c>
    </row>
    <row r="1099" customFormat="false" ht="15" hidden="false" customHeight="false" outlineLevel="0" collapsed="false">
      <c r="A1099" s="29" t="s">
        <v>2435</v>
      </c>
      <c r="B1099" s="29" t="s">
        <v>97</v>
      </c>
      <c r="C1099" s="29" t="s">
        <v>50</v>
      </c>
      <c r="D1099" s="29" t="s">
        <v>2436</v>
      </c>
      <c r="E1099" s="29" t="s">
        <v>2366</v>
      </c>
      <c r="F1099" s="29" t="s">
        <v>1880</v>
      </c>
      <c r="G1099" s="29" t="s">
        <v>35</v>
      </c>
      <c r="H1099" s="29" t="s">
        <v>66</v>
      </c>
      <c r="I1099" s="29" t="s">
        <v>190</v>
      </c>
      <c r="J1099" s="29" t="s">
        <v>191</v>
      </c>
      <c r="K1099" s="29" t="s">
        <v>298</v>
      </c>
      <c r="L1099" s="29" t="s">
        <v>30</v>
      </c>
      <c r="M1099" s="29" t="n">
        <v>4209</v>
      </c>
      <c r="N1099" s="29" t="n">
        <v>2090</v>
      </c>
      <c r="O1099" s="29"/>
      <c r="P1099" s="30" t="n">
        <f aca="false">(M1099*N1099/1000000)*(INDEX(AreaRate_Vals,MATCH(C1099,AreaRate_Keys,0))+IFERROR(INDEX(GlazingUpg_Vals,MATCH(H1099,GlazingUpg_Keys,0)),0))+INDEX(Hardware_Vals,MATCH("Doors",Hardware_Keys,0))</f>
        <v>34857.559</v>
      </c>
      <c r="Q1099" s="31" t="n">
        <f aca="false">INDEX(Markup_Vals,MATCH("Doors",MarkupCat_Keys,0))</f>
        <v>0.4</v>
      </c>
      <c r="R1099" s="32" t="n">
        <f aca="false">P1099*(1+Q1099)</f>
        <v>48800.5826</v>
      </c>
      <c r="S1099" s="32" t="n">
        <f aca="false">R1099*(1-TradeDiscount)</f>
        <v>42944.512688</v>
      </c>
      <c r="T1099" s="32" t="n">
        <f aca="false">R1099*(1-VolumeDiscount)</f>
        <v>39040.46608</v>
      </c>
    </row>
    <row r="1100" customFormat="false" ht="15" hidden="false" customHeight="false" outlineLevel="0" collapsed="false">
      <c r="A1100" s="25" t="s">
        <v>2437</v>
      </c>
      <c r="B1100" s="25" t="s">
        <v>97</v>
      </c>
      <c r="C1100" s="25" t="s">
        <v>50</v>
      </c>
      <c r="D1100" s="25" t="s">
        <v>2438</v>
      </c>
      <c r="E1100" s="25" t="s">
        <v>2366</v>
      </c>
      <c r="F1100" s="25" t="s">
        <v>1880</v>
      </c>
      <c r="G1100" s="25" t="s">
        <v>36</v>
      </c>
      <c r="H1100" s="25" t="s">
        <v>66</v>
      </c>
      <c r="I1100" s="25" t="s">
        <v>190</v>
      </c>
      <c r="J1100" s="25" t="s">
        <v>191</v>
      </c>
      <c r="K1100" s="25" t="s">
        <v>298</v>
      </c>
      <c r="L1100" s="25" t="s">
        <v>30</v>
      </c>
      <c r="M1100" s="25" t="n">
        <v>4209</v>
      </c>
      <c r="N1100" s="25" t="n">
        <v>2090</v>
      </c>
      <c r="O1100" s="25"/>
      <c r="P1100" s="26" t="n">
        <f aca="false">(M1100*N1100/1000000)*(INDEX(AreaRate_Vals,MATCH(C1100,AreaRate_Keys,0))+IFERROR(INDEX(GlazingUpg_Vals,MATCH(H1100,GlazingUpg_Keys,0)),0))+INDEX(Hardware_Vals,MATCH("Doors",Hardware_Keys,0))</f>
        <v>34857.559</v>
      </c>
      <c r="Q1100" s="27" t="n">
        <f aca="false">INDEX(Markup_Vals,MATCH("Doors",MarkupCat_Keys,0))</f>
        <v>0.4</v>
      </c>
      <c r="R1100" s="28" t="n">
        <f aca="false">P1100*(1+Q1100)</f>
        <v>48800.5826</v>
      </c>
      <c r="S1100" s="28" t="n">
        <f aca="false">R1100*(1-TradeDiscount)</f>
        <v>42944.512688</v>
      </c>
      <c r="T1100" s="28" t="n">
        <f aca="false">R1100*(1-VolumeDiscount)</f>
        <v>39040.46608</v>
      </c>
    </row>
    <row r="1101" customFormat="false" ht="15" hidden="false" customHeight="false" outlineLevel="0" collapsed="false">
      <c r="A1101" s="29" t="s">
        <v>2439</v>
      </c>
      <c r="B1101" s="29" t="s">
        <v>97</v>
      </c>
      <c r="C1101" s="29" t="s">
        <v>50</v>
      </c>
      <c r="D1101" s="29" t="s">
        <v>2440</v>
      </c>
      <c r="E1101" s="29" t="s">
        <v>2366</v>
      </c>
      <c r="F1101" s="29" t="s">
        <v>1880</v>
      </c>
      <c r="G1101" s="29" t="s">
        <v>37</v>
      </c>
      <c r="H1101" s="29" t="s">
        <v>66</v>
      </c>
      <c r="I1101" s="29" t="s">
        <v>190</v>
      </c>
      <c r="J1101" s="29" t="s">
        <v>191</v>
      </c>
      <c r="K1101" s="29" t="s">
        <v>298</v>
      </c>
      <c r="L1101" s="29" t="s">
        <v>30</v>
      </c>
      <c r="M1101" s="29" t="n">
        <v>4209</v>
      </c>
      <c r="N1101" s="29" t="n">
        <v>2090</v>
      </c>
      <c r="O1101" s="29"/>
      <c r="P1101" s="30" t="n">
        <f aca="false">(M1101*N1101/1000000)*(INDEX(AreaRate_Vals,MATCH(C1101,AreaRate_Keys,0))+IFERROR(INDEX(GlazingUpg_Vals,MATCH(H1101,GlazingUpg_Keys,0)),0))+INDEX(Hardware_Vals,MATCH("Doors",Hardware_Keys,0))</f>
        <v>34857.559</v>
      </c>
      <c r="Q1101" s="31" t="n">
        <f aca="false">INDEX(Markup_Vals,MATCH("Doors",MarkupCat_Keys,0))</f>
        <v>0.4</v>
      </c>
      <c r="R1101" s="32" t="n">
        <f aca="false">P1101*(1+Q1101)</f>
        <v>48800.5826</v>
      </c>
      <c r="S1101" s="32" t="n">
        <f aca="false">R1101*(1-TradeDiscount)</f>
        <v>42944.512688</v>
      </c>
      <c r="T1101" s="32" t="n">
        <f aca="false">R1101*(1-VolumeDiscount)</f>
        <v>39040.46608</v>
      </c>
    </row>
    <row r="1102" customFormat="false" ht="15" hidden="false" customHeight="false" outlineLevel="0" collapsed="false">
      <c r="A1102" s="25" t="s">
        <v>2441</v>
      </c>
      <c r="B1102" s="25" t="s">
        <v>97</v>
      </c>
      <c r="C1102" s="25" t="s">
        <v>50</v>
      </c>
      <c r="D1102" s="25" t="s">
        <v>2442</v>
      </c>
      <c r="E1102" s="25" t="s">
        <v>2366</v>
      </c>
      <c r="F1102" s="25" t="s">
        <v>1880</v>
      </c>
      <c r="G1102" s="25" t="s">
        <v>39</v>
      </c>
      <c r="H1102" s="25" t="s">
        <v>66</v>
      </c>
      <c r="I1102" s="25" t="s">
        <v>190</v>
      </c>
      <c r="J1102" s="25" t="s">
        <v>191</v>
      </c>
      <c r="K1102" s="25" t="s">
        <v>298</v>
      </c>
      <c r="L1102" s="25" t="s">
        <v>30</v>
      </c>
      <c r="M1102" s="25" t="n">
        <v>4209</v>
      </c>
      <c r="N1102" s="25" t="n">
        <v>2090</v>
      </c>
      <c r="O1102" s="25"/>
      <c r="P1102" s="26" t="n">
        <f aca="false">(M1102*N1102/1000000)*(INDEX(AreaRate_Vals,MATCH(C1102,AreaRate_Keys,0))+IFERROR(INDEX(GlazingUpg_Vals,MATCH(H1102,GlazingUpg_Keys,0)),0))+INDEX(Hardware_Vals,MATCH("Doors",Hardware_Keys,0))</f>
        <v>34857.559</v>
      </c>
      <c r="Q1102" s="27" t="n">
        <f aca="false">INDEX(Markup_Vals,MATCH("Doors",MarkupCat_Keys,0))</f>
        <v>0.4</v>
      </c>
      <c r="R1102" s="28" t="n">
        <f aca="false">P1102*(1+Q1102)</f>
        <v>48800.5826</v>
      </c>
      <c r="S1102" s="28" t="n">
        <f aca="false">R1102*(1-TradeDiscount)</f>
        <v>42944.512688</v>
      </c>
      <c r="T1102" s="28" t="n">
        <f aca="false">R1102*(1-VolumeDiscount)</f>
        <v>39040.46608</v>
      </c>
    </row>
    <row r="1103" customFormat="false" ht="15" hidden="false" customHeight="false" outlineLevel="0" collapsed="false">
      <c r="A1103" s="29" t="s">
        <v>2443</v>
      </c>
      <c r="B1103" s="29" t="s">
        <v>97</v>
      </c>
      <c r="C1103" s="29" t="s">
        <v>50</v>
      </c>
      <c r="D1103" s="29" t="s">
        <v>2444</v>
      </c>
      <c r="E1103" s="29" t="s">
        <v>2366</v>
      </c>
      <c r="F1103" s="29" t="s">
        <v>1880</v>
      </c>
      <c r="G1103" s="29" t="s">
        <v>38</v>
      </c>
      <c r="H1103" s="29" t="s">
        <v>66</v>
      </c>
      <c r="I1103" s="29" t="s">
        <v>190</v>
      </c>
      <c r="J1103" s="29" t="s">
        <v>191</v>
      </c>
      <c r="K1103" s="29" t="s">
        <v>298</v>
      </c>
      <c r="L1103" s="29" t="s">
        <v>30</v>
      </c>
      <c r="M1103" s="29" t="n">
        <v>4209</v>
      </c>
      <c r="N1103" s="29" t="n">
        <v>2090</v>
      </c>
      <c r="O1103" s="29"/>
      <c r="P1103" s="30" t="n">
        <f aca="false">(M1103*N1103/1000000)*(INDEX(AreaRate_Vals,MATCH(C1103,AreaRate_Keys,0))+IFERROR(INDEX(GlazingUpg_Vals,MATCH(H1103,GlazingUpg_Keys,0)),0))+INDEX(Hardware_Vals,MATCH("Doors",Hardware_Keys,0))</f>
        <v>34857.559</v>
      </c>
      <c r="Q1103" s="31" t="n">
        <f aca="false">INDEX(Markup_Vals,MATCH("Doors",MarkupCat_Keys,0))</f>
        <v>0.4</v>
      </c>
      <c r="R1103" s="32" t="n">
        <f aca="false">P1103*(1+Q1103)</f>
        <v>48800.5826</v>
      </c>
      <c r="S1103" s="32" t="n">
        <f aca="false">R1103*(1-TradeDiscount)</f>
        <v>42944.512688</v>
      </c>
      <c r="T1103" s="32" t="n">
        <f aca="false">R1103*(1-VolumeDiscount)</f>
        <v>39040.46608</v>
      </c>
    </row>
    <row r="1104" customFormat="false" ht="15" hidden="false" customHeight="false" outlineLevel="0" collapsed="false">
      <c r="A1104" s="25" t="s">
        <v>2445</v>
      </c>
      <c r="B1104" s="25" t="s">
        <v>97</v>
      </c>
      <c r="C1104" s="25" t="s">
        <v>50</v>
      </c>
      <c r="D1104" s="25" t="s">
        <v>2446</v>
      </c>
      <c r="E1104" s="25" t="s">
        <v>2366</v>
      </c>
      <c r="F1104" s="25" t="s">
        <v>1901</v>
      </c>
      <c r="G1104" s="25" t="s">
        <v>35</v>
      </c>
      <c r="H1104" s="25" t="s">
        <v>65</v>
      </c>
      <c r="I1104" s="25" t="s">
        <v>190</v>
      </c>
      <c r="J1104" s="25" t="s">
        <v>191</v>
      </c>
      <c r="K1104" s="25" t="s">
        <v>298</v>
      </c>
      <c r="L1104" s="25" t="s">
        <v>30</v>
      </c>
      <c r="M1104" s="25" t="n">
        <v>4809</v>
      </c>
      <c r="N1104" s="25" t="n">
        <v>2090</v>
      </c>
      <c r="O1104" s="25"/>
      <c r="P1104" s="26" t="n">
        <f aca="false">(M1104*N1104/1000000)*(INDEX(AreaRate_Vals,MATCH(C1104,AreaRate_Keys,0))+IFERROR(INDEX(GlazingUpg_Vals,MATCH(H1104,GlazingUpg_Keys,0)),0))+INDEX(Hardware_Vals,MATCH("Doors",Hardware_Keys,0))</f>
        <v>32712.592</v>
      </c>
      <c r="Q1104" s="27" t="n">
        <f aca="false">INDEX(Markup_Vals,MATCH("Doors",MarkupCat_Keys,0))</f>
        <v>0.4</v>
      </c>
      <c r="R1104" s="28" t="n">
        <f aca="false">P1104*(1+Q1104)</f>
        <v>45797.6288</v>
      </c>
      <c r="S1104" s="28" t="n">
        <f aca="false">R1104*(1-TradeDiscount)</f>
        <v>40301.913344</v>
      </c>
      <c r="T1104" s="28" t="n">
        <f aca="false">R1104*(1-VolumeDiscount)</f>
        <v>36638.10304</v>
      </c>
    </row>
    <row r="1105" customFormat="false" ht="15" hidden="false" customHeight="false" outlineLevel="0" collapsed="false">
      <c r="A1105" s="29" t="s">
        <v>2447</v>
      </c>
      <c r="B1105" s="29" t="s">
        <v>97</v>
      </c>
      <c r="C1105" s="29" t="s">
        <v>50</v>
      </c>
      <c r="D1105" s="29" t="s">
        <v>2448</v>
      </c>
      <c r="E1105" s="29" t="s">
        <v>2366</v>
      </c>
      <c r="F1105" s="29" t="s">
        <v>1901</v>
      </c>
      <c r="G1105" s="29" t="s">
        <v>36</v>
      </c>
      <c r="H1105" s="29" t="s">
        <v>65</v>
      </c>
      <c r="I1105" s="29" t="s">
        <v>190</v>
      </c>
      <c r="J1105" s="29" t="s">
        <v>191</v>
      </c>
      <c r="K1105" s="29" t="s">
        <v>298</v>
      </c>
      <c r="L1105" s="29" t="s">
        <v>30</v>
      </c>
      <c r="M1105" s="29" t="n">
        <v>4809</v>
      </c>
      <c r="N1105" s="29" t="n">
        <v>2090</v>
      </c>
      <c r="O1105" s="29"/>
      <c r="P1105" s="30" t="n">
        <f aca="false">(M1105*N1105/1000000)*(INDEX(AreaRate_Vals,MATCH(C1105,AreaRate_Keys,0))+IFERROR(INDEX(GlazingUpg_Vals,MATCH(H1105,GlazingUpg_Keys,0)),0))+INDEX(Hardware_Vals,MATCH("Doors",Hardware_Keys,0))</f>
        <v>32712.592</v>
      </c>
      <c r="Q1105" s="31" t="n">
        <f aca="false">INDEX(Markup_Vals,MATCH("Doors",MarkupCat_Keys,0))</f>
        <v>0.4</v>
      </c>
      <c r="R1105" s="32" t="n">
        <f aca="false">P1105*(1+Q1105)</f>
        <v>45797.6288</v>
      </c>
      <c r="S1105" s="32" t="n">
        <f aca="false">R1105*(1-TradeDiscount)</f>
        <v>40301.913344</v>
      </c>
      <c r="T1105" s="32" t="n">
        <f aca="false">R1105*(1-VolumeDiscount)</f>
        <v>36638.10304</v>
      </c>
    </row>
    <row r="1106" customFormat="false" ht="15" hidden="false" customHeight="false" outlineLevel="0" collapsed="false">
      <c r="A1106" s="25" t="s">
        <v>2449</v>
      </c>
      <c r="B1106" s="25" t="s">
        <v>97</v>
      </c>
      <c r="C1106" s="25" t="s">
        <v>50</v>
      </c>
      <c r="D1106" s="25" t="s">
        <v>2450</v>
      </c>
      <c r="E1106" s="25" t="s">
        <v>2366</v>
      </c>
      <c r="F1106" s="25" t="s">
        <v>1901</v>
      </c>
      <c r="G1106" s="25" t="s">
        <v>37</v>
      </c>
      <c r="H1106" s="25" t="s">
        <v>65</v>
      </c>
      <c r="I1106" s="25" t="s">
        <v>190</v>
      </c>
      <c r="J1106" s="25" t="s">
        <v>191</v>
      </c>
      <c r="K1106" s="25" t="s">
        <v>298</v>
      </c>
      <c r="L1106" s="25" t="s">
        <v>30</v>
      </c>
      <c r="M1106" s="25" t="n">
        <v>4809</v>
      </c>
      <c r="N1106" s="25" t="n">
        <v>2090</v>
      </c>
      <c r="O1106" s="25"/>
      <c r="P1106" s="26" t="n">
        <f aca="false">(M1106*N1106/1000000)*(INDEX(AreaRate_Vals,MATCH(C1106,AreaRate_Keys,0))+IFERROR(INDEX(GlazingUpg_Vals,MATCH(H1106,GlazingUpg_Keys,0)),0))+INDEX(Hardware_Vals,MATCH("Doors",Hardware_Keys,0))</f>
        <v>32712.592</v>
      </c>
      <c r="Q1106" s="27" t="n">
        <f aca="false">INDEX(Markup_Vals,MATCH("Doors",MarkupCat_Keys,0))</f>
        <v>0.4</v>
      </c>
      <c r="R1106" s="28" t="n">
        <f aca="false">P1106*(1+Q1106)</f>
        <v>45797.6288</v>
      </c>
      <c r="S1106" s="28" t="n">
        <f aca="false">R1106*(1-TradeDiscount)</f>
        <v>40301.913344</v>
      </c>
      <c r="T1106" s="28" t="n">
        <f aca="false">R1106*(1-VolumeDiscount)</f>
        <v>36638.10304</v>
      </c>
    </row>
    <row r="1107" customFormat="false" ht="15" hidden="false" customHeight="false" outlineLevel="0" collapsed="false">
      <c r="A1107" s="29" t="s">
        <v>2451</v>
      </c>
      <c r="B1107" s="29" t="s">
        <v>97</v>
      </c>
      <c r="C1107" s="29" t="s">
        <v>50</v>
      </c>
      <c r="D1107" s="29" t="s">
        <v>2452</v>
      </c>
      <c r="E1107" s="29" t="s">
        <v>2366</v>
      </c>
      <c r="F1107" s="29" t="s">
        <v>1901</v>
      </c>
      <c r="G1107" s="29" t="s">
        <v>39</v>
      </c>
      <c r="H1107" s="29" t="s">
        <v>65</v>
      </c>
      <c r="I1107" s="29" t="s">
        <v>190</v>
      </c>
      <c r="J1107" s="29" t="s">
        <v>191</v>
      </c>
      <c r="K1107" s="29" t="s">
        <v>298</v>
      </c>
      <c r="L1107" s="29" t="s">
        <v>30</v>
      </c>
      <c r="M1107" s="29" t="n">
        <v>4809</v>
      </c>
      <c r="N1107" s="29" t="n">
        <v>2090</v>
      </c>
      <c r="O1107" s="29"/>
      <c r="P1107" s="30" t="n">
        <f aca="false">(M1107*N1107/1000000)*(INDEX(AreaRate_Vals,MATCH(C1107,AreaRate_Keys,0))+IFERROR(INDEX(GlazingUpg_Vals,MATCH(H1107,GlazingUpg_Keys,0)),0))+INDEX(Hardware_Vals,MATCH("Doors",Hardware_Keys,0))</f>
        <v>32712.592</v>
      </c>
      <c r="Q1107" s="31" t="n">
        <f aca="false">INDEX(Markup_Vals,MATCH("Doors",MarkupCat_Keys,0))</f>
        <v>0.4</v>
      </c>
      <c r="R1107" s="32" t="n">
        <f aca="false">P1107*(1+Q1107)</f>
        <v>45797.6288</v>
      </c>
      <c r="S1107" s="32" t="n">
        <f aca="false">R1107*(1-TradeDiscount)</f>
        <v>40301.913344</v>
      </c>
      <c r="T1107" s="32" t="n">
        <f aca="false">R1107*(1-VolumeDiscount)</f>
        <v>36638.10304</v>
      </c>
    </row>
    <row r="1108" customFormat="false" ht="15" hidden="false" customHeight="false" outlineLevel="0" collapsed="false">
      <c r="A1108" s="25" t="s">
        <v>2453</v>
      </c>
      <c r="B1108" s="25" t="s">
        <v>97</v>
      </c>
      <c r="C1108" s="25" t="s">
        <v>50</v>
      </c>
      <c r="D1108" s="25" t="s">
        <v>2454</v>
      </c>
      <c r="E1108" s="25" t="s">
        <v>2366</v>
      </c>
      <c r="F1108" s="25" t="s">
        <v>1901</v>
      </c>
      <c r="G1108" s="25" t="s">
        <v>38</v>
      </c>
      <c r="H1108" s="25" t="s">
        <v>65</v>
      </c>
      <c r="I1108" s="25" t="s">
        <v>190</v>
      </c>
      <c r="J1108" s="25" t="s">
        <v>191</v>
      </c>
      <c r="K1108" s="25" t="s">
        <v>298</v>
      </c>
      <c r="L1108" s="25" t="s">
        <v>30</v>
      </c>
      <c r="M1108" s="25" t="n">
        <v>4809</v>
      </c>
      <c r="N1108" s="25" t="n">
        <v>2090</v>
      </c>
      <c r="O1108" s="25"/>
      <c r="P1108" s="26" t="n">
        <f aca="false">(M1108*N1108/1000000)*(INDEX(AreaRate_Vals,MATCH(C1108,AreaRate_Keys,0))+IFERROR(INDEX(GlazingUpg_Vals,MATCH(H1108,GlazingUpg_Keys,0)),0))+INDEX(Hardware_Vals,MATCH("Doors",Hardware_Keys,0))</f>
        <v>32712.592</v>
      </c>
      <c r="Q1108" s="27" t="n">
        <f aca="false">INDEX(Markup_Vals,MATCH("Doors",MarkupCat_Keys,0))</f>
        <v>0.4</v>
      </c>
      <c r="R1108" s="28" t="n">
        <f aca="false">P1108*(1+Q1108)</f>
        <v>45797.6288</v>
      </c>
      <c r="S1108" s="28" t="n">
        <f aca="false">R1108*(1-TradeDiscount)</f>
        <v>40301.913344</v>
      </c>
      <c r="T1108" s="28" t="n">
        <f aca="false">R1108*(1-VolumeDiscount)</f>
        <v>36638.10304</v>
      </c>
    </row>
    <row r="1109" customFormat="false" ht="15" hidden="false" customHeight="false" outlineLevel="0" collapsed="false">
      <c r="A1109" s="29" t="s">
        <v>2455</v>
      </c>
      <c r="B1109" s="29" t="s">
        <v>97</v>
      </c>
      <c r="C1109" s="29" t="s">
        <v>50</v>
      </c>
      <c r="D1109" s="29" t="s">
        <v>2456</v>
      </c>
      <c r="E1109" s="29" t="s">
        <v>2366</v>
      </c>
      <c r="F1109" s="29" t="s">
        <v>1901</v>
      </c>
      <c r="G1109" s="29" t="s">
        <v>35</v>
      </c>
      <c r="H1109" s="29" t="s">
        <v>66</v>
      </c>
      <c r="I1109" s="29" t="s">
        <v>190</v>
      </c>
      <c r="J1109" s="29" t="s">
        <v>191</v>
      </c>
      <c r="K1109" s="29" t="s">
        <v>298</v>
      </c>
      <c r="L1109" s="29" t="s">
        <v>30</v>
      </c>
      <c r="M1109" s="29" t="n">
        <v>4809</v>
      </c>
      <c r="N1109" s="29" t="n">
        <v>2090</v>
      </c>
      <c r="O1109" s="29"/>
      <c r="P1109" s="30" t="n">
        <f aca="false">(M1109*N1109/1000000)*(INDEX(AreaRate_Vals,MATCH(C1109,AreaRate_Keys,0))+IFERROR(INDEX(GlazingUpg_Vals,MATCH(H1109,GlazingUpg_Keys,0)),0))+INDEX(Hardware_Vals,MATCH("Doors",Hardware_Keys,0))</f>
        <v>39748.159</v>
      </c>
      <c r="Q1109" s="31" t="n">
        <f aca="false">INDEX(Markup_Vals,MATCH("Doors",MarkupCat_Keys,0))</f>
        <v>0.4</v>
      </c>
      <c r="R1109" s="32" t="n">
        <f aca="false">P1109*(1+Q1109)</f>
        <v>55647.4226</v>
      </c>
      <c r="S1109" s="32" t="n">
        <f aca="false">R1109*(1-TradeDiscount)</f>
        <v>48969.731888</v>
      </c>
      <c r="T1109" s="32" t="n">
        <f aca="false">R1109*(1-VolumeDiscount)</f>
        <v>44517.93808</v>
      </c>
    </row>
    <row r="1110" customFormat="false" ht="15" hidden="false" customHeight="false" outlineLevel="0" collapsed="false">
      <c r="A1110" s="25" t="s">
        <v>2457</v>
      </c>
      <c r="B1110" s="25" t="s">
        <v>97</v>
      </c>
      <c r="C1110" s="25" t="s">
        <v>50</v>
      </c>
      <c r="D1110" s="25" t="s">
        <v>2458</v>
      </c>
      <c r="E1110" s="25" t="s">
        <v>2366</v>
      </c>
      <c r="F1110" s="25" t="s">
        <v>1901</v>
      </c>
      <c r="G1110" s="25" t="s">
        <v>36</v>
      </c>
      <c r="H1110" s="25" t="s">
        <v>66</v>
      </c>
      <c r="I1110" s="25" t="s">
        <v>190</v>
      </c>
      <c r="J1110" s="25" t="s">
        <v>191</v>
      </c>
      <c r="K1110" s="25" t="s">
        <v>298</v>
      </c>
      <c r="L1110" s="25" t="s">
        <v>30</v>
      </c>
      <c r="M1110" s="25" t="n">
        <v>4809</v>
      </c>
      <c r="N1110" s="25" t="n">
        <v>2090</v>
      </c>
      <c r="O1110" s="25"/>
      <c r="P1110" s="26" t="n">
        <f aca="false">(M1110*N1110/1000000)*(INDEX(AreaRate_Vals,MATCH(C1110,AreaRate_Keys,0))+IFERROR(INDEX(GlazingUpg_Vals,MATCH(H1110,GlazingUpg_Keys,0)),0))+INDEX(Hardware_Vals,MATCH("Doors",Hardware_Keys,0))</f>
        <v>39748.159</v>
      </c>
      <c r="Q1110" s="27" t="n">
        <f aca="false">INDEX(Markup_Vals,MATCH("Doors",MarkupCat_Keys,0))</f>
        <v>0.4</v>
      </c>
      <c r="R1110" s="28" t="n">
        <f aca="false">P1110*(1+Q1110)</f>
        <v>55647.4226</v>
      </c>
      <c r="S1110" s="28" t="n">
        <f aca="false">R1110*(1-TradeDiscount)</f>
        <v>48969.731888</v>
      </c>
      <c r="T1110" s="28" t="n">
        <f aca="false">R1110*(1-VolumeDiscount)</f>
        <v>44517.93808</v>
      </c>
    </row>
    <row r="1111" customFormat="false" ht="15" hidden="false" customHeight="false" outlineLevel="0" collapsed="false">
      <c r="A1111" s="29" t="s">
        <v>2459</v>
      </c>
      <c r="B1111" s="29" t="s">
        <v>97</v>
      </c>
      <c r="C1111" s="29" t="s">
        <v>50</v>
      </c>
      <c r="D1111" s="29" t="s">
        <v>2460</v>
      </c>
      <c r="E1111" s="29" t="s">
        <v>2366</v>
      </c>
      <c r="F1111" s="29" t="s">
        <v>1901</v>
      </c>
      <c r="G1111" s="29" t="s">
        <v>37</v>
      </c>
      <c r="H1111" s="29" t="s">
        <v>66</v>
      </c>
      <c r="I1111" s="29" t="s">
        <v>190</v>
      </c>
      <c r="J1111" s="29" t="s">
        <v>191</v>
      </c>
      <c r="K1111" s="29" t="s">
        <v>298</v>
      </c>
      <c r="L1111" s="29" t="s">
        <v>30</v>
      </c>
      <c r="M1111" s="29" t="n">
        <v>4809</v>
      </c>
      <c r="N1111" s="29" t="n">
        <v>2090</v>
      </c>
      <c r="O1111" s="29"/>
      <c r="P1111" s="30" t="n">
        <f aca="false">(M1111*N1111/1000000)*(INDEX(AreaRate_Vals,MATCH(C1111,AreaRate_Keys,0))+IFERROR(INDEX(GlazingUpg_Vals,MATCH(H1111,GlazingUpg_Keys,0)),0))+INDEX(Hardware_Vals,MATCH("Doors",Hardware_Keys,0))</f>
        <v>39748.159</v>
      </c>
      <c r="Q1111" s="31" t="n">
        <f aca="false">INDEX(Markup_Vals,MATCH("Doors",MarkupCat_Keys,0))</f>
        <v>0.4</v>
      </c>
      <c r="R1111" s="32" t="n">
        <f aca="false">P1111*(1+Q1111)</f>
        <v>55647.4226</v>
      </c>
      <c r="S1111" s="32" t="n">
        <f aca="false">R1111*(1-TradeDiscount)</f>
        <v>48969.731888</v>
      </c>
      <c r="T1111" s="32" t="n">
        <f aca="false">R1111*(1-VolumeDiscount)</f>
        <v>44517.93808</v>
      </c>
    </row>
    <row r="1112" customFormat="false" ht="15" hidden="false" customHeight="false" outlineLevel="0" collapsed="false">
      <c r="A1112" s="25" t="s">
        <v>2461</v>
      </c>
      <c r="B1112" s="25" t="s">
        <v>97</v>
      </c>
      <c r="C1112" s="25" t="s">
        <v>50</v>
      </c>
      <c r="D1112" s="25" t="s">
        <v>2462</v>
      </c>
      <c r="E1112" s="25" t="s">
        <v>2366</v>
      </c>
      <c r="F1112" s="25" t="s">
        <v>1901</v>
      </c>
      <c r="G1112" s="25" t="s">
        <v>39</v>
      </c>
      <c r="H1112" s="25" t="s">
        <v>66</v>
      </c>
      <c r="I1112" s="25" t="s">
        <v>190</v>
      </c>
      <c r="J1112" s="25" t="s">
        <v>191</v>
      </c>
      <c r="K1112" s="25" t="s">
        <v>298</v>
      </c>
      <c r="L1112" s="25" t="s">
        <v>30</v>
      </c>
      <c r="M1112" s="25" t="n">
        <v>4809</v>
      </c>
      <c r="N1112" s="25" t="n">
        <v>2090</v>
      </c>
      <c r="O1112" s="25"/>
      <c r="P1112" s="26" t="n">
        <f aca="false">(M1112*N1112/1000000)*(INDEX(AreaRate_Vals,MATCH(C1112,AreaRate_Keys,0))+IFERROR(INDEX(GlazingUpg_Vals,MATCH(H1112,GlazingUpg_Keys,0)),0))+INDEX(Hardware_Vals,MATCH("Doors",Hardware_Keys,0))</f>
        <v>39748.159</v>
      </c>
      <c r="Q1112" s="27" t="n">
        <f aca="false">INDEX(Markup_Vals,MATCH("Doors",MarkupCat_Keys,0))</f>
        <v>0.4</v>
      </c>
      <c r="R1112" s="28" t="n">
        <f aca="false">P1112*(1+Q1112)</f>
        <v>55647.4226</v>
      </c>
      <c r="S1112" s="28" t="n">
        <f aca="false">R1112*(1-TradeDiscount)</f>
        <v>48969.731888</v>
      </c>
      <c r="T1112" s="28" t="n">
        <f aca="false">R1112*(1-VolumeDiscount)</f>
        <v>44517.93808</v>
      </c>
    </row>
    <row r="1113" customFormat="false" ht="15" hidden="false" customHeight="false" outlineLevel="0" collapsed="false">
      <c r="A1113" s="29" t="s">
        <v>2463</v>
      </c>
      <c r="B1113" s="29" t="s">
        <v>97</v>
      </c>
      <c r="C1113" s="29" t="s">
        <v>50</v>
      </c>
      <c r="D1113" s="29" t="s">
        <v>2464</v>
      </c>
      <c r="E1113" s="29" t="s">
        <v>2366</v>
      </c>
      <c r="F1113" s="29" t="s">
        <v>1901</v>
      </c>
      <c r="G1113" s="29" t="s">
        <v>38</v>
      </c>
      <c r="H1113" s="29" t="s">
        <v>66</v>
      </c>
      <c r="I1113" s="29" t="s">
        <v>190</v>
      </c>
      <c r="J1113" s="29" t="s">
        <v>191</v>
      </c>
      <c r="K1113" s="29" t="s">
        <v>298</v>
      </c>
      <c r="L1113" s="29" t="s">
        <v>30</v>
      </c>
      <c r="M1113" s="29" t="n">
        <v>4809</v>
      </c>
      <c r="N1113" s="29" t="n">
        <v>2090</v>
      </c>
      <c r="O1113" s="29"/>
      <c r="P1113" s="30" t="n">
        <f aca="false">(M1113*N1113/1000000)*(INDEX(AreaRate_Vals,MATCH(C1113,AreaRate_Keys,0))+IFERROR(INDEX(GlazingUpg_Vals,MATCH(H1113,GlazingUpg_Keys,0)),0))+INDEX(Hardware_Vals,MATCH("Doors",Hardware_Keys,0))</f>
        <v>39748.159</v>
      </c>
      <c r="Q1113" s="31" t="n">
        <f aca="false">INDEX(Markup_Vals,MATCH("Doors",MarkupCat_Keys,0))</f>
        <v>0.4</v>
      </c>
      <c r="R1113" s="32" t="n">
        <f aca="false">P1113*(1+Q1113)</f>
        <v>55647.4226</v>
      </c>
      <c r="S1113" s="32" t="n">
        <f aca="false">R1113*(1-TradeDiscount)</f>
        <v>48969.731888</v>
      </c>
      <c r="T1113" s="32" t="n">
        <f aca="false">R1113*(1-VolumeDiscount)</f>
        <v>44517.93808</v>
      </c>
    </row>
    <row r="1114" customFormat="false" ht="15" hidden="false" customHeight="false" outlineLevel="0" collapsed="false">
      <c r="A1114" s="25" t="s">
        <v>2465</v>
      </c>
      <c r="B1114" s="25" t="s">
        <v>97</v>
      </c>
      <c r="C1114" s="25" t="s">
        <v>50</v>
      </c>
      <c r="D1114" s="25" t="s">
        <v>2466</v>
      </c>
      <c r="E1114" s="25" t="s">
        <v>2366</v>
      </c>
      <c r="F1114" s="25" t="s">
        <v>2345</v>
      </c>
      <c r="G1114" s="25" t="s">
        <v>35</v>
      </c>
      <c r="H1114" s="25" t="s">
        <v>65</v>
      </c>
      <c r="I1114" s="25" t="s">
        <v>190</v>
      </c>
      <c r="J1114" s="25" t="s">
        <v>191</v>
      </c>
      <c r="K1114" s="25" t="s">
        <v>298</v>
      </c>
      <c r="L1114" s="25" t="s">
        <v>30</v>
      </c>
      <c r="M1114" s="25" t="n">
        <v>5409</v>
      </c>
      <c r="N1114" s="25" t="n">
        <v>2090</v>
      </c>
      <c r="O1114" s="25"/>
      <c r="P1114" s="26" t="n">
        <f aca="false">(M1114*N1114/1000000)*(INDEX(AreaRate_Vals,MATCH(C1114,AreaRate_Keys,0))+IFERROR(INDEX(GlazingUpg_Vals,MATCH(H1114,GlazingUpg_Keys,0)),0))+INDEX(Hardware_Vals,MATCH("Doors",Hardware_Keys,0))</f>
        <v>36725.392</v>
      </c>
      <c r="Q1114" s="27" t="n">
        <f aca="false">INDEX(Markup_Vals,MATCH("Doors",MarkupCat_Keys,0))</f>
        <v>0.4</v>
      </c>
      <c r="R1114" s="28" t="n">
        <f aca="false">P1114*(1+Q1114)</f>
        <v>51415.5488</v>
      </c>
      <c r="S1114" s="28" t="n">
        <f aca="false">R1114*(1-TradeDiscount)</f>
        <v>45245.682944</v>
      </c>
      <c r="T1114" s="28" t="n">
        <f aca="false">R1114*(1-VolumeDiscount)</f>
        <v>41132.43904</v>
      </c>
    </row>
    <row r="1115" customFormat="false" ht="15" hidden="false" customHeight="false" outlineLevel="0" collapsed="false">
      <c r="A1115" s="29" t="s">
        <v>2467</v>
      </c>
      <c r="B1115" s="29" t="s">
        <v>97</v>
      </c>
      <c r="C1115" s="29" t="s">
        <v>50</v>
      </c>
      <c r="D1115" s="29" t="s">
        <v>2468</v>
      </c>
      <c r="E1115" s="29" t="s">
        <v>2366</v>
      </c>
      <c r="F1115" s="29" t="s">
        <v>2345</v>
      </c>
      <c r="G1115" s="29" t="s">
        <v>36</v>
      </c>
      <c r="H1115" s="29" t="s">
        <v>65</v>
      </c>
      <c r="I1115" s="29" t="s">
        <v>190</v>
      </c>
      <c r="J1115" s="29" t="s">
        <v>191</v>
      </c>
      <c r="K1115" s="29" t="s">
        <v>298</v>
      </c>
      <c r="L1115" s="29" t="s">
        <v>30</v>
      </c>
      <c r="M1115" s="29" t="n">
        <v>5409</v>
      </c>
      <c r="N1115" s="29" t="n">
        <v>2090</v>
      </c>
      <c r="O1115" s="29"/>
      <c r="P1115" s="30" t="n">
        <f aca="false">(M1115*N1115/1000000)*(INDEX(AreaRate_Vals,MATCH(C1115,AreaRate_Keys,0))+IFERROR(INDEX(GlazingUpg_Vals,MATCH(H1115,GlazingUpg_Keys,0)),0))+INDEX(Hardware_Vals,MATCH("Doors",Hardware_Keys,0))</f>
        <v>36725.392</v>
      </c>
      <c r="Q1115" s="31" t="n">
        <f aca="false">INDEX(Markup_Vals,MATCH("Doors",MarkupCat_Keys,0))</f>
        <v>0.4</v>
      </c>
      <c r="R1115" s="32" t="n">
        <f aca="false">P1115*(1+Q1115)</f>
        <v>51415.5488</v>
      </c>
      <c r="S1115" s="32" t="n">
        <f aca="false">R1115*(1-TradeDiscount)</f>
        <v>45245.682944</v>
      </c>
      <c r="T1115" s="32" t="n">
        <f aca="false">R1115*(1-VolumeDiscount)</f>
        <v>41132.43904</v>
      </c>
    </row>
    <row r="1116" customFormat="false" ht="15" hidden="false" customHeight="false" outlineLevel="0" collapsed="false">
      <c r="A1116" s="25" t="s">
        <v>2469</v>
      </c>
      <c r="B1116" s="25" t="s">
        <v>97</v>
      </c>
      <c r="C1116" s="25" t="s">
        <v>50</v>
      </c>
      <c r="D1116" s="25" t="s">
        <v>2470</v>
      </c>
      <c r="E1116" s="25" t="s">
        <v>2366</v>
      </c>
      <c r="F1116" s="25" t="s">
        <v>2345</v>
      </c>
      <c r="G1116" s="25" t="s">
        <v>37</v>
      </c>
      <c r="H1116" s="25" t="s">
        <v>65</v>
      </c>
      <c r="I1116" s="25" t="s">
        <v>190</v>
      </c>
      <c r="J1116" s="25" t="s">
        <v>191</v>
      </c>
      <c r="K1116" s="25" t="s">
        <v>298</v>
      </c>
      <c r="L1116" s="25" t="s">
        <v>30</v>
      </c>
      <c r="M1116" s="25" t="n">
        <v>5409</v>
      </c>
      <c r="N1116" s="25" t="n">
        <v>2090</v>
      </c>
      <c r="O1116" s="25"/>
      <c r="P1116" s="26" t="n">
        <f aca="false">(M1116*N1116/1000000)*(INDEX(AreaRate_Vals,MATCH(C1116,AreaRate_Keys,0))+IFERROR(INDEX(GlazingUpg_Vals,MATCH(H1116,GlazingUpg_Keys,0)),0))+INDEX(Hardware_Vals,MATCH("Doors",Hardware_Keys,0))</f>
        <v>36725.392</v>
      </c>
      <c r="Q1116" s="27" t="n">
        <f aca="false">INDEX(Markup_Vals,MATCH("Doors",MarkupCat_Keys,0))</f>
        <v>0.4</v>
      </c>
      <c r="R1116" s="28" t="n">
        <f aca="false">P1116*(1+Q1116)</f>
        <v>51415.5488</v>
      </c>
      <c r="S1116" s="28" t="n">
        <f aca="false">R1116*(1-TradeDiscount)</f>
        <v>45245.682944</v>
      </c>
      <c r="T1116" s="28" t="n">
        <f aca="false">R1116*(1-VolumeDiscount)</f>
        <v>41132.43904</v>
      </c>
    </row>
    <row r="1117" customFormat="false" ht="15" hidden="false" customHeight="false" outlineLevel="0" collapsed="false">
      <c r="A1117" s="29" t="s">
        <v>2471</v>
      </c>
      <c r="B1117" s="29" t="s">
        <v>97</v>
      </c>
      <c r="C1117" s="29" t="s">
        <v>50</v>
      </c>
      <c r="D1117" s="29" t="s">
        <v>2472</v>
      </c>
      <c r="E1117" s="29" t="s">
        <v>2366</v>
      </c>
      <c r="F1117" s="29" t="s">
        <v>2345</v>
      </c>
      <c r="G1117" s="29" t="s">
        <v>39</v>
      </c>
      <c r="H1117" s="29" t="s">
        <v>65</v>
      </c>
      <c r="I1117" s="29" t="s">
        <v>190</v>
      </c>
      <c r="J1117" s="29" t="s">
        <v>191</v>
      </c>
      <c r="K1117" s="29" t="s">
        <v>298</v>
      </c>
      <c r="L1117" s="29" t="s">
        <v>30</v>
      </c>
      <c r="M1117" s="29" t="n">
        <v>5409</v>
      </c>
      <c r="N1117" s="29" t="n">
        <v>2090</v>
      </c>
      <c r="O1117" s="29"/>
      <c r="P1117" s="30" t="n">
        <f aca="false">(M1117*N1117/1000000)*(INDEX(AreaRate_Vals,MATCH(C1117,AreaRate_Keys,0))+IFERROR(INDEX(GlazingUpg_Vals,MATCH(H1117,GlazingUpg_Keys,0)),0))+INDEX(Hardware_Vals,MATCH("Doors",Hardware_Keys,0))</f>
        <v>36725.392</v>
      </c>
      <c r="Q1117" s="31" t="n">
        <f aca="false">INDEX(Markup_Vals,MATCH("Doors",MarkupCat_Keys,0))</f>
        <v>0.4</v>
      </c>
      <c r="R1117" s="32" t="n">
        <f aca="false">P1117*(1+Q1117)</f>
        <v>51415.5488</v>
      </c>
      <c r="S1117" s="32" t="n">
        <f aca="false">R1117*(1-TradeDiscount)</f>
        <v>45245.682944</v>
      </c>
      <c r="T1117" s="32" t="n">
        <f aca="false">R1117*(1-VolumeDiscount)</f>
        <v>41132.43904</v>
      </c>
    </row>
    <row r="1118" customFormat="false" ht="15" hidden="false" customHeight="false" outlineLevel="0" collapsed="false">
      <c r="A1118" s="25" t="s">
        <v>2473</v>
      </c>
      <c r="B1118" s="25" t="s">
        <v>97</v>
      </c>
      <c r="C1118" s="25" t="s">
        <v>50</v>
      </c>
      <c r="D1118" s="25" t="s">
        <v>2474</v>
      </c>
      <c r="E1118" s="25" t="s">
        <v>2366</v>
      </c>
      <c r="F1118" s="25" t="s">
        <v>2345</v>
      </c>
      <c r="G1118" s="25" t="s">
        <v>38</v>
      </c>
      <c r="H1118" s="25" t="s">
        <v>65</v>
      </c>
      <c r="I1118" s="25" t="s">
        <v>190</v>
      </c>
      <c r="J1118" s="25" t="s">
        <v>191</v>
      </c>
      <c r="K1118" s="25" t="s">
        <v>298</v>
      </c>
      <c r="L1118" s="25" t="s">
        <v>30</v>
      </c>
      <c r="M1118" s="25" t="n">
        <v>5409</v>
      </c>
      <c r="N1118" s="25" t="n">
        <v>2090</v>
      </c>
      <c r="O1118" s="25"/>
      <c r="P1118" s="26" t="n">
        <f aca="false">(M1118*N1118/1000000)*(INDEX(AreaRate_Vals,MATCH(C1118,AreaRate_Keys,0))+IFERROR(INDEX(GlazingUpg_Vals,MATCH(H1118,GlazingUpg_Keys,0)),0))+INDEX(Hardware_Vals,MATCH("Doors",Hardware_Keys,0))</f>
        <v>36725.392</v>
      </c>
      <c r="Q1118" s="27" t="n">
        <f aca="false">INDEX(Markup_Vals,MATCH("Doors",MarkupCat_Keys,0))</f>
        <v>0.4</v>
      </c>
      <c r="R1118" s="28" t="n">
        <f aca="false">P1118*(1+Q1118)</f>
        <v>51415.5488</v>
      </c>
      <c r="S1118" s="28" t="n">
        <f aca="false">R1118*(1-TradeDiscount)</f>
        <v>45245.682944</v>
      </c>
      <c r="T1118" s="28" t="n">
        <f aca="false">R1118*(1-VolumeDiscount)</f>
        <v>41132.43904</v>
      </c>
    </row>
    <row r="1119" customFormat="false" ht="15" hidden="false" customHeight="false" outlineLevel="0" collapsed="false">
      <c r="A1119" s="29" t="s">
        <v>2475</v>
      </c>
      <c r="B1119" s="29" t="s">
        <v>97</v>
      </c>
      <c r="C1119" s="29" t="s">
        <v>50</v>
      </c>
      <c r="D1119" s="29" t="s">
        <v>2476</v>
      </c>
      <c r="E1119" s="29" t="s">
        <v>2366</v>
      </c>
      <c r="F1119" s="29" t="s">
        <v>2345</v>
      </c>
      <c r="G1119" s="29" t="s">
        <v>35</v>
      </c>
      <c r="H1119" s="29" t="s">
        <v>66</v>
      </c>
      <c r="I1119" s="29" t="s">
        <v>190</v>
      </c>
      <c r="J1119" s="29" t="s">
        <v>191</v>
      </c>
      <c r="K1119" s="29" t="s">
        <v>298</v>
      </c>
      <c r="L1119" s="29" t="s">
        <v>30</v>
      </c>
      <c r="M1119" s="29" t="n">
        <v>5409</v>
      </c>
      <c r="N1119" s="29" t="n">
        <v>2090</v>
      </c>
      <c r="O1119" s="29"/>
      <c r="P1119" s="30" t="n">
        <f aca="false">(M1119*N1119/1000000)*(INDEX(AreaRate_Vals,MATCH(C1119,AreaRate_Keys,0))+IFERROR(INDEX(GlazingUpg_Vals,MATCH(H1119,GlazingUpg_Keys,0)),0))+INDEX(Hardware_Vals,MATCH("Doors",Hardware_Keys,0))</f>
        <v>44638.759</v>
      </c>
      <c r="Q1119" s="31" t="n">
        <f aca="false">INDEX(Markup_Vals,MATCH("Doors",MarkupCat_Keys,0))</f>
        <v>0.4</v>
      </c>
      <c r="R1119" s="32" t="n">
        <f aca="false">P1119*(1+Q1119)</f>
        <v>62494.2626</v>
      </c>
      <c r="S1119" s="32" t="n">
        <f aca="false">R1119*(1-TradeDiscount)</f>
        <v>54994.951088</v>
      </c>
      <c r="T1119" s="32" t="n">
        <f aca="false">R1119*(1-VolumeDiscount)</f>
        <v>49995.41008</v>
      </c>
    </row>
    <row r="1120" customFormat="false" ht="15" hidden="false" customHeight="false" outlineLevel="0" collapsed="false">
      <c r="A1120" s="25" t="s">
        <v>2477</v>
      </c>
      <c r="B1120" s="25" t="s">
        <v>97</v>
      </c>
      <c r="C1120" s="25" t="s">
        <v>50</v>
      </c>
      <c r="D1120" s="25" t="s">
        <v>2478</v>
      </c>
      <c r="E1120" s="25" t="s">
        <v>2366</v>
      </c>
      <c r="F1120" s="25" t="s">
        <v>2345</v>
      </c>
      <c r="G1120" s="25" t="s">
        <v>36</v>
      </c>
      <c r="H1120" s="25" t="s">
        <v>66</v>
      </c>
      <c r="I1120" s="25" t="s">
        <v>190</v>
      </c>
      <c r="J1120" s="25" t="s">
        <v>191</v>
      </c>
      <c r="K1120" s="25" t="s">
        <v>298</v>
      </c>
      <c r="L1120" s="25" t="s">
        <v>30</v>
      </c>
      <c r="M1120" s="25" t="n">
        <v>5409</v>
      </c>
      <c r="N1120" s="25" t="n">
        <v>2090</v>
      </c>
      <c r="O1120" s="25"/>
      <c r="P1120" s="26" t="n">
        <f aca="false">(M1120*N1120/1000000)*(INDEX(AreaRate_Vals,MATCH(C1120,AreaRate_Keys,0))+IFERROR(INDEX(GlazingUpg_Vals,MATCH(H1120,GlazingUpg_Keys,0)),0))+INDEX(Hardware_Vals,MATCH("Doors",Hardware_Keys,0))</f>
        <v>44638.759</v>
      </c>
      <c r="Q1120" s="27" t="n">
        <f aca="false">INDEX(Markup_Vals,MATCH("Doors",MarkupCat_Keys,0))</f>
        <v>0.4</v>
      </c>
      <c r="R1120" s="28" t="n">
        <f aca="false">P1120*(1+Q1120)</f>
        <v>62494.2626</v>
      </c>
      <c r="S1120" s="28" t="n">
        <f aca="false">R1120*(1-TradeDiscount)</f>
        <v>54994.951088</v>
      </c>
      <c r="T1120" s="28" t="n">
        <f aca="false">R1120*(1-VolumeDiscount)</f>
        <v>49995.41008</v>
      </c>
    </row>
    <row r="1121" customFormat="false" ht="15" hidden="false" customHeight="false" outlineLevel="0" collapsed="false">
      <c r="A1121" s="29" t="s">
        <v>2479</v>
      </c>
      <c r="B1121" s="29" t="s">
        <v>97</v>
      </c>
      <c r="C1121" s="29" t="s">
        <v>50</v>
      </c>
      <c r="D1121" s="29" t="s">
        <v>2480</v>
      </c>
      <c r="E1121" s="29" t="s">
        <v>2366</v>
      </c>
      <c r="F1121" s="29" t="s">
        <v>2345</v>
      </c>
      <c r="G1121" s="29" t="s">
        <v>37</v>
      </c>
      <c r="H1121" s="29" t="s">
        <v>66</v>
      </c>
      <c r="I1121" s="29" t="s">
        <v>190</v>
      </c>
      <c r="J1121" s="29" t="s">
        <v>191</v>
      </c>
      <c r="K1121" s="29" t="s">
        <v>298</v>
      </c>
      <c r="L1121" s="29" t="s">
        <v>30</v>
      </c>
      <c r="M1121" s="29" t="n">
        <v>5409</v>
      </c>
      <c r="N1121" s="29" t="n">
        <v>2090</v>
      </c>
      <c r="O1121" s="29"/>
      <c r="P1121" s="30" t="n">
        <f aca="false">(M1121*N1121/1000000)*(INDEX(AreaRate_Vals,MATCH(C1121,AreaRate_Keys,0))+IFERROR(INDEX(GlazingUpg_Vals,MATCH(H1121,GlazingUpg_Keys,0)),0))+INDEX(Hardware_Vals,MATCH("Doors",Hardware_Keys,0))</f>
        <v>44638.759</v>
      </c>
      <c r="Q1121" s="31" t="n">
        <f aca="false">INDEX(Markup_Vals,MATCH("Doors",MarkupCat_Keys,0))</f>
        <v>0.4</v>
      </c>
      <c r="R1121" s="32" t="n">
        <f aca="false">P1121*(1+Q1121)</f>
        <v>62494.2626</v>
      </c>
      <c r="S1121" s="32" t="n">
        <f aca="false">R1121*(1-TradeDiscount)</f>
        <v>54994.951088</v>
      </c>
      <c r="T1121" s="32" t="n">
        <f aca="false">R1121*(1-VolumeDiscount)</f>
        <v>49995.41008</v>
      </c>
    </row>
    <row r="1122" customFormat="false" ht="15" hidden="false" customHeight="false" outlineLevel="0" collapsed="false">
      <c r="A1122" s="25" t="s">
        <v>2481</v>
      </c>
      <c r="B1122" s="25" t="s">
        <v>97</v>
      </c>
      <c r="C1122" s="25" t="s">
        <v>50</v>
      </c>
      <c r="D1122" s="25" t="s">
        <v>2482</v>
      </c>
      <c r="E1122" s="25" t="s">
        <v>2366</v>
      </c>
      <c r="F1122" s="25" t="s">
        <v>2345</v>
      </c>
      <c r="G1122" s="25" t="s">
        <v>39</v>
      </c>
      <c r="H1122" s="25" t="s">
        <v>66</v>
      </c>
      <c r="I1122" s="25" t="s">
        <v>190</v>
      </c>
      <c r="J1122" s="25" t="s">
        <v>191</v>
      </c>
      <c r="K1122" s="25" t="s">
        <v>298</v>
      </c>
      <c r="L1122" s="25" t="s">
        <v>30</v>
      </c>
      <c r="M1122" s="25" t="n">
        <v>5409</v>
      </c>
      <c r="N1122" s="25" t="n">
        <v>2090</v>
      </c>
      <c r="O1122" s="25"/>
      <c r="P1122" s="26" t="n">
        <f aca="false">(M1122*N1122/1000000)*(INDEX(AreaRate_Vals,MATCH(C1122,AreaRate_Keys,0))+IFERROR(INDEX(GlazingUpg_Vals,MATCH(H1122,GlazingUpg_Keys,0)),0))+INDEX(Hardware_Vals,MATCH("Doors",Hardware_Keys,0))</f>
        <v>44638.759</v>
      </c>
      <c r="Q1122" s="27" t="n">
        <f aca="false">INDEX(Markup_Vals,MATCH("Doors",MarkupCat_Keys,0))</f>
        <v>0.4</v>
      </c>
      <c r="R1122" s="28" t="n">
        <f aca="false">P1122*(1+Q1122)</f>
        <v>62494.2626</v>
      </c>
      <c r="S1122" s="28" t="n">
        <f aca="false">R1122*(1-TradeDiscount)</f>
        <v>54994.951088</v>
      </c>
      <c r="T1122" s="28" t="n">
        <f aca="false">R1122*(1-VolumeDiscount)</f>
        <v>49995.41008</v>
      </c>
    </row>
    <row r="1123" customFormat="false" ht="15" hidden="false" customHeight="false" outlineLevel="0" collapsed="false">
      <c r="A1123" s="29" t="s">
        <v>2483</v>
      </c>
      <c r="B1123" s="29" t="s">
        <v>97</v>
      </c>
      <c r="C1123" s="29" t="s">
        <v>50</v>
      </c>
      <c r="D1123" s="29" t="s">
        <v>2484</v>
      </c>
      <c r="E1123" s="29" t="s">
        <v>2366</v>
      </c>
      <c r="F1123" s="29" t="s">
        <v>2345</v>
      </c>
      <c r="G1123" s="29" t="s">
        <v>38</v>
      </c>
      <c r="H1123" s="29" t="s">
        <v>66</v>
      </c>
      <c r="I1123" s="29" t="s">
        <v>190</v>
      </c>
      <c r="J1123" s="29" t="s">
        <v>191</v>
      </c>
      <c r="K1123" s="29" t="s">
        <v>298</v>
      </c>
      <c r="L1123" s="29" t="s">
        <v>30</v>
      </c>
      <c r="M1123" s="29" t="n">
        <v>5409</v>
      </c>
      <c r="N1123" s="29" t="n">
        <v>2090</v>
      </c>
      <c r="O1123" s="29"/>
      <c r="P1123" s="30" t="n">
        <f aca="false">(M1123*N1123/1000000)*(INDEX(AreaRate_Vals,MATCH(C1123,AreaRate_Keys,0))+IFERROR(INDEX(GlazingUpg_Vals,MATCH(H1123,GlazingUpg_Keys,0)),0))+INDEX(Hardware_Vals,MATCH("Doors",Hardware_Keys,0))</f>
        <v>44638.759</v>
      </c>
      <c r="Q1123" s="31" t="n">
        <f aca="false">INDEX(Markup_Vals,MATCH("Doors",MarkupCat_Keys,0))</f>
        <v>0.4</v>
      </c>
      <c r="R1123" s="32" t="n">
        <f aca="false">P1123*(1+Q1123)</f>
        <v>62494.2626</v>
      </c>
      <c r="S1123" s="32" t="n">
        <f aca="false">R1123*(1-TradeDiscount)</f>
        <v>54994.951088</v>
      </c>
      <c r="T1123" s="32" t="n">
        <f aca="false">R1123*(1-VolumeDiscount)</f>
        <v>49995.41008</v>
      </c>
    </row>
    <row r="1124" customFormat="false" ht="15" hidden="false" customHeight="false" outlineLevel="0" collapsed="false">
      <c r="A1124" s="25" t="s">
        <v>2485</v>
      </c>
      <c r="B1124" s="25" t="s">
        <v>97</v>
      </c>
      <c r="C1124" s="25" t="s">
        <v>50</v>
      </c>
      <c r="D1124" s="25" t="s">
        <v>2486</v>
      </c>
      <c r="E1124" s="25" t="s">
        <v>2487</v>
      </c>
      <c r="F1124" s="25" t="s">
        <v>1817</v>
      </c>
      <c r="G1124" s="25" t="s">
        <v>35</v>
      </c>
      <c r="H1124" s="25" t="s">
        <v>65</v>
      </c>
      <c r="I1124" s="25" t="s">
        <v>190</v>
      </c>
      <c r="J1124" s="25" t="s">
        <v>191</v>
      </c>
      <c r="K1124" s="25" t="s">
        <v>298</v>
      </c>
      <c r="L1124" s="25" t="s">
        <v>30</v>
      </c>
      <c r="M1124" s="25" t="n">
        <v>2409</v>
      </c>
      <c r="N1124" s="25" t="n">
        <v>2090</v>
      </c>
      <c r="O1124" s="25"/>
      <c r="P1124" s="26" t="n">
        <f aca="false">(M1124*N1124/1000000)*(INDEX(AreaRate_Vals,MATCH(C1124,AreaRate_Keys,0))+IFERROR(INDEX(GlazingUpg_Vals,MATCH(H1124,GlazingUpg_Keys,0)),0))+INDEX(Hardware_Vals,MATCH("Doors",Hardware_Keys,0))</f>
        <v>16661.392</v>
      </c>
      <c r="Q1124" s="27" t="n">
        <f aca="false">INDEX(Markup_Vals,MATCH("Doors",MarkupCat_Keys,0))</f>
        <v>0.4</v>
      </c>
      <c r="R1124" s="28" t="n">
        <f aca="false">P1124*(1+Q1124)</f>
        <v>23325.9488</v>
      </c>
      <c r="S1124" s="28" t="n">
        <f aca="false">R1124*(1-TradeDiscount)</f>
        <v>20526.834944</v>
      </c>
      <c r="T1124" s="28" t="n">
        <f aca="false">R1124*(1-VolumeDiscount)</f>
        <v>18660.75904</v>
      </c>
    </row>
    <row r="1125" customFormat="false" ht="15" hidden="false" customHeight="false" outlineLevel="0" collapsed="false">
      <c r="A1125" s="29" t="s">
        <v>2488</v>
      </c>
      <c r="B1125" s="29" t="s">
        <v>97</v>
      </c>
      <c r="C1125" s="29" t="s">
        <v>50</v>
      </c>
      <c r="D1125" s="29" t="s">
        <v>2489</v>
      </c>
      <c r="E1125" s="29" t="s">
        <v>2487</v>
      </c>
      <c r="F1125" s="29" t="s">
        <v>1817</v>
      </c>
      <c r="G1125" s="29" t="s">
        <v>36</v>
      </c>
      <c r="H1125" s="29" t="s">
        <v>65</v>
      </c>
      <c r="I1125" s="29" t="s">
        <v>190</v>
      </c>
      <c r="J1125" s="29" t="s">
        <v>191</v>
      </c>
      <c r="K1125" s="29" t="s">
        <v>298</v>
      </c>
      <c r="L1125" s="29" t="s">
        <v>30</v>
      </c>
      <c r="M1125" s="29" t="n">
        <v>2409</v>
      </c>
      <c r="N1125" s="29" t="n">
        <v>2090</v>
      </c>
      <c r="O1125" s="29"/>
      <c r="P1125" s="30" t="n">
        <f aca="false">(M1125*N1125/1000000)*(INDEX(AreaRate_Vals,MATCH(C1125,AreaRate_Keys,0))+IFERROR(INDEX(GlazingUpg_Vals,MATCH(H1125,GlazingUpg_Keys,0)),0))+INDEX(Hardware_Vals,MATCH("Doors",Hardware_Keys,0))</f>
        <v>16661.392</v>
      </c>
      <c r="Q1125" s="31" t="n">
        <f aca="false">INDEX(Markup_Vals,MATCH("Doors",MarkupCat_Keys,0))</f>
        <v>0.4</v>
      </c>
      <c r="R1125" s="32" t="n">
        <f aca="false">P1125*(1+Q1125)</f>
        <v>23325.9488</v>
      </c>
      <c r="S1125" s="32" t="n">
        <f aca="false">R1125*(1-TradeDiscount)</f>
        <v>20526.834944</v>
      </c>
      <c r="T1125" s="32" t="n">
        <f aca="false">R1125*(1-VolumeDiscount)</f>
        <v>18660.75904</v>
      </c>
    </row>
    <row r="1126" customFormat="false" ht="15" hidden="false" customHeight="false" outlineLevel="0" collapsed="false">
      <c r="A1126" s="25" t="s">
        <v>2490</v>
      </c>
      <c r="B1126" s="25" t="s">
        <v>97</v>
      </c>
      <c r="C1126" s="25" t="s">
        <v>50</v>
      </c>
      <c r="D1126" s="25" t="s">
        <v>2491</v>
      </c>
      <c r="E1126" s="25" t="s">
        <v>2487</v>
      </c>
      <c r="F1126" s="25" t="s">
        <v>1817</v>
      </c>
      <c r="G1126" s="25" t="s">
        <v>37</v>
      </c>
      <c r="H1126" s="25" t="s">
        <v>65</v>
      </c>
      <c r="I1126" s="25" t="s">
        <v>190</v>
      </c>
      <c r="J1126" s="25" t="s">
        <v>191</v>
      </c>
      <c r="K1126" s="25" t="s">
        <v>298</v>
      </c>
      <c r="L1126" s="25" t="s">
        <v>30</v>
      </c>
      <c r="M1126" s="25" t="n">
        <v>2409</v>
      </c>
      <c r="N1126" s="25" t="n">
        <v>2090</v>
      </c>
      <c r="O1126" s="25"/>
      <c r="P1126" s="26" t="n">
        <f aca="false">(M1126*N1126/1000000)*(INDEX(AreaRate_Vals,MATCH(C1126,AreaRate_Keys,0))+IFERROR(INDEX(GlazingUpg_Vals,MATCH(H1126,GlazingUpg_Keys,0)),0))+INDEX(Hardware_Vals,MATCH("Doors",Hardware_Keys,0))</f>
        <v>16661.392</v>
      </c>
      <c r="Q1126" s="27" t="n">
        <f aca="false">INDEX(Markup_Vals,MATCH("Doors",MarkupCat_Keys,0))</f>
        <v>0.4</v>
      </c>
      <c r="R1126" s="28" t="n">
        <f aca="false">P1126*(1+Q1126)</f>
        <v>23325.9488</v>
      </c>
      <c r="S1126" s="28" t="n">
        <f aca="false">R1126*(1-TradeDiscount)</f>
        <v>20526.834944</v>
      </c>
      <c r="T1126" s="28" t="n">
        <f aca="false">R1126*(1-VolumeDiscount)</f>
        <v>18660.75904</v>
      </c>
    </row>
    <row r="1127" customFormat="false" ht="15" hidden="false" customHeight="false" outlineLevel="0" collapsed="false">
      <c r="A1127" s="29" t="s">
        <v>2492</v>
      </c>
      <c r="B1127" s="29" t="s">
        <v>97</v>
      </c>
      <c r="C1127" s="29" t="s">
        <v>50</v>
      </c>
      <c r="D1127" s="29" t="s">
        <v>2493</v>
      </c>
      <c r="E1127" s="29" t="s">
        <v>2487</v>
      </c>
      <c r="F1127" s="29" t="s">
        <v>1817</v>
      </c>
      <c r="G1127" s="29" t="s">
        <v>39</v>
      </c>
      <c r="H1127" s="29" t="s">
        <v>65</v>
      </c>
      <c r="I1127" s="29" t="s">
        <v>190</v>
      </c>
      <c r="J1127" s="29" t="s">
        <v>191</v>
      </c>
      <c r="K1127" s="29" t="s">
        <v>298</v>
      </c>
      <c r="L1127" s="29" t="s">
        <v>30</v>
      </c>
      <c r="M1127" s="29" t="n">
        <v>2409</v>
      </c>
      <c r="N1127" s="29" t="n">
        <v>2090</v>
      </c>
      <c r="O1127" s="29"/>
      <c r="P1127" s="30" t="n">
        <f aca="false">(M1127*N1127/1000000)*(INDEX(AreaRate_Vals,MATCH(C1127,AreaRate_Keys,0))+IFERROR(INDEX(GlazingUpg_Vals,MATCH(H1127,GlazingUpg_Keys,0)),0))+INDEX(Hardware_Vals,MATCH("Doors",Hardware_Keys,0))</f>
        <v>16661.392</v>
      </c>
      <c r="Q1127" s="31" t="n">
        <f aca="false">INDEX(Markup_Vals,MATCH("Doors",MarkupCat_Keys,0))</f>
        <v>0.4</v>
      </c>
      <c r="R1127" s="32" t="n">
        <f aca="false">P1127*(1+Q1127)</f>
        <v>23325.9488</v>
      </c>
      <c r="S1127" s="32" t="n">
        <f aca="false">R1127*(1-TradeDiscount)</f>
        <v>20526.834944</v>
      </c>
      <c r="T1127" s="32" t="n">
        <f aca="false">R1127*(1-VolumeDiscount)</f>
        <v>18660.75904</v>
      </c>
    </row>
    <row r="1128" customFormat="false" ht="15" hidden="false" customHeight="false" outlineLevel="0" collapsed="false">
      <c r="A1128" s="25" t="s">
        <v>2494</v>
      </c>
      <c r="B1128" s="25" t="s">
        <v>97</v>
      </c>
      <c r="C1128" s="25" t="s">
        <v>50</v>
      </c>
      <c r="D1128" s="25" t="s">
        <v>2495</v>
      </c>
      <c r="E1128" s="25" t="s">
        <v>2487</v>
      </c>
      <c r="F1128" s="25" t="s">
        <v>1817</v>
      </c>
      <c r="G1128" s="25" t="s">
        <v>38</v>
      </c>
      <c r="H1128" s="25" t="s">
        <v>65</v>
      </c>
      <c r="I1128" s="25" t="s">
        <v>190</v>
      </c>
      <c r="J1128" s="25" t="s">
        <v>191</v>
      </c>
      <c r="K1128" s="25" t="s">
        <v>298</v>
      </c>
      <c r="L1128" s="25" t="s">
        <v>30</v>
      </c>
      <c r="M1128" s="25" t="n">
        <v>2409</v>
      </c>
      <c r="N1128" s="25" t="n">
        <v>2090</v>
      </c>
      <c r="O1128" s="25"/>
      <c r="P1128" s="26" t="n">
        <f aca="false">(M1128*N1128/1000000)*(INDEX(AreaRate_Vals,MATCH(C1128,AreaRate_Keys,0))+IFERROR(INDEX(GlazingUpg_Vals,MATCH(H1128,GlazingUpg_Keys,0)),0))+INDEX(Hardware_Vals,MATCH("Doors",Hardware_Keys,0))</f>
        <v>16661.392</v>
      </c>
      <c r="Q1128" s="27" t="n">
        <f aca="false">INDEX(Markup_Vals,MATCH("Doors",MarkupCat_Keys,0))</f>
        <v>0.4</v>
      </c>
      <c r="R1128" s="28" t="n">
        <f aca="false">P1128*(1+Q1128)</f>
        <v>23325.9488</v>
      </c>
      <c r="S1128" s="28" t="n">
        <f aca="false">R1128*(1-TradeDiscount)</f>
        <v>20526.834944</v>
      </c>
      <c r="T1128" s="28" t="n">
        <f aca="false">R1128*(1-VolumeDiscount)</f>
        <v>18660.75904</v>
      </c>
    </row>
    <row r="1129" customFormat="false" ht="15" hidden="false" customHeight="false" outlineLevel="0" collapsed="false">
      <c r="A1129" s="29" t="s">
        <v>2496</v>
      </c>
      <c r="B1129" s="29" t="s">
        <v>97</v>
      </c>
      <c r="C1129" s="29" t="s">
        <v>50</v>
      </c>
      <c r="D1129" s="29" t="s">
        <v>2497</v>
      </c>
      <c r="E1129" s="29" t="s">
        <v>2487</v>
      </c>
      <c r="F1129" s="29" t="s">
        <v>1817</v>
      </c>
      <c r="G1129" s="29" t="s">
        <v>35</v>
      </c>
      <c r="H1129" s="29" t="s">
        <v>66</v>
      </c>
      <c r="I1129" s="29" t="s">
        <v>190</v>
      </c>
      <c r="J1129" s="29" t="s">
        <v>191</v>
      </c>
      <c r="K1129" s="29" t="s">
        <v>298</v>
      </c>
      <c r="L1129" s="29" t="s">
        <v>30</v>
      </c>
      <c r="M1129" s="29" t="n">
        <v>2409</v>
      </c>
      <c r="N1129" s="29" t="n">
        <v>2090</v>
      </c>
      <c r="O1129" s="29"/>
      <c r="P1129" s="30" t="n">
        <f aca="false">(M1129*N1129/1000000)*(INDEX(AreaRate_Vals,MATCH(C1129,AreaRate_Keys,0))+IFERROR(INDEX(GlazingUpg_Vals,MATCH(H1129,GlazingUpg_Keys,0)),0))+INDEX(Hardware_Vals,MATCH("Doors",Hardware_Keys,0))</f>
        <v>20185.759</v>
      </c>
      <c r="Q1129" s="31" t="n">
        <f aca="false">INDEX(Markup_Vals,MATCH("Doors",MarkupCat_Keys,0))</f>
        <v>0.4</v>
      </c>
      <c r="R1129" s="32" t="n">
        <f aca="false">P1129*(1+Q1129)</f>
        <v>28260.0626</v>
      </c>
      <c r="S1129" s="32" t="n">
        <f aca="false">R1129*(1-TradeDiscount)</f>
        <v>24868.855088</v>
      </c>
      <c r="T1129" s="32" t="n">
        <f aca="false">R1129*(1-VolumeDiscount)</f>
        <v>22608.05008</v>
      </c>
    </row>
    <row r="1130" customFormat="false" ht="15" hidden="false" customHeight="false" outlineLevel="0" collapsed="false">
      <c r="A1130" s="25" t="s">
        <v>2498</v>
      </c>
      <c r="B1130" s="25" t="s">
        <v>97</v>
      </c>
      <c r="C1130" s="25" t="s">
        <v>50</v>
      </c>
      <c r="D1130" s="25" t="s">
        <v>2499</v>
      </c>
      <c r="E1130" s="25" t="s">
        <v>2487</v>
      </c>
      <c r="F1130" s="25" t="s">
        <v>1817</v>
      </c>
      <c r="G1130" s="25" t="s">
        <v>36</v>
      </c>
      <c r="H1130" s="25" t="s">
        <v>66</v>
      </c>
      <c r="I1130" s="25" t="s">
        <v>190</v>
      </c>
      <c r="J1130" s="25" t="s">
        <v>191</v>
      </c>
      <c r="K1130" s="25" t="s">
        <v>298</v>
      </c>
      <c r="L1130" s="25" t="s">
        <v>30</v>
      </c>
      <c r="M1130" s="25" t="n">
        <v>2409</v>
      </c>
      <c r="N1130" s="25" t="n">
        <v>2090</v>
      </c>
      <c r="O1130" s="25"/>
      <c r="P1130" s="26" t="n">
        <f aca="false">(M1130*N1130/1000000)*(INDEX(AreaRate_Vals,MATCH(C1130,AreaRate_Keys,0))+IFERROR(INDEX(GlazingUpg_Vals,MATCH(H1130,GlazingUpg_Keys,0)),0))+INDEX(Hardware_Vals,MATCH("Doors",Hardware_Keys,0))</f>
        <v>20185.759</v>
      </c>
      <c r="Q1130" s="27" t="n">
        <f aca="false">INDEX(Markup_Vals,MATCH("Doors",MarkupCat_Keys,0))</f>
        <v>0.4</v>
      </c>
      <c r="R1130" s="28" t="n">
        <f aca="false">P1130*(1+Q1130)</f>
        <v>28260.0626</v>
      </c>
      <c r="S1130" s="28" t="n">
        <f aca="false">R1130*(1-TradeDiscount)</f>
        <v>24868.855088</v>
      </c>
      <c r="T1130" s="28" t="n">
        <f aca="false">R1130*(1-VolumeDiscount)</f>
        <v>22608.05008</v>
      </c>
    </row>
    <row r="1131" customFormat="false" ht="15" hidden="false" customHeight="false" outlineLevel="0" collapsed="false">
      <c r="A1131" s="29" t="s">
        <v>2500</v>
      </c>
      <c r="B1131" s="29" t="s">
        <v>97</v>
      </c>
      <c r="C1131" s="29" t="s">
        <v>50</v>
      </c>
      <c r="D1131" s="29" t="s">
        <v>2501</v>
      </c>
      <c r="E1131" s="29" t="s">
        <v>2487</v>
      </c>
      <c r="F1131" s="29" t="s">
        <v>1817</v>
      </c>
      <c r="G1131" s="29" t="s">
        <v>37</v>
      </c>
      <c r="H1131" s="29" t="s">
        <v>66</v>
      </c>
      <c r="I1131" s="29" t="s">
        <v>190</v>
      </c>
      <c r="J1131" s="29" t="s">
        <v>191</v>
      </c>
      <c r="K1131" s="29" t="s">
        <v>298</v>
      </c>
      <c r="L1131" s="29" t="s">
        <v>30</v>
      </c>
      <c r="M1131" s="29" t="n">
        <v>2409</v>
      </c>
      <c r="N1131" s="29" t="n">
        <v>2090</v>
      </c>
      <c r="O1131" s="29"/>
      <c r="P1131" s="30" t="n">
        <f aca="false">(M1131*N1131/1000000)*(INDEX(AreaRate_Vals,MATCH(C1131,AreaRate_Keys,0))+IFERROR(INDEX(GlazingUpg_Vals,MATCH(H1131,GlazingUpg_Keys,0)),0))+INDEX(Hardware_Vals,MATCH("Doors",Hardware_Keys,0))</f>
        <v>20185.759</v>
      </c>
      <c r="Q1131" s="31" t="n">
        <f aca="false">INDEX(Markup_Vals,MATCH("Doors",MarkupCat_Keys,0))</f>
        <v>0.4</v>
      </c>
      <c r="R1131" s="32" t="n">
        <f aca="false">P1131*(1+Q1131)</f>
        <v>28260.0626</v>
      </c>
      <c r="S1131" s="32" t="n">
        <f aca="false">R1131*(1-TradeDiscount)</f>
        <v>24868.855088</v>
      </c>
      <c r="T1131" s="32" t="n">
        <f aca="false">R1131*(1-VolumeDiscount)</f>
        <v>22608.05008</v>
      </c>
    </row>
    <row r="1132" customFormat="false" ht="15" hidden="false" customHeight="false" outlineLevel="0" collapsed="false">
      <c r="A1132" s="25" t="s">
        <v>2502</v>
      </c>
      <c r="B1132" s="25" t="s">
        <v>97</v>
      </c>
      <c r="C1132" s="25" t="s">
        <v>50</v>
      </c>
      <c r="D1132" s="25" t="s">
        <v>2503</v>
      </c>
      <c r="E1132" s="25" t="s">
        <v>2487</v>
      </c>
      <c r="F1132" s="25" t="s">
        <v>1817</v>
      </c>
      <c r="G1132" s="25" t="s">
        <v>39</v>
      </c>
      <c r="H1132" s="25" t="s">
        <v>66</v>
      </c>
      <c r="I1132" s="25" t="s">
        <v>190</v>
      </c>
      <c r="J1132" s="25" t="s">
        <v>191</v>
      </c>
      <c r="K1132" s="25" t="s">
        <v>298</v>
      </c>
      <c r="L1132" s="25" t="s">
        <v>30</v>
      </c>
      <c r="M1132" s="25" t="n">
        <v>2409</v>
      </c>
      <c r="N1132" s="25" t="n">
        <v>2090</v>
      </c>
      <c r="O1132" s="25"/>
      <c r="P1132" s="26" t="n">
        <f aca="false">(M1132*N1132/1000000)*(INDEX(AreaRate_Vals,MATCH(C1132,AreaRate_Keys,0))+IFERROR(INDEX(GlazingUpg_Vals,MATCH(H1132,GlazingUpg_Keys,0)),0))+INDEX(Hardware_Vals,MATCH("Doors",Hardware_Keys,0))</f>
        <v>20185.759</v>
      </c>
      <c r="Q1132" s="27" t="n">
        <f aca="false">INDEX(Markup_Vals,MATCH("Doors",MarkupCat_Keys,0))</f>
        <v>0.4</v>
      </c>
      <c r="R1132" s="28" t="n">
        <f aca="false">P1132*(1+Q1132)</f>
        <v>28260.0626</v>
      </c>
      <c r="S1132" s="28" t="n">
        <f aca="false">R1132*(1-TradeDiscount)</f>
        <v>24868.855088</v>
      </c>
      <c r="T1132" s="28" t="n">
        <f aca="false">R1132*(1-VolumeDiscount)</f>
        <v>22608.05008</v>
      </c>
    </row>
    <row r="1133" customFormat="false" ht="15" hidden="false" customHeight="false" outlineLevel="0" collapsed="false">
      <c r="A1133" s="29" t="s">
        <v>2504</v>
      </c>
      <c r="B1133" s="29" t="s">
        <v>97</v>
      </c>
      <c r="C1133" s="29" t="s">
        <v>50</v>
      </c>
      <c r="D1133" s="29" t="s">
        <v>2505</v>
      </c>
      <c r="E1133" s="29" t="s">
        <v>2487</v>
      </c>
      <c r="F1133" s="29" t="s">
        <v>1817</v>
      </c>
      <c r="G1133" s="29" t="s">
        <v>38</v>
      </c>
      <c r="H1133" s="29" t="s">
        <v>66</v>
      </c>
      <c r="I1133" s="29" t="s">
        <v>190</v>
      </c>
      <c r="J1133" s="29" t="s">
        <v>191</v>
      </c>
      <c r="K1133" s="29" t="s">
        <v>298</v>
      </c>
      <c r="L1133" s="29" t="s">
        <v>30</v>
      </c>
      <c r="M1133" s="29" t="n">
        <v>2409</v>
      </c>
      <c r="N1133" s="29" t="n">
        <v>2090</v>
      </c>
      <c r="O1133" s="29"/>
      <c r="P1133" s="30" t="n">
        <f aca="false">(M1133*N1133/1000000)*(INDEX(AreaRate_Vals,MATCH(C1133,AreaRate_Keys,0))+IFERROR(INDEX(GlazingUpg_Vals,MATCH(H1133,GlazingUpg_Keys,0)),0))+INDEX(Hardware_Vals,MATCH("Doors",Hardware_Keys,0))</f>
        <v>20185.759</v>
      </c>
      <c r="Q1133" s="31" t="n">
        <f aca="false">INDEX(Markup_Vals,MATCH("Doors",MarkupCat_Keys,0))</f>
        <v>0.4</v>
      </c>
      <c r="R1133" s="32" t="n">
        <f aca="false">P1133*(1+Q1133)</f>
        <v>28260.0626</v>
      </c>
      <c r="S1133" s="32" t="n">
        <f aca="false">R1133*(1-TradeDiscount)</f>
        <v>24868.855088</v>
      </c>
      <c r="T1133" s="32" t="n">
        <f aca="false">R1133*(1-VolumeDiscount)</f>
        <v>22608.05008</v>
      </c>
    </row>
    <row r="1134" customFormat="false" ht="15" hidden="false" customHeight="false" outlineLevel="0" collapsed="false">
      <c r="A1134" s="25" t="s">
        <v>2506</v>
      </c>
      <c r="B1134" s="25" t="s">
        <v>97</v>
      </c>
      <c r="C1134" s="25" t="s">
        <v>50</v>
      </c>
      <c r="D1134" s="25" t="s">
        <v>2507</v>
      </c>
      <c r="E1134" s="25" t="s">
        <v>2487</v>
      </c>
      <c r="F1134" s="25" t="s">
        <v>1838</v>
      </c>
      <c r="G1134" s="25" t="s">
        <v>35</v>
      </c>
      <c r="H1134" s="25" t="s">
        <v>65</v>
      </c>
      <c r="I1134" s="25" t="s">
        <v>190</v>
      </c>
      <c r="J1134" s="25" t="s">
        <v>191</v>
      </c>
      <c r="K1134" s="25" t="s">
        <v>298</v>
      </c>
      <c r="L1134" s="25" t="s">
        <v>30</v>
      </c>
      <c r="M1134" s="25" t="n">
        <v>3009</v>
      </c>
      <c r="N1134" s="25" t="n">
        <v>2090</v>
      </c>
      <c r="O1134" s="25"/>
      <c r="P1134" s="26" t="n">
        <f aca="false">(M1134*N1134/1000000)*(INDEX(AreaRate_Vals,MATCH(C1134,AreaRate_Keys,0))+IFERROR(INDEX(GlazingUpg_Vals,MATCH(H1134,GlazingUpg_Keys,0)),0))+INDEX(Hardware_Vals,MATCH("Doors",Hardware_Keys,0))</f>
        <v>20674.192</v>
      </c>
      <c r="Q1134" s="27" t="n">
        <f aca="false">INDEX(Markup_Vals,MATCH("Doors",MarkupCat_Keys,0))</f>
        <v>0.4</v>
      </c>
      <c r="R1134" s="28" t="n">
        <f aca="false">P1134*(1+Q1134)</f>
        <v>28943.8688</v>
      </c>
      <c r="S1134" s="28" t="n">
        <f aca="false">R1134*(1-TradeDiscount)</f>
        <v>25470.604544</v>
      </c>
      <c r="T1134" s="28" t="n">
        <f aca="false">R1134*(1-VolumeDiscount)</f>
        <v>23155.09504</v>
      </c>
    </row>
    <row r="1135" customFormat="false" ht="15" hidden="false" customHeight="false" outlineLevel="0" collapsed="false">
      <c r="A1135" s="29" t="s">
        <v>2508</v>
      </c>
      <c r="B1135" s="29" t="s">
        <v>97</v>
      </c>
      <c r="C1135" s="29" t="s">
        <v>50</v>
      </c>
      <c r="D1135" s="29" t="s">
        <v>2509</v>
      </c>
      <c r="E1135" s="29" t="s">
        <v>2487</v>
      </c>
      <c r="F1135" s="29" t="s">
        <v>1838</v>
      </c>
      <c r="G1135" s="29" t="s">
        <v>36</v>
      </c>
      <c r="H1135" s="29" t="s">
        <v>65</v>
      </c>
      <c r="I1135" s="29" t="s">
        <v>190</v>
      </c>
      <c r="J1135" s="29" t="s">
        <v>191</v>
      </c>
      <c r="K1135" s="29" t="s">
        <v>298</v>
      </c>
      <c r="L1135" s="29" t="s">
        <v>30</v>
      </c>
      <c r="M1135" s="29" t="n">
        <v>3009</v>
      </c>
      <c r="N1135" s="29" t="n">
        <v>2090</v>
      </c>
      <c r="O1135" s="29"/>
      <c r="P1135" s="30" t="n">
        <f aca="false">(M1135*N1135/1000000)*(INDEX(AreaRate_Vals,MATCH(C1135,AreaRate_Keys,0))+IFERROR(INDEX(GlazingUpg_Vals,MATCH(H1135,GlazingUpg_Keys,0)),0))+INDEX(Hardware_Vals,MATCH("Doors",Hardware_Keys,0))</f>
        <v>20674.192</v>
      </c>
      <c r="Q1135" s="31" t="n">
        <f aca="false">INDEX(Markup_Vals,MATCH("Doors",MarkupCat_Keys,0))</f>
        <v>0.4</v>
      </c>
      <c r="R1135" s="32" t="n">
        <f aca="false">P1135*(1+Q1135)</f>
        <v>28943.8688</v>
      </c>
      <c r="S1135" s="32" t="n">
        <f aca="false">R1135*(1-TradeDiscount)</f>
        <v>25470.604544</v>
      </c>
      <c r="T1135" s="32" t="n">
        <f aca="false">R1135*(1-VolumeDiscount)</f>
        <v>23155.09504</v>
      </c>
    </row>
    <row r="1136" customFormat="false" ht="15" hidden="false" customHeight="false" outlineLevel="0" collapsed="false">
      <c r="A1136" s="25" t="s">
        <v>2510</v>
      </c>
      <c r="B1136" s="25" t="s">
        <v>97</v>
      </c>
      <c r="C1136" s="25" t="s">
        <v>50</v>
      </c>
      <c r="D1136" s="25" t="s">
        <v>2511</v>
      </c>
      <c r="E1136" s="25" t="s">
        <v>2487</v>
      </c>
      <c r="F1136" s="25" t="s">
        <v>1838</v>
      </c>
      <c r="G1136" s="25" t="s">
        <v>37</v>
      </c>
      <c r="H1136" s="25" t="s">
        <v>65</v>
      </c>
      <c r="I1136" s="25" t="s">
        <v>190</v>
      </c>
      <c r="J1136" s="25" t="s">
        <v>191</v>
      </c>
      <c r="K1136" s="25" t="s">
        <v>298</v>
      </c>
      <c r="L1136" s="25" t="s">
        <v>30</v>
      </c>
      <c r="M1136" s="25" t="n">
        <v>3009</v>
      </c>
      <c r="N1136" s="25" t="n">
        <v>2090</v>
      </c>
      <c r="O1136" s="25"/>
      <c r="P1136" s="26" t="n">
        <f aca="false">(M1136*N1136/1000000)*(INDEX(AreaRate_Vals,MATCH(C1136,AreaRate_Keys,0))+IFERROR(INDEX(GlazingUpg_Vals,MATCH(H1136,GlazingUpg_Keys,0)),0))+INDEX(Hardware_Vals,MATCH("Doors",Hardware_Keys,0))</f>
        <v>20674.192</v>
      </c>
      <c r="Q1136" s="27" t="n">
        <f aca="false">INDEX(Markup_Vals,MATCH("Doors",MarkupCat_Keys,0))</f>
        <v>0.4</v>
      </c>
      <c r="R1136" s="28" t="n">
        <f aca="false">P1136*(1+Q1136)</f>
        <v>28943.8688</v>
      </c>
      <c r="S1136" s="28" t="n">
        <f aca="false">R1136*(1-TradeDiscount)</f>
        <v>25470.604544</v>
      </c>
      <c r="T1136" s="28" t="n">
        <f aca="false">R1136*(1-VolumeDiscount)</f>
        <v>23155.09504</v>
      </c>
    </row>
    <row r="1137" customFormat="false" ht="15" hidden="false" customHeight="false" outlineLevel="0" collapsed="false">
      <c r="A1137" s="29" t="s">
        <v>2512</v>
      </c>
      <c r="B1137" s="29" t="s">
        <v>97</v>
      </c>
      <c r="C1137" s="29" t="s">
        <v>50</v>
      </c>
      <c r="D1137" s="29" t="s">
        <v>2513</v>
      </c>
      <c r="E1137" s="29" t="s">
        <v>2487</v>
      </c>
      <c r="F1137" s="29" t="s">
        <v>1838</v>
      </c>
      <c r="G1137" s="29" t="s">
        <v>39</v>
      </c>
      <c r="H1137" s="29" t="s">
        <v>65</v>
      </c>
      <c r="I1137" s="29" t="s">
        <v>190</v>
      </c>
      <c r="J1137" s="29" t="s">
        <v>191</v>
      </c>
      <c r="K1137" s="29" t="s">
        <v>298</v>
      </c>
      <c r="L1137" s="29" t="s">
        <v>30</v>
      </c>
      <c r="M1137" s="29" t="n">
        <v>3009</v>
      </c>
      <c r="N1137" s="29" t="n">
        <v>2090</v>
      </c>
      <c r="O1137" s="29"/>
      <c r="P1137" s="30" t="n">
        <f aca="false">(M1137*N1137/1000000)*(INDEX(AreaRate_Vals,MATCH(C1137,AreaRate_Keys,0))+IFERROR(INDEX(GlazingUpg_Vals,MATCH(H1137,GlazingUpg_Keys,0)),0))+INDEX(Hardware_Vals,MATCH("Doors",Hardware_Keys,0))</f>
        <v>20674.192</v>
      </c>
      <c r="Q1137" s="31" t="n">
        <f aca="false">INDEX(Markup_Vals,MATCH("Doors",MarkupCat_Keys,0))</f>
        <v>0.4</v>
      </c>
      <c r="R1137" s="32" t="n">
        <f aca="false">P1137*(1+Q1137)</f>
        <v>28943.8688</v>
      </c>
      <c r="S1137" s="32" t="n">
        <f aca="false">R1137*(1-TradeDiscount)</f>
        <v>25470.604544</v>
      </c>
      <c r="T1137" s="32" t="n">
        <f aca="false">R1137*(1-VolumeDiscount)</f>
        <v>23155.09504</v>
      </c>
    </row>
    <row r="1138" customFormat="false" ht="15" hidden="false" customHeight="false" outlineLevel="0" collapsed="false">
      <c r="A1138" s="25" t="s">
        <v>2514</v>
      </c>
      <c r="B1138" s="25" t="s">
        <v>97</v>
      </c>
      <c r="C1138" s="25" t="s">
        <v>50</v>
      </c>
      <c r="D1138" s="25" t="s">
        <v>2515</v>
      </c>
      <c r="E1138" s="25" t="s">
        <v>2487</v>
      </c>
      <c r="F1138" s="25" t="s">
        <v>1838</v>
      </c>
      <c r="G1138" s="25" t="s">
        <v>38</v>
      </c>
      <c r="H1138" s="25" t="s">
        <v>65</v>
      </c>
      <c r="I1138" s="25" t="s">
        <v>190</v>
      </c>
      <c r="J1138" s="25" t="s">
        <v>191</v>
      </c>
      <c r="K1138" s="25" t="s">
        <v>298</v>
      </c>
      <c r="L1138" s="25" t="s">
        <v>30</v>
      </c>
      <c r="M1138" s="25" t="n">
        <v>3009</v>
      </c>
      <c r="N1138" s="25" t="n">
        <v>2090</v>
      </c>
      <c r="O1138" s="25"/>
      <c r="P1138" s="26" t="n">
        <f aca="false">(M1138*N1138/1000000)*(INDEX(AreaRate_Vals,MATCH(C1138,AreaRate_Keys,0))+IFERROR(INDEX(GlazingUpg_Vals,MATCH(H1138,GlazingUpg_Keys,0)),0))+INDEX(Hardware_Vals,MATCH("Doors",Hardware_Keys,0))</f>
        <v>20674.192</v>
      </c>
      <c r="Q1138" s="27" t="n">
        <f aca="false">INDEX(Markup_Vals,MATCH("Doors",MarkupCat_Keys,0))</f>
        <v>0.4</v>
      </c>
      <c r="R1138" s="28" t="n">
        <f aca="false">P1138*(1+Q1138)</f>
        <v>28943.8688</v>
      </c>
      <c r="S1138" s="28" t="n">
        <f aca="false">R1138*(1-TradeDiscount)</f>
        <v>25470.604544</v>
      </c>
      <c r="T1138" s="28" t="n">
        <f aca="false">R1138*(1-VolumeDiscount)</f>
        <v>23155.09504</v>
      </c>
    </row>
    <row r="1139" customFormat="false" ht="15" hidden="false" customHeight="false" outlineLevel="0" collapsed="false">
      <c r="A1139" s="29" t="s">
        <v>2516</v>
      </c>
      <c r="B1139" s="29" t="s">
        <v>97</v>
      </c>
      <c r="C1139" s="29" t="s">
        <v>50</v>
      </c>
      <c r="D1139" s="29" t="s">
        <v>2517</v>
      </c>
      <c r="E1139" s="29" t="s">
        <v>2487</v>
      </c>
      <c r="F1139" s="29" t="s">
        <v>1838</v>
      </c>
      <c r="G1139" s="29" t="s">
        <v>35</v>
      </c>
      <c r="H1139" s="29" t="s">
        <v>66</v>
      </c>
      <c r="I1139" s="29" t="s">
        <v>190</v>
      </c>
      <c r="J1139" s="29" t="s">
        <v>191</v>
      </c>
      <c r="K1139" s="29" t="s">
        <v>298</v>
      </c>
      <c r="L1139" s="29" t="s">
        <v>30</v>
      </c>
      <c r="M1139" s="29" t="n">
        <v>3009</v>
      </c>
      <c r="N1139" s="29" t="n">
        <v>2090</v>
      </c>
      <c r="O1139" s="29"/>
      <c r="P1139" s="30" t="n">
        <f aca="false">(M1139*N1139/1000000)*(INDEX(AreaRate_Vals,MATCH(C1139,AreaRate_Keys,0))+IFERROR(INDEX(GlazingUpg_Vals,MATCH(H1139,GlazingUpg_Keys,0)),0))+INDEX(Hardware_Vals,MATCH("Doors",Hardware_Keys,0))</f>
        <v>25076.359</v>
      </c>
      <c r="Q1139" s="31" t="n">
        <f aca="false">INDEX(Markup_Vals,MATCH("Doors",MarkupCat_Keys,0))</f>
        <v>0.4</v>
      </c>
      <c r="R1139" s="32" t="n">
        <f aca="false">P1139*(1+Q1139)</f>
        <v>35106.9026</v>
      </c>
      <c r="S1139" s="32" t="n">
        <f aca="false">R1139*(1-TradeDiscount)</f>
        <v>30894.074288</v>
      </c>
      <c r="T1139" s="32" t="n">
        <f aca="false">R1139*(1-VolumeDiscount)</f>
        <v>28085.52208</v>
      </c>
    </row>
    <row r="1140" customFormat="false" ht="15" hidden="false" customHeight="false" outlineLevel="0" collapsed="false">
      <c r="A1140" s="25" t="s">
        <v>2518</v>
      </c>
      <c r="B1140" s="25" t="s">
        <v>97</v>
      </c>
      <c r="C1140" s="25" t="s">
        <v>50</v>
      </c>
      <c r="D1140" s="25" t="s">
        <v>2519</v>
      </c>
      <c r="E1140" s="25" t="s">
        <v>2487</v>
      </c>
      <c r="F1140" s="25" t="s">
        <v>1838</v>
      </c>
      <c r="G1140" s="25" t="s">
        <v>36</v>
      </c>
      <c r="H1140" s="25" t="s">
        <v>66</v>
      </c>
      <c r="I1140" s="25" t="s">
        <v>190</v>
      </c>
      <c r="J1140" s="25" t="s">
        <v>191</v>
      </c>
      <c r="K1140" s="25" t="s">
        <v>298</v>
      </c>
      <c r="L1140" s="25" t="s">
        <v>30</v>
      </c>
      <c r="M1140" s="25" t="n">
        <v>3009</v>
      </c>
      <c r="N1140" s="25" t="n">
        <v>2090</v>
      </c>
      <c r="O1140" s="25"/>
      <c r="P1140" s="26" t="n">
        <f aca="false">(M1140*N1140/1000000)*(INDEX(AreaRate_Vals,MATCH(C1140,AreaRate_Keys,0))+IFERROR(INDEX(GlazingUpg_Vals,MATCH(H1140,GlazingUpg_Keys,0)),0))+INDEX(Hardware_Vals,MATCH("Doors",Hardware_Keys,0))</f>
        <v>25076.359</v>
      </c>
      <c r="Q1140" s="27" t="n">
        <f aca="false">INDEX(Markup_Vals,MATCH("Doors",MarkupCat_Keys,0))</f>
        <v>0.4</v>
      </c>
      <c r="R1140" s="28" t="n">
        <f aca="false">P1140*(1+Q1140)</f>
        <v>35106.9026</v>
      </c>
      <c r="S1140" s="28" t="n">
        <f aca="false">R1140*(1-TradeDiscount)</f>
        <v>30894.074288</v>
      </c>
      <c r="T1140" s="28" t="n">
        <f aca="false">R1140*(1-VolumeDiscount)</f>
        <v>28085.52208</v>
      </c>
    </row>
    <row r="1141" customFormat="false" ht="15" hidden="false" customHeight="false" outlineLevel="0" collapsed="false">
      <c r="A1141" s="29" t="s">
        <v>2520</v>
      </c>
      <c r="B1141" s="29" t="s">
        <v>97</v>
      </c>
      <c r="C1141" s="29" t="s">
        <v>50</v>
      </c>
      <c r="D1141" s="29" t="s">
        <v>2521</v>
      </c>
      <c r="E1141" s="29" t="s">
        <v>2487</v>
      </c>
      <c r="F1141" s="29" t="s">
        <v>1838</v>
      </c>
      <c r="G1141" s="29" t="s">
        <v>37</v>
      </c>
      <c r="H1141" s="29" t="s">
        <v>66</v>
      </c>
      <c r="I1141" s="29" t="s">
        <v>190</v>
      </c>
      <c r="J1141" s="29" t="s">
        <v>191</v>
      </c>
      <c r="K1141" s="29" t="s">
        <v>298</v>
      </c>
      <c r="L1141" s="29" t="s">
        <v>30</v>
      </c>
      <c r="M1141" s="29" t="n">
        <v>3009</v>
      </c>
      <c r="N1141" s="29" t="n">
        <v>2090</v>
      </c>
      <c r="O1141" s="29"/>
      <c r="P1141" s="30" t="n">
        <f aca="false">(M1141*N1141/1000000)*(INDEX(AreaRate_Vals,MATCH(C1141,AreaRate_Keys,0))+IFERROR(INDEX(GlazingUpg_Vals,MATCH(H1141,GlazingUpg_Keys,0)),0))+INDEX(Hardware_Vals,MATCH("Doors",Hardware_Keys,0))</f>
        <v>25076.359</v>
      </c>
      <c r="Q1141" s="31" t="n">
        <f aca="false">INDEX(Markup_Vals,MATCH("Doors",MarkupCat_Keys,0))</f>
        <v>0.4</v>
      </c>
      <c r="R1141" s="32" t="n">
        <f aca="false">P1141*(1+Q1141)</f>
        <v>35106.9026</v>
      </c>
      <c r="S1141" s="32" t="n">
        <f aca="false">R1141*(1-TradeDiscount)</f>
        <v>30894.074288</v>
      </c>
      <c r="T1141" s="32" t="n">
        <f aca="false">R1141*(1-VolumeDiscount)</f>
        <v>28085.52208</v>
      </c>
    </row>
    <row r="1142" customFormat="false" ht="15" hidden="false" customHeight="false" outlineLevel="0" collapsed="false">
      <c r="A1142" s="25" t="s">
        <v>2522</v>
      </c>
      <c r="B1142" s="25" t="s">
        <v>97</v>
      </c>
      <c r="C1142" s="25" t="s">
        <v>50</v>
      </c>
      <c r="D1142" s="25" t="s">
        <v>2523</v>
      </c>
      <c r="E1142" s="25" t="s">
        <v>2487</v>
      </c>
      <c r="F1142" s="25" t="s">
        <v>1838</v>
      </c>
      <c r="G1142" s="25" t="s">
        <v>39</v>
      </c>
      <c r="H1142" s="25" t="s">
        <v>66</v>
      </c>
      <c r="I1142" s="25" t="s">
        <v>190</v>
      </c>
      <c r="J1142" s="25" t="s">
        <v>191</v>
      </c>
      <c r="K1142" s="25" t="s">
        <v>298</v>
      </c>
      <c r="L1142" s="25" t="s">
        <v>30</v>
      </c>
      <c r="M1142" s="25" t="n">
        <v>3009</v>
      </c>
      <c r="N1142" s="25" t="n">
        <v>2090</v>
      </c>
      <c r="O1142" s="25"/>
      <c r="P1142" s="26" t="n">
        <f aca="false">(M1142*N1142/1000000)*(INDEX(AreaRate_Vals,MATCH(C1142,AreaRate_Keys,0))+IFERROR(INDEX(GlazingUpg_Vals,MATCH(H1142,GlazingUpg_Keys,0)),0))+INDEX(Hardware_Vals,MATCH("Doors",Hardware_Keys,0))</f>
        <v>25076.359</v>
      </c>
      <c r="Q1142" s="27" t="n">
        <f aca="false">INDEX(Markup_Vals,MATCH("Doors",MarkupCat_Keys,0))</f>
        <v>0.4</v>
      </c>
      <c r="R1142" s="28" t="n">
        <f aca="false">P1142*(1+Q1142)</f>
        <v>35106.9026</v>
      </c>
      <c r="S1142" s="28" t="n">
        <f aca="false">R1142*(1-TradeDiscount)</f>
        <v>30894.074288</v>
      </c>
      <c r="T1142" s="28" t="n">
        <f aca="false">R1142*(1-VolumeDiscount)</f>
        <v>28085.52208</v>
      </c>
    </row>
    <row r="1143" customFormat="false" ht="15" hidden="false" customHeight="false" outlineLevel="0" collapsed="false">
      <c r="A1143" s="29" t="s">
        <v>2524</v>
      </c>
      <c r="B1143" s="29" t="s">
        <v>97</v>
      </c>
      <c r="C1143" s="29" t="s">
        <v>50</v>
      </c>
      <c r="D1143" s="29" t="s">
        <v>2525</v>
      </c>
      <c r="E1143" s="29" t="s">
        <v>2487</v>
      </c>
      <c r="F1143" s="29" t="s">
        <v>1838</v>
      </c>
      <c r="G1143" s="29" t="s">
        <v>38</v>
      </c>
      <c r="H1143" s="29" t="s">
        <v>66</v>
      </c>
      <c r="I1143" s="29" t="s">
        <v>190</v>
      </c>
      <c r="J1143" s="29" t="s">
        <v>191</v>
      </c>
      <c r="K1143" s="29" t="s">
        <v>298</v>
      </c>
      <c r="L1143" s="29" t="s">
        <v>30</v>
      </c>
      <c r="M1143" s="29" t="n">
        <v>3009</v>
      </c>
      <c r="N1143" s="29" t="n">
        <v>2090</v>
      </c>
      <c r="O1143" s="29"/>
      <c r="P1143" s="30" t="n">
        <f aca="false">(M1143*N1143/1000000)*(INDEX(AreaRate_Vals,MATCH(C1143,AreaRate_Keys,0))+IFERROR(INDEX(GlazingUpg_Vals,MATCH(H1143,GlazingUpg_Keys,0)),0))+INDEX(Hardware_Vals,MATCH("Doors",Hardware_Keys,0))</f>
        <v>25076.359</v>
      </c>
      <c r="Q1143" s="31" t="n">
        <f aca="false">INDEX(Markup_Vals,MATCH("Doors",MarkupCat_Keys,0))</f>
        <v>0.4</v>
      </c>
      <c r="R1143" s="32" t="n">
        <f aca="false">P1143*(1+Q1143)</f>
        <v>35106.9026</v>
      </c>
      <c r="S1143" s="32" t="n">
        <f aca="false">R1143*(1-TradeDiscount)</f>
        <v>30894.074288</v>
      </c>
      <c r="T1143" s="32" t="n">
        <f aca="false">R1143*(1-VolumeDiscount)</f>
        <v>28085.52208</v>
      </c>
    </row>
    <row r="1144" customFormat="false" ht="15" hidden="false" customHeight="false" outlineLevel="0" collapsed="false">
      <c r="A1144" s="25" t="s">
        <v>2526</v>
      </c>
      <c r="B1144" s="25" t="s">
        <v>97</v>
      </c>
      <c r="C1144" s="25" t="s">
        <v>50</v>
      </c>
      <c r="D1144" s="25" t="s">
        <v>2527</v>
      </c>
      <c r="E1144" s="25" t="s">
        <v>2487</v>
      </c>
      <c r="F1144" s="25" t="s">
        <v>1859</v>
      </c>
      <c r="G1144" s="25" t="s">
        <v>35</v>
      </c>
      <c r="H1144" s="25" t="s">
        <v>65</v>
      </c>
      <c r="I1144" s="25" t="s">
        <v>190</v>
      </c>
      <c r="J1144" s="25" t="s">
        <v>191</v>
      </c>
      <c r="K1144" s="25" t="s">
        <v>298</v>
      </c>
      <c r="L1144" s="25" t="s">
        <v>30</v>
      </c>
      <c r="M1144" s="25" t="n">
        <v>3609</v>
      </c>
      <c r="N1144" s="25" t="n">
        <v>2090</v>
      </c>
      <c r="O1144" s="25"/>
      <c r="P1144" s="26" t="n">
        <f aca="false">(M1144*N1144/1000000)*(INDEX(AreaRate_Vals,MATCH(C1144,AreaRate_Keys,0))+IFERROR(INDEX(GlazingUpg_Vals,MATCH(H1144,GlazingUpg_Keys,0)),0))+INDEX(Hardware_Vals,MATCH("Doors",Hardware_Keys,0))</f>
        <v>24686.992</v>
      </c>
      <c r="Q1144" s="27" t="n">
        <f aca="false">INDEX(Markup_Vals,MATCH("Doors",MarkupCat_Keys,0))</f>
        <v>0.4</v>
      </c>
      <c r="R1144" s="28" t="n">
        <f aca="false">P1144*(1+Q1144)</f>
        <v>34561.7888</v>
      </c>
      <c r="S1144" s="28" t="n">
        <f aca="false">R1144*(1-TradeDiscount)</f>
        <v>30414.374144</v>
      </c>
      <c r="T1144" s="28" t="n">
        <f aca="false">R1144*(1-VolumeDiscount)</f>
        <v>27649.43104</v>
      </c>
    </row>
    <row r="1145" customFormat="false" ht="15" hidden="false" customHeight="false" outlineLevel="0" collapsed="false">
      <c r="A1145" s="29" t="s">
        <v>2528</v>
      </c>
      <c r="B1145" s="29" t="s">
        <v>97</v>
      </c>
      <c r="C1145" s="29" t="s">
        <v>50</v>
      </c>
      <c r="D1145" s="29" t="s">
        <v>2529</v>
      </c>
      <c r="E1145" s="29" t="s">
        <v>2487</v>
      </c>
      <c r="F1145" s="29" t="s">
        <v>1859</v>
      </c>
      <c r="G1145" s="29" t="s">
        <v>36</v>
      </c>
      <c r="H1145" s="29" t="s">
        <v>65</v>
      </c>
      <c r="I1145" s="29" t="s">
        <v>190</v>
      </c>
      <c r="J1145" s="29" t="s">
        <v>191</v>
      </c>
      <c r="K1145" s="29" t="s">
        <v>298</v>
      </c>
      <c r="L1145" s="29" t="s">
        <v>30</v>
      </c>
      <c r="M1145" s="29" t="n">
        <v>3609</v>
      </c>
      <c r="N1145" s="29" t="n">
        <v>2090</v>
      </c>
      <c r="O1145" s="29"/>
      <c r="P1145" s="30" t="n">
        <f aca="false">(M1145*N1145/1000000)*(INDEX(AreaRate_Vals,MATCH(C1145,AreaRate_Keys,0))+IFERROR(INDEX(GlazingUpg_Vals,MATCH(H1145,GlazingUpg_Keys,0)),0))+INDEX(Hardware_Vals,MATCH("Doors",Hardware_Keys,0))</f>
        <v>24686.992</v>
      </c>
      <c r="Q1145" s="31" t="n">
        <f aca="false">INDEX(Markup_Vals,MATCH("Doors",MarkupCat_Keys,0))</f>
        <v>0.4</v>
      </c>
      <c r="R1145" s="32" t="n">
        <f aca="false">P1145*(1+Q1145)</f>
        <v>34561.7888</v>
      </c>
      <c r="S1145" s="32" t="n">
        <f aca="false">R1145*(1-TradeDiscount)</f>
        <v>30414.374144</v>
      </c>
      <c r="T1145" s="32" t="n">
        <f aca="false">R1145*(1-VolumeDiscount)</f>
        <v>27649.43104</v>
      </c>
    </row>
    <row r="1146" customFormat="false" ht="15" hidden="false" customHeight="false" outlineLevel="0" collapsed="false">
      <c r="A1146" s="25" t="s">
        <v>2530</v>
      </c>
      <c r="B1146" s="25" t="s">
        <v>97</v>
      </c>
      <c r="C1146" s="25" t="s">
        <v>50</v>
      </c>
      <c r="D1146" s="25" t="s">
        <v>2531</v>
      </c>
      <c r="E1146" s="25" t="s">
        <v>2487</v>
      </c>
      <c r="F1146" s="25" t="s">
        <v>1859</v>
      </c>
      <c r="G1146" s="25" t="s">
        <v>37</v>
      </c>
      <c r="H1146" s="25" t="s">
        <v>65</v>
      </c>
      <c r="I1146" s="25" t="s">
        <v>190</v>
      </c>
      <c r="J1146" s="25" t="s">
        <v>191</v>
      </c>
      <c r="K1146" s="25" t="s">
        <v>298</v>
      </c>
      <c r="L1146" s="25" t="s">
        <v>30</v>
      </c>
      <c r="M1146" s="25" t="n">
        <v>3609</v>
      </c>
      <c r="N1146" s="25" t="n">
        <v>2090</v>
      </c>
      <c r="O1146" s="25"/>
      <c r="P1146" s="26" t="n">
        <f aca="false">(M1146*N1146/1000000)*(INDEX(AreaRate_Vals,MATCH(C1146,AreaRate_Keys,0))+IFERROR(INDEX(GlazingUpg_Vals,MATCH(H1146,GlazingUpg_Keys,0)),0))+INDEX(Hardware_Vals,MATCH("Doors",Hardware_Keys,0))</f>
        <v>24686.992</v>
      </c>
      <c r="Q1146" s="27" t="n">
        <f aca="false">INDEX(Markup_Vals,MATCH("Doors",MarkupCat_Keys,0))</f>
        <v>0.4</v>
      </c>
      <c r="R1146" s="28" t="n">
        <f aca="false">P1146*(1+Q1146)</f>
        <v>34561.7888</v>
      </c>
      <c r="S1146" s="28" t="n">
        <f aca="false">R1146*(1-TradeDiscount)</f>
        <v>30414.374144</v>
      </c>
      <c r="T1146" s="28" t="n">
        <f aca="false">R1146*(1-VolumeDiscount)</f>
        <v>27649.43104</v>
      </c>
    </row>
    <row r="1147" customFormat="false" ht="15" hidden="false" customHeight="false" outlineLevel="0" collapsed="false">
      <c r="A1147" s="29" t="s">
        <v>2532</v>
      </c>
      <c r="B1147" s="29" t="s">
        <v>97</v>
      </c>
      <c r="C1147" s="29" t="s">
        <v>50</v>
      </c>
      <c r="D1147" s="29" t="s">
        <v>2533</v>
      </c>
      <c r="E1147" s="29" t="s">
        <v>2487</v>
      </c>
      <c r="F1147" s="29" t="s">
        <v>1859</v>
      </c>
      <c r="G1147" s="29" t="s">
        <v>39</v>
      </c>
      <c r="H1147" s="29" t="s">
        <v>65</v>
      </c>
      <c r="I1147" s="29" t="s">
        <v>190</v>
      </c>
      <c r="J1147" s="29" t="s">
        <v>191</v>
      </c>
      <c r="K1147" s="29" t="s">
        <v>298</v>
      </c>
      <c r="L1147" s="29" t="s">
        <v>30</v>
      </c>
      <c r="M1147" s="29" t="n">
        <v>3609</v>
      </c>
      <c r="N1147" s="29" t="n">
        <v>2090</v>
      </c>
      <c r="O1147" s="29"/>
      <c r="P1147" s="30" t="n">
        <f aca="false">(M1147*N1147/1000000)*(INDEX(AreaRate_Vals,MATCH(C1147,AreaRate_Keys,0))+IFERROR(INDEX(GlazingUpg_Vals,MATCH(H1147,GlazingUpg_Keys,0)),0))+INDEX(Hardware_Vals,MATCH("Doors",Hardware_Keys,0))</f>
        <v>24686.992</v>
      </c>
      <c r="Q1147" s="31" t="n">
        <f aca="false">INDEX(Markup_Vals,MATCH("Doors",MarkupCat_Keys,0))</f>
        <v>0.4</v>
      </c>
      <c r="R1147" s="32" t="n">
        <f aca="false">P1147*(1+Q1147)</f>
        <v>34561.7888</v>
      </c>
      <c r="S1147" s="32" t="n">
        <f aca="false">R1147*(1-TradeDiscount)</f>
        <v>30414.374144</v>
      </c>
      <c r="T1147" s="32" t="n">
        <f aca="false">R1147*(1-VolumeDiscount)</f>
        <v>27649.43104</v>
      </c>
    </row>
    <row r="1148" customFormat="false" ht="15" hidden="false" customHeight="false" outlineLevel="0" collapsed="false">
      <c r="A1148" s="25" t="s">
        <v>2534</v>
      </c>
      <c r="B1148" s="25" t="s">
        <v>97</v>
      </c>
      <c r="C1148" s="25" t="s">
        <v>50</v>
      </c>
      <c r="D1148" s="25" t="s">
        <v>2535</v>
      </c>
      <c r="E1148" s="25" t="s">
        <v>2487</v>
      </c>
      <c r="F1148" s="25" t="s">
        <v>1859</v>
      </c>
      <c r="G1148" s="25" t="s">
        <v>38</v>
      </c>
      <c r="H1148" s="25" t="s">
        <v>65</v>
      </c>
      <c r="I1148" s="25" t="s">
        <v>190</v>
      </c>
      <c r="J1148" s="25" t="s">
        <v>191</v>
      </c>
      <c r="K1148" s="25" t="s">
        <v>298</v>
      </c>
      <c r="L1148" s="25" t="s">
        <v>30</v>
      </c>
      <c r="M1148" s="25" t="n">
        <v>3609</v>
      </c>
      <c r="N1148" s="25" t="n">
        <v>2090</v>
      </c>
      <c r="O1148" s="25"/>
      <c r="P1148" s="26" t="n">
        <f aca="false">(M1148*N1148/1000000)*(INDEX(AreaRate_Vals,MATCH(C1148,AreaRate_Keys,0))+IFERROR(INDEX(GlazingUpg_Vals,MATCH(H1148,GlazingUpg_Keys,0)),0))+INDEX(Hardware_Vals,MATCH("Doors",Hardware_Keys,0))</f>
        <v>24686.992</v>
      </c>
      <c r="Q1148" s="27" t="n">
        <f aca="false">INDEX(Markup_Vals,MATCH("Doors",MarkupCat_Keys,0))</f>
        <v>0.4</v>
      </c>
      <c r="R1148" s="28" t="n">
        <f aca="false">P1148*(1+Q1148)</f>
        <v>34561.7888</v>
      </c>
      <c r="S1148" s="28" t="n">
        <f aca="false">R1148*(1-TradeDiscount)</f>
        <v>30414.374144</v>
      </c>
      <c r="T1148" s="28" t="n">
        <f aca="false">R1148*(1-VolumeDiscount)</f>
        <v>27649.43104</v>
      </c>
    </row>
    <row r="1149" customFormat="false" ht="15" hidden="false" customHeight="false" outlineLevel="0" collapsed="false">
      <c r="A1149" s="29" t="s">
        <v>2536</v>
      </c>
      <c r="B1149" s="29" t="s">
        <v>97</v>
      </c>
      <c r="C1149" s="29" t="s">
        <v>50</v>
      </c>
      <c r="D1149" s="29" t="s">
        <v>2537</v>
      </c>
      <c r="E1149" s="29" t="s">
        <v>2487</v>
      </c>
      <c r="F1149" s="29" t="s">
        <v>1859</v>
      </c>
      <c r="G1149" s="29" t="s">
        <v>35</v>
      </c>
      <c r="H1149" s="29" t="s">
        <v>66</v>
      </c>
      <c r="I1149" s="29" t="s">
        <v>190</v>
      </c>
      <c r="J1149" s="29" t="s">
        <v>191</v>
      </c>
      <c r="K1149" s="29" t="s">
        <v>298</v>
      </c>
      <c r="L1149" s="29" t="s">
        <v>30</v>
      </c>
      <c r="M1149" s="29" t="n">
        <v>3609</v>
      </c>
      <c r="N1149" s="29" t="n">
        <v>2090</v>
      </c>
      <c r="O1149" s="29"/>
      <c r="P1149" s="30" t="n">
        <f aca="false">(M1149*N1149/1000000)*(INDEX(AreaRate_Vals,MATCH(C1149,AreaRate_Keys,0))+IFERROR(INDEX(GlazingUpg_Vals,MATCH(H1149,GlazingUpg_Keys,0)),0))+INDEX(Hardware_Vals,MATCH("Doors",Hardware_Keys,0))</f>
        <v>29966.959</v>
      </c>
      <c r="Q1149" s="31" t="n">
        <f aca="false">INDEX(Markup_Vals,MATCH("Doors",MarkupCat_Keys,0))</f>
        <v>0.4</v>
      </c>
      <c r="R1149" s="32" t="n">
        <f aca="false">P1149*(1+Q1149)</f>
        <v>41953.7426</v>
      </c>
      <c r="S1149" s="32" t="n">
        <f aca="false">R1149*(1-TradeDiscount)</f>
        <v>36919.293488</v>
      </c>
      <c r="T1149" s="32" t="n">
        <f aca="false">R1149*(1-VolumeDiscount)</f>
        <v>33562.99408</v>
      </c>
    </row>
    <row r="1150" customFormat="false" ht="15" hidden="false" customHeight="false" outlineLevel="0" collapsed="false">
      <c r="A1150" s="25" t="s">
        <v>2538</v>
      </c>
      <c r="B1150" s="25" t="s">
        <v>97</v>
      </c>
      <c r="C1150" s="25" t="s">
        <v>50</v>
      </c>
      <c r="D1150" s="25" t="s">
        <v>2539</v>
      </c>
      <c r="E1150" s="25" t="s">
        <v>2487</v>
      </c>
      <c r="F1150" s="25" t="s">
        <v>1859</v>
      </c>
      <c r="G1150" s="25" t="s">
        <v>36</v>
      </c>
      <c r="H1150" s="25" t="s">
        <v>66</v>
      </c>
      <c r="I1150" s="25" t="s">
        <v>190</v>
      </c>
      <c r="J1150" s="25" t="s">
        <v>191</v>
      </c>
      <c r="K1150" s="25" t="s">
        <v>298</v>
      </c>
      <c r="L1150" s="25" t="s">
        <v>30</v>
      </c>
      <c r="M1150" s="25" t="n">
        <v>3609</v>
      </c>
      <c r="N1150" s="25" t="n">
        <v>2090</v>
      </c>
      <c r="O1150" s="25"/>
      <c r="P1150" s="26" t="n">
        <f aca="false">(M1150*N1150/1000000)*(INDEX(AreaRate_Vals,MATCH(C1150,AreaRate_Keys,0))+IFERROR(INDEX(GlazingUpg_Vals,MATCH(H1150,GlazingUpg_Keys,0)),0))+INDEX(Hardware_Vals,MATCH("Doors",Hardware_Keys,0))</f>
        <v>29966.959</v>
      </c>
      <c r="Q1150" s="27" t="n">
        <f aca="false">INDEX(Markup_Vals,MATCH("Doors",MarkupCat_Keys,0))</f>
        <v>0.4</v>
      </c>
      <c r="R1150" s="28" t="n">
        <f aca="false">P1150*(1+Q1150)</f>
        <v>41953.7426</v>
      </c>
      <c r="S1150" s="28" t="n">
        <f aca="false">R1150*(1-TradeDiscount)</f>
        <v>36919.293488</v>
      </c>
      <c r="T1150" s="28" t="n">
        <f aca="false">R1150*(1-VolumeDiscount)</f>
        <v>33562.99408</v>
      </c>
    </row>
    <row r="1151" customFormat="false" ht="15" hidden="false" customHeight="false" outlineLevel="0" collapsed="false">
      <c r="A1151" s="29" t="s">
        <v>2540</v>
      </c>
      <c r="B1151" s="29" t="s">
        <v>97</v>
      </c>
      <c r="C1151" s="29" t="s">
        <v>50</v>
      </c>
      <c r="D1151" s="29" t="s">
        <v>2541</v>
      </c>
      <c r="E1151" s="29" t="s">
        <v>2487</v>
      </c>
      <c r="F1151" s="29" t="s">
        <v>1859</v>
      </c>
      <c r="G1151" s="29" t="s">
        <v>37</v>
      </c>
      <c r="H1151" s="29" t="s">
        <v>66</v>
      </c>
      <c r="I1151" s="29" t="s">
        <v>190</v>
      </c>
      <c r="J1151" s="29" t="s">
        <v>191</v>
      </c>
      <c r="K1151" s="29" t="s">
        <v>298</v>
      </c>
      <c r="L1151" s="29" t="s">
        <v>30</v>
      </c>
      <c r="M1151" s="29" t="n">
        <v>3609</v>
      </c>
      <c r="N1151" s="29" t="n">
        <v>2090</v>
      </c>
      <c r="O1151" s="29"/>
      <c r="P1151" s="30" t="n">
        <f aca="false">(M1151*N1151/1000000)*(INDEX(AreaRate_Vals,MATCH(C1151,AreaRate_Keys,0))+IFERROR(INDEX(GlazingUpg_Vals,MATCH(H1151,GlazingUpg_Keys,0)),0))+INDEX(Hardware_Vals,MATCH("Doors",Hardware_Keys,0))</f>
        <v>29966.959</v>
      </c>
      <c r="Q1151" s="31" t="n">
        <f aca="false">INDEX(Markup_Vals,MATCH("Doors",MarkupCat_Keys,0))</f>
        <v>0.4</v>
      </c>
      <c r="R1151" s="32" t="n">
        <f aca="false">P1151*(1+Q1151)</f>
        <v>41953.7426</v>
      </c>
      <c r="S1151" s="32" t="n">
        <f aca="false">R1151*(1-TradeDiscount)</f>
        <v>36919.293488</v>
      </c>
      <c r="T1151" s="32" t="n">
        <f aca="false">R1151*(1-VolumeDiscount)</f>
        <v>33562.99408</v>
      </c>
    </row>
    <row r="1152" customFormat="false" ht="15" hidden="false" customHeight="false" outlineLevel="0" collapsed="false">
      <c r="A1152" s="25" t="s">
        <v>2542</v>
      </c>
      <c r="B1152" s="25" t="s">
        <v>97</v>
      </c>
      <c r="C1152" s="25" t="s">
        <v>50</v>
      </c>
      <c r="D1152" s="25" t="s">
        <v>2543</v>
      </c>
      <c r="E1152" s="25" t="s">
        <v>2487</v>
      </c>
      <c r="F1152" s="25" t="s">
        <v>1859</v>
      </c>
      <c r="G1152" s="25" t="s">
        <v>39</v>
      </c>
      <c r="H1152" s="25" t="s">
        <v>66</v>
      </c>
      <c r="I1152" s="25" t="s">
        <v>190</v>
      </c>
      <c r="J1152" s="25" t="s">
        <v>191</v>
      </c>
      <c r="K1152" s="25" t="s">
        <v>298</v>
      </c>
      <c r="L1152" s="25" t="s">
        <v>30</v>
      </c>
      <c r="M1152" s="25" t="n">
        <v>3609</v>
      </c>
      <c r="N1152" s="25" t="n">
        <v>2090</v>
      </c>
      <c r="O1152" s="25"/>
      <c r="P1152" s="26" t="n">
        <f aca="false">(M1152*N1152/1000000)*(INDEX(AreaRate_Vals,MATCH(C1152,AreaRate_Keys,0))+IFERROR(INDEX(GlazingUpg_Vals,MATCH(H1152,GlazingUpg_Keys,0)),0))+INDEX(Hardware_Vals,MATCH("Doors",Hardware_Keys,0))</f>
        <v>29966.959</v>
      </c>
      <c r="Q1152" s="27" t="n">
        <f aca="false">INDEX(Markup_Vals,MATCH("Doors",MarkupCat_Keys,0))</f>
        <v>0.4</v>
      </c>
      <c r="R1152" s="28" t="n">
        <f aca="false">P1152*(1+Q1152)</f>
        <v>41953.7426</v>
      </c>
      <c r="S1152" s="28" t="n">
        <f aca="false">R1152*(1-TradeDiscount)</f>
        <v>36919.293488</v>
      </c>
      <c r="T1152" s="28" t="n">
        <f aca="false">R1152*(1-VolumeDiscount)</f>
        <v>33562.99408</v>
      </c>
    </row>
    <row r="1153" customFormat="false" ht="15" hidden="false" customHeight="false" outlineLevel="0" collapsed="false">
      <c r="A1153" s="29" t="s">
        <v>2544</v>
      </c>
      <c r="B1153" s="29" t="s">
        <v>97</v>
      </c>
      <c r="C1153" s="29" t="s">
        <v>50</v>
      </c>
      <c r="D1153" s="29" t="s">
        <v>2545</v>
      </c>
      <c r="E1153" s="29" t="s">
        <v>2487</v>
      </c>
      <c r="F1153" s="29" t="s">
        <v>1859</v>
      </c>
      <c r="G1153" s="29" t="s">
        <v>38</v>
      </c>
      <c r="H1153" s="29" t="s">
        <v>66</v>
      </c>
      <c r="I1153" s="29" t="s">
        <v>190</v>
      </c>
      <c r="J1153" s="29" t="s">
        <v>191</v>
      </c>
      <c r="K1153" s="29" t="s">
        <v>298</v>
      </c>
      <c r="L1153" s="29" t="s">
        <v>30</v>
      </c>
      <c r="M1153" s="29" t="n">
        <v>3609</v>
      </c>
      <c r="N1153" s="29" t="n">
        <v>2090</v>
      </c>
      <c r="O1153" s="29"/>
      <c r="P1153" s="30" t="n">
        <f aca="false">(M1153*N1153/1000000)*(INDEX(AreaRate_Vals,MATCH(C1153,AreaRate_Keys,0))+IFERROR(INDEX(GlazingUpg_Vals,MATCH(H1153,GlazingUpg_Keys,0)),0))+INDEX(Hardware_Vals,MATCH("Doors",Hardware_Keys,0))</f>
        <v>29966.959</v>
      </c>
      <c r="Q1153" s="31" t="n">
        <f aca="false">INDEX(Markup_Vals,MATCH("Doors",MarkupCat_Keys,0))</f>
        <v>0.4</v>
      </c>
      <c r="R1153" s="32" t="n">
        <f aca="false">P1153*(1+Q1153)</f>
        <v>41953.7426</v>
      </c>
      <c r="S1153" s="32" t="n">
        <f aca="false">R1153*(1-TradeDiscount)</f>
        <v>36919.293488</v>
      </c>
      <c r="T1153" s="32" t="n">
        <f aca="false">R1153*(1-VolumeDiscount)</f>
        <v>33562.99408</v>
      </c>
    </row>
    <row r="1154" customFormat="false" ht="15" hidden="false" customHeight="false" outlineLevel="0" collapsed="false">
      <c r="A1154" s="25" t="s">
        <v>2546</v>
      </c>
      <c r="B1154" s="25" t="s">
        <v>97</v>
      </c>
      <c r="C1154" s="25" t="s">
        <v>50</v>
      </c>
      <c r="D1154" s="25" t="s">
        <v>2547</v>
      </c>
      <c r="E1154" s="25" t="s">
        <v>2487</v>
      </c>
      <c r="F1154" s="25" t="s">
        <v>1880</v>
      </c>
      <c r="G1154" s="25" t="s">
        <v>35</v>
      </c>
      <c r="H1154" s="25" t="s">
        <v>65</v>
      </c>
      <c r="I1154" s="25" t="s">
        <v>190</v>
      </c>
      <c r="J1154" s="25" t="s">
        <v>191</v>
      </c>
      <c r="K1154" s="25" t="s">
        <v>298</v>
      </c>
      <c r="L1154" s="25" t="s">
        <v>30</v>
      </c>
      <c r="M1154" s="25" t="n">
        <v>4209</v>
      </c>
      <c r="N1154" s="25" t="n">
        <v>2090</v>
      </c>
      <c r="O1154" s="25"/>
      <c r="P1154" s="26" t="n">
        <f aca="false">(M1154*N1154/1000000)*(INDEX(AreaRate_Vals,MATCH(C1154,AreaRate_Keys,0))+IFERROR(INDEX(GlazingUpg_Vals,MATCH(H1154,GlazingUpg_Keys,0)),0))+INDEX(Hardware_Vals,MATCH("Doors",Hardware_Keys,0))</f>
        <v>28699.792</v>
      </c>
      <c r="Q1154" s="27" t="n">
        <f aca="false">INDEX(Markup_Vals,MATCH("Doors",MarkupCat_Keys,0))</f>
        <v>0.4</v>
      </c>
      <c r="R1154" s="28" t="n">
        <f aca="false">P1154*(1+Q1154)</f>
        <v>40179.7088</v>
      </c>
      <c r="S1154" s="28" t="n">
        <f aca="false">R1154*(1-TradeDiscount)</f>
        <v>35358.143744</v>
      </c>
      <c r="T1154" s="28" t="n">
        <f aca="false">R1154*(1-VolumeDiscount)</f>
        <v>32143.76704</v>
      </c>
    </row>
    <row r="1155" customFormat="false" ht="15" hidden="false" customHeight="false" outlineLevel="0" collapsed="false">
      <c r="A1155" s="29" t="s">
        <v>2548</v>
      </c>
      <c r="B1155" s="29" t="s">
        <v>97</v>
      </c>
      <c r="C1155" s="29" t="s">
        <v>50</v>
      </c>
      <c r="D1155" s="29" t="s">
        <v>2549</v>
      </c>
      <c r="E1155" s="29" t="s">
        <v>2487</v>
      </c>
      <c r="F1155" s="29" t="s">
        <v>1880</v>
      </c>
      <c r="G1155" s="29" t="s">
        <v>36</v>
      </c>
      <c r="H1155" s="29" t="s">
        <v>65</v>
      </c>
      <c r="I1155" s="29" t="s">
        <v>190</v>
      </c>
      <c r="J1155" s="29" t="s">
        <v>191</v>
      </c>
      <c r="K1155" s="29" t="s">
        <v>298</v>
      </c>
      <c r="L1155" s="29" t="s">
        <v>30</v>
      </c>
      <c r="M1155" s="29" t="n">
        <v>4209</v>
      </c>
      <c r="N1155" s="29" t="n">
        <v>2090</v>
      </c>
      <c r="O1155" s="29"/>
      <c r="P1155" s="30" t="n">
        <f aca="false">(M1155*N1155/1000000)*(INDEX(AreaRate_Vals,MATCH(C1155,AreaRate_Keys,0))+IFERROR(INDEX(GlazingUpg_Vals,MATCH(H1155,GlazingUpg_Keys,0)),0))+INDEX(Hardware_Vals,MATCH("Doors",Hardware_Keys,0))</f>
        <v>28699.792</v>
      </c>
      <c r="Q1155" s="31" t="n">
        <f aca="false">INDEX(Markup_Vals,MATCH("Doors",MarkupCat_Keys,0))</f>
        <v>0.4</v>
      </c>
      <c r="R1155" s="32" t="n">
        <f aca="false">P1155*(1+Q1155)</f>
        <v>40179.7088</v>
      </c>
      <c r="S1155" s="32" t="n">
        <f aca="false">R1155*(1-TradeDiscount)</f>
        <v>35358.143744</v>
      </c>
      <c r="T1155" s="32" t="n">
        <f aca="false">R1155*(1-VolumeDiscount)</f>
        <v>32143.76704</v>
      </c>
    </row>
    <row r="1156" customFormat="false" ht="15" hidden="false" customHeight="false" outlineLevel="0" collapsed="false">
      <c r="A1156" s="25" t="s">
        <v>2550</v>
      </c>
      <c r="B1156" s="25" t="s">
        <v>97</v>
      </c>
      <c r="C1156" s="25" t="s">
        <v>50</v>
      </c>
      <c r="D1156" s="25" t="s">
        <v>2551</v>
      </c>
      <c r="E1156" s="25" t="s">
        <v>2487</v>
      </c>
      <c r="F1156" s="25" t="s">
        <v>1880</v>
      </c>
      <c r="G1156" s="25" t="s">
        <v>37</v>
      </c>
      <c r="H1156" s="25" t="s">
        <v>65</v>
      </c>
      <c r="I1156" s="25" t="s">
        <v>190</v>
      </c>
      <c r="J1156" s="25" t="s">
        <v>191</v>
      </c>
      <c r="K1156" s="25" t="s">
        <v>298</v>
      </c>
      <c r="L1156" s="25" t="s">
        <v>30</v>
      </c>
      <c r="M1156" s="25" t="n">
        <v>4209</v>
      </c>
      <c r="N1156" s="25" t="n">
        <v>2090</v>
      </c>
      <c r="O1156" s="25"/>
      <c r="P1156" s="26" t="n">
        <f aca="false">(M1156*N1156/1000000)*(INDEX(AreaRate_Vals,MATCH(C1156,AreaRate_Keys,0))+IFERROR(INDEX(GlazingUpg_Vals,MATCH(H1156,GlazingUpg_Keys,0)),0))+INDEX(Hardware_Vals,MATCH("Doors",Hardware_Keys,0))</f>
        <v>28699.792</v>
      </c>
      <c r="Q1156" s="27" t="n">
        <f aca="false">INDEX(Markup_Vals,MATCH("Doors",MarkupCat_Keys,0))</f>
        <v>0.4</v>
      </c>
      <c r="R1156" s="28" t="n">
        <f aca="false">P1156*(1+Q1156)</f>
        <v>40179.7088</v>
      </c>
      <c r="S1156" s="28" t="n">
        <f aca="false">R1156*(1-TradeDiscount)</f>
        <v>35358.143744</v>
      </c>
      <c r="T1156" s="28" t="n">
        <f aca="false">R1156*(1-VolumeDiscount)</f>
        <v>32143.76704</v>
      </c>
    </row>
    <row r="1157" customFormat="false" ht="15" hidden="false" customHeight="false" outlineLevel="0" collapsed="false">
      <c r="A1157" s="29" t="s">
        <v>2552</v>
      </c>
      <c r="B1157" s="29" t="s">
        <v>97</v>
      </c>
      <c r="C1157" s="29" t="s">
        <v>50</v>
      </c>
      <c r="D1157" s="29" t="s">
        <v>2553</v>
      </c>
      <c r="E1157" s="29" t="s">
        <v>2487</v>
      </c>
      <c r="F1157" s="29" t="s">
        <v>1880</v>
      </c>
      <c r="G1157" s="29" t="s">
        <v>39</v>
      </c>
      <c r="H1157" s="29" t="s">
        <v>65</v>
      </c>
      <c r="I1157" s="29" t="s">
        <v>190</v>
      </c>
      <c r="J1157" s="29" t="s">
        <v>191</v>
      </c>
      <c r="K1157" s="29" t="s">
        <v>298</v>
      </c>
      <c r="L1157" s="29" t="s">
        <v>30</v>
      </c>
      <c r="M1157" s="29" t="n">
        <v>4209</v>
      </c>
      <c r="N1157" s="29" t="n">
        <v>2090</v>
      </c>
      <c r="O1157" s="29"/>
      <c r="P1157" s="30" t="n">
        <f aca="false">(M1157*N1157/1000000)*(INDEX(AreaRate_Vals,MATCH(C1157,AreaRate_Keys,0))+IFERROR(INDEX(GlazingUpg_Vals,MATCH(H1157,GlazingUpg_Keys,0)),0))+INDEX(Hardware_Vals,MATCH("Doors",Hardware_Keys,0))</f>
        <v>28699.792</v>
      </c>
      <c r="Q1157" s="31" t="n">
        <f aca="false">INDEX(Markup_Vals,MATCH("Doors",MarkupCat_Keys,0))</f>
        <v>0.4</v>
      </c>
      <c r="R1157" s="32" t="n">
        <f aca="false">P1157*(1+Q1157)</f>
        <v>40179.7088</v>
      </c>
      <c r="S1157" s="32" t="n">
        <f aca="false">R1157*(1-TradeDiscount)</f>
        <v>35358.143744</v>
      </c>
      <c r="T1157" s="32" t="n">
        <f aca="false">R1157*(1-VolumeDiscount)</f>
        <v>32143.76704</v>
      </c>
    </row>
    <row r="1158" customFormat="false" ht="15" hidden="false" customHeight="false" outlineLevel="0" collapsed="false">
      <c r="A1158" s="25" t="s">
        <v>2554</v>
      </c>
      <c r="B1158" s="25" t="s">
        <v>97</v>
      </c>
      <c r="C1158" s="25" t="s">
        <v>50</v>
      </c>
      <c r="D1158" s="25" t="s">
        <v>2555</v>
      </c>
      <c r="E1158" s="25" t="s">
        <v>2487</v>
      </c>
      <c r="F1158" s="25" t="s">
        <v>1880</v>
      </c>
      <c r="G1158" s="25" t="s">
        <v>38</v>
      </c>
      <c r="H1158" s="25" t="s">
        <v>65</v>
      </c>
      <c r="I1158" s="25" t="s">
        <v>190</v>
      </c>
      <c r="J1158" s="25" t="s">
        <v>191</v>
      </c>
      <c r="K1158" s="25" t="s">
        <v>298</v>
      </c>
      <c r="L1158" s="25" t="s">
        <v>30</v>
      </c>
      <c r="M1158" s="25" t="n">
        <v>4209</v>
      </c>
      <c r="N1158" s="25" t="n">
        <v>2090</v>
      </c>
      <c r="O1158" s="25"/>
      <c r="P1158" s="26" t="n">
        <f aca="false">(M1158*N1158/1000000)*(INDEX(AreaRate_Vals,MATCH(C1158,AreaRate_Keys,0))+IFERROR(INDEX(GlazingUpg_Vals,MATCH(H1158,GlazingUpg_Keys,0)),0))+INDEX(Hardware_Vals,MATCH("Doors",Hardware_Keys,0))</f>
        <v>28699.792</v>
      </c>
      <c r="Q1158" s="27" t="n">
        <f aca="false">INDEX(Markup_Vals,MATCH("Doors",MarkupCat_Keys,0))</f>
        <v>0.4</v>
      </c>
      <c r="R1158" s="28" t="n">
        <f aca="false">P1158*(1+Q1158)</f>
        <v>40179.7088</v>
      </c>
      <c r="S1158" s="28" t="n">
        <f aca="false">R1158*(1-TradeDiscount)</f>
        <v>35358.143744</v>
      </c>
      <c r="T1158" s="28" t="n">
        <f aca="false">R1158*(1-VolumeDiscount)</f>
        <v>32143.76704</v>
      </c>
    </row>
    <row r="1159" customFormat="false" ht="15" hidden="false" customHeight="false" outlineLevel="0" collapsed="false">
      <c r="A1159" s="29" t="s">
        <v>2556</v>
      </c>
      <c r="B1159" s="29" t="s">
        <v>97</v>
      </c>
      <c r="C1159" s="29" t="s">
        <v>50</v>
      </c>
      <c r="D1159" s="29" t="s">
        <v>2557</v>
      </c>
      <c r="E1159" s="29" t="s">
        <v>2487</v>
      </c>
      <c r="F1159" s="29" t="s">
        <v>1880</v>
      </c>
      <c r="G1159" s="29" t="s">
        <v>35</v>
      </c>
      <c r="H1159" s="29" t="s">
        <v>66</v>
      </c>
      <c r="I1159" s="29" t="s">
        <v>190</v>
      </c>
      <c r="J1159" s="29" t="s">
        <v>191</v>
      </c>
      <c r="K1159" s="29" t="s">
        <v>298</v>
      </c>
      <c r="L1159" s="29" t="s">
        <v>30</v>
      </c>
      <c r="M1159" s="29" t="n">
        <v>4209</v>
      </c>
      <c r="N1159" s="29" t="n">
        <v>2090</v>
      </c>
      <c r="O1159" s="29"/>
      <c r="P1159" s="30" t="n">
        <f aca="false">(M1159*N1159/1000000)*(INDEX(AreaRate_Vals,MATCH(C1159,AreaRate_Keys,0))+IFERROR(INDEX(GlazingUpg_Vals,MATCH(H1159,GlazingUpg_Keys,0)),0))+INDEX(Hardware_Vals,MATCH("Doors",Hardware_Keys,0))</f>
        <v>34857.559</v>
      </c>
      <c r="Q1159" s="31" t="n">
        <f aca="false">INDEX(Markup_Vals,MATCH("Doors",MarkupCat_Keys,0))</f>
        <v>0.4</v>
      </c>
      <c r="R1159" s="32" t="n">
        <f aca="false">P1159*(1+Q1159)</f>
        <v>48800.5826</v>
      </c>
      <c r="S1159" s="32" t="n">
        <f aca="false">R1159*(1-TradeDiscount)</f>
        <v>42944.512688</v>
      </c>
      <c r="T1159" s="32" t="n">
        <f aca="false">R1159*(1-VolumeDiscount)</f>
        <v>39040.46608</v>
      </c>
    </row>
    <row r="1160" customFormat="false" ht="15" hidden="false" customHeight="false" outlineLevel="0" collapsed="false">
      <c r="A1160" s="25" t="s">
        <v>2558</v>
      </c>
      <c r="B1160" s="25" t="s">
        <v>97</v>
      </c>
      <c r="C1160" s="25" t="s">
        <v>50</v>
      </c>
      <c r="D1160" s="25" t="s">
        <v>2559</v>
      </c>
      <c r="E1160" s="25" t="s">
        <v>2487</v>
      </c>
      <c r="F1160" s="25" t="s">
        <v>1880</v>
      </c>
      <c r="G1160" s="25" t="s">
        <v>36</v>
      </c>
      <c r="H1160" s="25" t="s">
        <v>66</v>
      </c>
      <c r="I1160" s="25" t="s">
        <v>190</v>
      </c>
      <c r="J1160" s="25" t="s">
        <v>191</v>
      </c>
      <c r="K1160" s="25" t="s">
        <v>298</v>
      </c>
      <c r="L1160" s="25" t="s">
        <v>30</v>
      </c>
      <c r="M1160" s="25" t="n">
        <v>4209</v>
      </c>
      <c r="N1160" s="25" t="n">
        <v>2090</v>
      </c>
      <c r="O1160" s="25"/>
      <c r="P1160" s="26" t="n">
        <f aca="false">(M1160*N1160/1000000)*(INDEX(AreaRate_Vals,MATCH(C1160,AreaRate_Keys,0))+IFERROR(INDEX(GlazingUpg_Vals,MATCH(H1160,GlazingUpg_Keys,0)),0))+INDEX(Hardware_Vals,MATCH("Doors",Hardware_Keys,0))</f>
        <v>34857.559</v>
      </c>
      <c r="Q1160" s="27" t="n">
        <f aca="false">INDEX(Markup_Vals,MATCH("Doors",MarkupCat_Keys,0))</f>
        <v>0.4</v>
      </c>
      <c r="R1160" s="28" t="n">
        <f aca="false">P1160*(1+Q1160)</f>
        <v>48800.5826</v>
      </c>
      <c r="S1160" s="28" t="n">
        <f aca="false">R1160*(1-TradeDiscount)</f>
        <v>42944.512688</v>
      </c>
      <c r="T1160" s="28" t="n">
        <f aca="false">R1160*(1-VolumeDiscount)</f>
        <v>39040.46608</v>
      </c>
    </row>
    <row r="1161" customFormat="false" ht="15" hidden="false" customHeight="false" outlineLevel="0" collapsed="false">
      <c r="A1161" s="29" t="s">
        <v>2560</v>
      </c>
      <c r="B1161" s="29" t="s">
        <v>97</v>
      </c>
      <c r="C1161" s="29" t="s">
        <v>50</v>
      </c>
      <c r="D1161" s="29" t="s">
        <v>2561</v>
      </c>
      <c r="E1161" s="29" t="s">
        <v>2487</v>
      </c>
      <c r="F1161" s="29" t="s">
        <v>1880</v>
      </c>
      <c r="G1161" s="29" t="s">
        <v>37</v>
      </c>
      <c r="H1161" s="29" t="s">
        <v>66</v>
      </c>
      <c r="I1161" s="29" t="s">
        <v>190</v>
      </c>
      <c r="J1161" s="29" t="s">
        <v>191</v>
      </c>
      <c r="K1161" s="29" t="s">
        <v>298</v>
      </c>
      <c r="L1161" s="29" t="s">
        <v>30</v>
      </c>
      <c r="M1161" s="29" t="n">
        <v>4209</v>
      </c>
      <c r="N1161" s="29" t="n">
        <v>2090</v>
      </c>
      <c r="O1161" s="29"/>
      <c r="P1161" s="30" t="n">
        <f aca="false">(M1161*N1161/1000000)*(INDEX(AreaRate_Vals,MATCH(C1161,AreaRate_Keys,0))+IFERROR(INDEX(GlazingUpg_Vals,MATCH(H1161,GlazingUpg_Keys,0)),0))+INDEX(Hardware_Vals,MATCH("Doors",Hardware_Keys,0))</f>
        <v>34857.559</v>
      </c>
      <c r="Q1161" s="31" t="n">
        <f aca="false">INDEX(Markup_Vals,MATCH("Doors",MarkupCat_Keys,0))</f>
        <v>0.4</v>
      </c>
      <c r="R1161" s="32" t="n">
        <f aca="false">P1161*(1+Q1161)</f>
        <v>48800.5826</v>
      </c>
      <c r="S1161" s="32" t="n">
        <f aca="false">R1161*(1-TradeDiscount)</f>
        <v>42944.512688</v>
      </c>
      <c r="T1161" s="32" t="n">
        <f aca="false">R1161*(1-VolumeDiscount)</f>
        <v>39040.46608</v>
      </c>
    </row>
    <row r="1162" customFormat="false" ht="15" hidden="false" customHeight="false" outlineLevel="0" collapsed="false">
      <c r="A1162" s="25" t="s">
        <v>2562</v>
      </c>
      <c r="B1162" s="25" t="s">
        <v>97</v>
      </c>
      <c r="C1162" s="25" t="s">
        <v>50</v>
      </c>
      <c r="D1162" s="25" t="s">
        <v>2563</v>
      </c>
      <c r="E1162" s="25" t="s">
        <v>2487</v>
      </c>
      <c r="F1162" s="25" t="s">
        <v>1880</v>
      </c>
      <c r="G1162" s="25" t="s">
        <v>39</v>
      </c>
      <c r="H1162" s="25" t="s">
        <v>66</v>
      </c>
      <c r="I1162" s="25" t="s">
        <v>190</v>
      </c>
      <c r="J1162" s="25" t="s">
        <v>191</v>
      </c>
      <c r="K1162" s="25" t="s">
        <v>298</v>
      </c>
      <c r="L1162" s="25" t="s">
        <v>30</v>
      </c>
      <c r="M1162" s="25" t="n">
        <v>4209</v>
      </c>
      <c r="N1162" s="25" t="n">
        <v>2090</v>
      </c>
      <c r="O1162" s="25"/>
      <c r="P1162" s="26" t="n">
        <f aca="false">(M1162*N1162/1000000)*(INDEX(AreaRate_Vals,MATCH(C1162,AreaRate_Keys,0))+IFERROR(INDEX(GlazingUpg_Vals,MATCH(H1162,GlazingUpg_Keys,0)),0))+INDEX(Hardware_Vals,MATCH("Doors",Hardware_Keys,0))</f>
        <v>34857.559</v>
      </c>
      <c r="Q1162" s="27" t="n">
        <f aca="false">INDEX(Markup_Vals,MATCH("Doors",MarkupCat_Keys,0))</f>
        <v>0.4</v>
      </c>
      <c r="R1162" s="28" t="n">
        <f aca="false">P1162*(1+Q1162)</f>
        <v>48800.5826</v>
      </c>
      <c r="S1162" s="28" t="n">
        <f aca="false">R1162*(1-TradeDiscount)</f>
        <v>42944.512688</v>
      </c>
      <c r="T1162" s="28" t="n">
        <f aca="false">R1162*(1-VolumeDiscount)</f>
        <v>39040.46608</v>
      </c>
    </row>
    <row r="1163" customFormat="false" ht="15" hidden="false" customHeight="false" outlineLevel="0" collapsed="false">
      <c r="A1163" s="29" t="s">
        <v>2564</v>
      </c>
      <c r="B1163" s="29" t="s">
        <v>97</v>
      </c>
      <c r="C1163" s="29" t="s">
        <v>50</v>
      </c>
      <c r="D1163" s="29" t="s">
        <v>2565</v>
      </c>
      <c r="E1163" s="29" t="s">
        <v>2487</v>
      </c>
      <c r="F1163" s="29" t="s">
        <v>1880</v>
      </c>
      <c r="G1163" s="29" t="s">
        <v>38</v>
      </c>
      <c r="H1163" s="29" t="s">
        <v>66</v>
      </c>
      <c r="I1163" s="29" t="s">
        <v>190</v>
      </c>
      <c r="J1163" s="29" t="s">
        <v>191</v>
      </c>
      <c r="K1163" s="29" t="s">
        <v>298</v>
      </c>
      <c r="L1163" s="29" t="s">
        <v>30</v>
      </c>
      <c r="M1163" s="29" t="n">
        <v>4209</v>
      </c>
      <c r="N1163" s="29" t="n">
        <v>2090</v>
      </c>
      <c r="O1163" s="29"/>
      <c r="P1163" s="30" t="n">
        <f aca="false">(M1163*N1163/1000000)*(INDEX(AreaRate_Vals,MATCH(C1163,AreaRate_Keys,0))+IFERROR(INDEX(GlazingUpg_Vals,MATCH(H1163,GlazingUpg_Keys,0)),0))+INDEX(Hardware_Vals,MATCH("Doors",Hardware_Keys,0))</f>
        <v>34857.559</v>
      </c>
      <c r="Q1163" s="31" t="n">
        <f aca="false">INDEX(Markup_Vals,MATCH("Doors",MarkupCat_Keys,0))</f>
        <v>0.4</v>
      </c>
      <c r="R1163" s="32" t="n">
        <f aca="false">P1163*(1+Q1163)</f>
        <v>48800.5826</v>
      </c>
      <c r="S1163" s="32" t="n">
        <f aca="false">R1163*(1-TradeDiscount)</f>
        <v>42944.512688</v>
      </c>
      <c r="T1163" s="32" t="n">
        <f aca="false">R1163*(1-VolumeDiscount)</f>
        <v>39040.46608</v>
      </c>
    </row>
    <row r="1164" customFormat="false" ht="15" hidden="false" customHeight="false" outlineLevel="0" collapsed="false">
      <c r="A1164" s="25" t="s">
        <v>2566</v>
      </c>
      <c r="B1164" s="25" t="s">
        <v>97</v>
      </c>
      <c r="C1164" s="25" t="s">
        <v>50</v>
      </c>
      <c r="D1164" s="25" t="s">
        <v>2567</v>
      </c>
      <c r="E1164" s="25" t="s">
        <v>2487</v>
      </c>
      <c r="F1164" s="25" t="s">
        <v>1901</v>
      </c>
      <c r="G1164" s="25" t="s">
        <v>35</v>
      </c>
      <c r="H1164" s="25" t="s">
        <v>65</v>
      </c>
      <c r="I1164" s="25" t="s">
        <v>190</v>
      </c>
      <c r="J1164" s="25" t="s">
        <v>191</v>
      </c>
      <c r="K1164" s="25" t="s">
        <v>298</v>
      </c>
      <c r="L1164" s="25" t="s">
        <v>30</v>
      </c>
      <c r="M1164" s="25" t="n">
        <v>4809</v>
      </c>
      <c r="N1164" s="25" t="n">
        <v>2090</v>
      </c>
      <c r="O1164" s="25"/>
      <c r="P1164" s="26" t="n">
        <f aca="false">(M1164*N1164/1000000)*(INDEX(AreaRate_Vals,MATCH(C1164,AreaRate_Keys,0))+IFERROR(INDEX(GlazingUpg_Vals,MATCH(H1164,GlazingUpg_Keys,0)),0))+INDEX(Hardware_Vals,MATCH("Doors",Hardware_Keys,0))</f>
        <v>32712.592</v>
      </c>
      <c r="Q1164" s="27" t="n">
        <f aca="false">INDEX(Markup_Vals,MATCH("Doors",MarkupCat_Keys,0))</f>
        <v>0.4</v>
      </c>
      <c r="R1164" s="28" t="n">
        <f aca="false">P1164*(1+Q1164)</f>
        <v>45797.6288</v>
      </c>
      <c r="S1164" s="28" t="n">
        <f aca="false">R1164*(1-TradeDiscount)</f>
        <v>40301.913344</v>
      </c>
      <c r="T1164" s="28" t="n">
        <f aca="false">R1164*(1-VolumeDiscount)</f>
        <v>36638.10304</v>
      </c>
    </row>
    <row r="1165" customFormat="false" ht="15" hidden="false" customHeight="false" outlineLevel="0" collapsed="false">
      <c r="A1165" s="29" t="s">
        <v>2568</v>
      </c>
      <c r="B1165" s="29" t="s">
        <v>97</v>
      </c>
      <c r="C1165" s="29" t="s">
        <v>50</v>
      </c>
      <c r="D1165" s="29" t="s">
        <v>2569</v>
      </c>
      <c r="E1165" s="29" t="s">
        <v>2487</v>
      </c>
      <c r="F1165" s="29" t="s">
        <v>1901</v>
      </c>
      <c r="G1165" s="29" t="s">
        <v>36</v>
      </c>
      <c r="H1165" s="29" t="s">
        <v>65</v>
      </c>
      <c r="I1165" s="29" t="s">
        <v>190</v>
      </c>
      <c r="J1165" s="29" t="s">
        <v>191</v>
      </c>
      <c r="K1165" s="29" t="s">
        <v>298</v>
      </c>
      <c r="L1165" s="29" t="s">
        <v>30</v>
      </c>
      <c r="M1165" s="29" t="n">
        <v>4809</v>
      </c>
      <c r="N1165" s="29" t="n">
        <v>2090</v>
      </c>
      <c r="O1165" s="29"/>
      <c r="P1165" s="30" t="n">
        <f aca="false">(M1165*N1165/1000000)*(INDEX(AreaRate_Vals,MATCH(C1165,AreaRate_Keys,0))+IFERROR(INDEX(GlazingUpg_Vals,MATCH(H1165,GlazingUpg_Keys,0)),0))+INDEX(Hardware_Vals,MATCH("Doors",Hardware_Keys,0))</f>
        <v>32712.592</v>
      </c>
      <c r="Q1165" s="31" t="n">
        <f aca="false">INDEX(Markup_Vals,MATCH("Doors",MarkupCat_Keys,0))</f>
        <v>0.4</v>
      </c>
      <c r="R1165" s="32" t="n">
        <f aca="false">P1165*(1+Q1165)</f>
        <v>45797.6288</v>
      </c>
      <c r="S1165" s="32" t="n">
        <f aca="false">R1165*(1-TradeDiscount)</f>
        <v>40301.913344</v>
      </c>
      <c r="T1165" s="32" t="n">
        <f aca="false">R1165*(1-VolumeDiscount)</f>
        <v>36638.10304</v>
      </c>
    </row>
    <row r="1166" customFormat="false" ht="15" hidden="false" customHeight="false" outlineLevel="0" collapsed="false">
      <c r="A1166" s="25" t="s">
        <v>2570</v>
      </c>
      <c r="B1166" s="25" t="s">
        <v>97</v>
      </c>
      <c r="C1166" s="25" t="s">
        <v>50</v>
      </c>
      <c r="D1166" s="25" t="s">
        <v>2571</v>
      </c>
      <c r="E1166" s="25" t="s">
        <v>2487</v>
      </c>
      <c r="F1166" s="25" t="s">
        <v>1901</v>
      </c>
      <c r="G1166" s="25" t="s">
        <v>37</v>
      </c>
      <c r="H1166" s="25" t="s">
        <v>65</v>
      </c>
      <c r="I1166" s="25" t="s">
        <v>190</v>
      </c>
      <c r="J1166" s="25" t="s">
        <v>191</v>
      </c>
      <c r="K1166" s="25" t="s">
        <v>298</v>
      </c>
      <c r="L1166" s="25" t="s">
        <v>30</v>
      </c>
      <c r="M1166" s="25" t="n">
        <v>4809</v>
      </c>
      <c r="N1166" s="25" t="n">
        <v>2090</v>
      </c>
      <c r="O1166" s="25"/>
      <c r="P1166" s="26" t="n">
        <f aca="false">(M1166*N1166/1000000)*(INDEX(AreaRate_Vals,MATCH(C1166,AreaRate_Keys,0))+IFERROR(INDEX(GlazingUpg_Vals,MATCH(H1166,GlazingUpg_Keys,0)),0))+INDEX(Hardware_Vals,MATCH("Doors",Hardware_Keys,0))</f>
        <v>32712.592</v>
      </c>
      <c r="Q1166" s="27" t="n">
        <f aca="false">INDEX(Markup_Vals,MATCH("Doors",MarkupCat_Keys,0))</f>
        <v>0.4</v>
      </c>
      <c r="R1166" s="28" t="n">
        <f aca="false">P1166*(1+Q1166)</f>
        <v>45797.6288</v>
      </c>
      <c r="S1166" s="28" t="n">
        <f aca="false">R1166*(1-TradeDiscount)</f>
        <v>40301.913344</v>
      </c>
      <c r="T1166" s="28" t="n">
        <f aca="false">R1166*(1-VolumeDiscount)</f>
        <v>36638.10304</v>
      </c>
    </row>
    <row r="1167" customFormat="false" ht="15" hidden="false" customHeight="false" outlineLevel="0" collapsed="false">
      <c r="A1167" s="29" t="s">
        <v>2572</v>
      </c>
      <c r="B1167" s="29" t="s">
        <v>97</v>
      </c>
      <c r="C1167" s="29" t="s">
        <v>50</v>
      </c>
      <c r="D1167" s="29" t="s">
        <v>2573</v>
      </c>
      <c r="E1167" s="29" t="s">
        <v>2487</v>
      </c>
      <c r="F1167" s="29" t="s">
        <v>1901</v>
      </c>
      <c r="G1167" s="29" t="s">
        <v>39</v>
      </c>
      <c r="H1167" s="29" t="s">
        <v>65</v>
      </c>
      <c r="I1167" s="29" t="s">
        <v>190</v>
      </c>
      <c r="J1167" s="29" t="s">
        <v>191</v>
      </c>
      <c r="K1167" s="29" t="s">
        <v>298</v>
      </c>
      <c r="L1167" s="29" t="s">
        <v>30</v>
      </c>
      <c r="M1167" s="29" t="n">
        <v>4809</v>
      </c>
      <c r="N1167" s="29" t="n">
        <v>2090</v>
      </c>
      <c r="O1167" s="29"/>
      <c r="P1167" s="30" t="n">
        <f aca="false">(M1167*N1167/1000000)*(INDEX(AreaRate_Vals,MATCH(C1167,AreaRate_Keys,0))+IFERROR(INDEX(GlazingUpg_Vals,MATCH(H1167,GlazingUpg_Keys,0)),0))+INDEX(Hardware_Vals,MATCH("Doors",Hardware_Keys,0))</f>
        <v>32712.592</v>
      </c>
      <c r="Q1167" s="31" t="n">
        <f aca="false">INDEX(Markup_Vals,MATCH("Doors",MarkupCat_Keys,0))</f>
        <v>0.4</v>
      </c>
      <c r="R1167" s="32" t="n">
        <f aca="false">P1167*(1+Q1167)</f>
        <v>45797.6288</v>
      </c>
      <c r="S1167" s="32" t="n">
        <f aca="false">R1167*(1-TradeDiscount)</f>
        <v>40301.913344</v>
      </c>
      <c r="T1167" s="32" t="n">
        <f aca="false">R1167*(1-VolumeDiscount)</f>
        <v>36638.10304</v>
      </c>
    </row>
    <row r="1168" customFormat="false" ht="15" hidden="false" customHeight="false" outlineLevel="0" collapsed="false">
      <c r="A1168" s="25" t="s">
        <v>2574</v>
      </c>
      <c r="B1168" s="25" t="s">
        <v>97</v>
      </c>
      <c r="C1168" s="25" t="s">
        <v>50</v>
      </c>
      <c r="D1168" s="25" t="s">
        <v>2575</v>
      </c>
      <c r="E1168" s="25" t="s">
        <v>2487</v>
      </c>
      <c r="F1168" s="25" t="s">
        <v>1901</v>
      </c>
      <c r="G1168" s="25" t="s">
        <v>38</v>
      </c>
      <c r="H1168" s="25" t="s">
        <v>65</v>
      </c>
      <c r="I1168" s="25" t="s">
        <v>190</v>
      </c>
      <c r="J1168" s="25" t="s">
        <v>191</v>
      </c>
      <c r="K1168" s="25" t="s">
        <v>298</v>
      </c>
      <c r="L1168" s="25" t="s">
        <v>30</v>
      </c>
      <c r="M1168" s="25" t="n">
        <v>4809</v>
      </c>
      <c r="N1168" s="25" t="n">
        <v>2090</v>
      </c>
      <c r="O1168" s="25"/>
      <c r="P1168" s="26" t="n">
        <f aca="false">(M1168*N1168/1000000)*(INDEX(AreaRate_Vals,MATCH(C1168,AreaRate_Keys,0))+IFERROR(INDEX(GlazingUpg_Vals,MATCH(H1168,GlazingUpg_Keys,0)),0))+INDEX(Hardware_Vals,MATCH("Doors",Hardware_Keys,0))</f>
        <v>32712.592</v>
      </c>
      <c r="Q1168" s="27" t="n">
        <f aca="false">INDEX(Markup_Vals,MATCH("Doors",MarkupCat_Keys,0))</f>
        <v>0.4</v>
      </c>
      <c r="R1168" s="28" t="n">
        <f aca="false">P1168*(1+Q1168)</f>
        <v>45797.6288</v>
      </c>
      <c r="S1168" s="28" t="n">
        <f aca="false">R1168*(1-TradeDiscount)</f>
        <v>40301.913344</v>
      </c>
      <c r="T1168" s="28" t="n">
        <f aca="false">R1168*(1-VolumeDiscount)</f>
        <v>36638.10304</v>
      </c>
    </row>
    <row r="1169" customFormat="false" ht="15" hidden="false" customHeight="false" outlineLevel="0" collapsed="false">
      <c r="A1169" s="29" t="s">
        <v>2576</v>
      </c>
      <c r="B1169" s="29" t="s">
        <v>97</v>
      </c>
      <c r="C1169" s="29" t="s">
        <v>50</v>
      </c>
      <c r="D1169" s="29" t="s">
        <v>2577</v>
      </c>
      <c r="E1169" s="29" t="s">
        <v>2487</v>
      </c>
      <c r="F1169" s="29" t="s">
        <v>1901</v>
      </c>
      <c r="G1169" s="29" t="s">
        <v>35</v>
      </c>
      <c r="H1169" s="29" t="s">
        <v>66</v>
      </c>
      <c r="I1169" s="29" t="s">
        <v>190</v>
      </c>
      <c r="J1169" s="29" t="s">
        <v>191</v>
      </c>
      <c r="K1169" s="29" t="s">
        <v>298</v>
      </c>
      <c r="L1169" s="29" t="s">
        <v>30</v>
      </c>
      <c r="M1169" s="29" t="n">
        <v>4809</v>
      </c>
      <c r="N1169" s="29" t="n">
        <v>2090</v>
      </c>
      <c r="O1169" s="29"/>
      <c r="P1169" s="30" t="n">
        <f aca="false">(M1169*N1169/1000000)*(INDEX(AreaRate_Vals,MATCH(C1169,AreaRate_Keys,0))+IFERROR(INDEX(GlazingUpg_Vals,MATCH(H1169,GlazingUpg_Keys,0)),0))+INDEX(Hardware_Vals,MATCH("Doors",Hardware_Keys,0))</f>
        <v>39748.159</v>
      </c>
      <c r="Q1169" s="31" t="n">
        <f aca="false">INDEX(Markup_Vals,MATCH("Doors",MarkupCat_Keys,0))</f>
        <v>0.4</v>
      </c>
      <c r="R1169" s="32" t="n">
        <f aca="false">P1169*(1+Q1169)</f>
        <v>55647.4226</v>
      </c>
      <c r="S1169" s="32" t="n">
        <f aca="false">R1169*(1-TradeDiscount)</f>
        <v>48969.731888</v>
      </c>
      <c r="T1169" s="32" t="n">
        <f aca="false">R1169*(1-VolumeDiscount)</f>
        <v>44517.93808</v>
      </c>
    </row>
    <row r="1170" customFormat="false" ht="15" hidden="false" customHeight="false" outlineLevel="0" collapsed="false">
      <c r="A1170" s="25" t="s">
        <v>2578</v>
      </c>
      <c r="B1170" s="25" t="s">
        <v>97</v>
      </c>
      <c r="C1170" s="25" t="s">
        <v>50</v>
      </c>
      <c r="D1170" s="25" t="s">
        <v>2579</v>
      </c>
      <c r="E1170" s="25" t="s">
        <v>2487</v>
      </c>
      <c r="F1170" s="25" t="s">
        <v>1901</v>
      </c>
      <c r="G1170" s="25" t="s">
        <v>36</v>
      </c>
      <c r="H1170" s="25" t="s">
        <v>66</v>
      </c>
      <c r="I1170" s="25" t="s">
        <v>190</v>
      </c>
      <c r="J1170" s="25" t="s">
        <v>191</v>
      </c>
      <c r="K1170" s="25" t="s">
        <v>298</v>
      </c>
      <c r="L1170" s="25" t="s">
        <v>30</v>
      </c>
      <c r="M1170" s="25" t="n">
        <v>4809</v>
      </c>
      <c r="N1170" s="25" t="n">
        <v>2090</v>
      </c>
      <c r="O1170" s="25"/>
      <c r="P1170" s="26" t="n">
        <f aca="false">(M1170*N1170/1000000)*(INDEX(AreaRate_Vals,MATCH(C1170,AreaRate_Keys,0))+IFERROR(INDEX(GlazingUpg_Vals,MATCH(H1170,GlazingUpg_Keys,0)),0))+INDEX(Hardware_Vals,MATCH("Doors",Hardware_Keys,0))</f>
        <v>39748.159</v>
      </c>
      <c r="Q1170" s="27" t="n">
        <f aca="false">INDEX(Markup_Vals,MATCH("Doors",MarkupCat_Keys,0))</f>
        <v>0.4</v>
      </c>
      <c r="R1170" s="28" t="n">
        <f aca="false">P1170*(1+Q1170)</f>
        <v>55647.4226</v>
      </c>
      <c r="S1170" s="28" t="n">
        <f aca="false">R1170*(1-TradeDiscount)</f>
        <v>48969.731888</v>
      </c>
      <c r="T1170" s="28" t="n">
        <f aca="false">R1170*(1-VolumeDiscount)</f>
        <v>44517.93808</v>
      </c>
    </row>
    <row r="1171" customFormat="false" ht="15" hidden="false" customHeight="false" outlineLevel="0" collapsed="false">
      <c r="A1171" s="29" t="s">
        <v>2580</v>
      </c>
      <c r="B1171" s="29" t="s">
        <v>97</v>
      </c>
      <c r="C1171" s="29" t="s">
        <v>50</v>
      </c>
      <c r="D1171" s="29" t="s">
        <v>2581</v>
      </c>
      <c r="E1171" s="29" t="s">
        <v>2487</v>
      </c>
      <c r="F1171" s="29" t="s">
        <v>1901</v>
      </c>
      <c r="G1171" s="29" t="s">
        <v>37</v>
      </c>
      <c r="H1171" s="29" t="s">
        <v>66</v>
      </c>
      <c r="I1171" s="29" t="s">
        <v>190</v>
      </c>
      <c r="J1171" s="29" t="s">
        <v>191</v>
      </c>
      <c r="K1171" s="29" t="s">
        <v>298</v>
      </c>
      <c r="L1171" s="29" t="s">
        <v>30</v>
      </c>
      <c r="M1171" s="29" t="n">
        <v>4809</v>
      </c>
      <c r="N1171" s="29" t="n">
        <v>2090</v>
      </c>
      <c r="O1171" s="29"/>
      <c r="P1171" s="30" t="n">
        <f aca="false">(M1171*N1171/1000000)*(INDEX(AreaRate_Vals,MATCH(C1171,AreaRate_Keys,0))+IFERROR(INDEX(GlazingUpg_Vals,MATCH(H1171,GlazingUpg_Keys,0)),0))+INDEX(Hardware_Vals,MATCH("Doors",Hardware_Keys,0))</f>
        <v>39748.159</v>
      </c>
      <c r="Q1171" s="31" t="n">
        <f aca="false">INDEX(Markup_Vals,MATCH("Doors",MarkupCat_Keys,0))</f>
        <v>0.4</v>
      </c>
      <c r="R1171" s="32" t="n">
        <f aca="false">P1171*(1+Q1171)</f>
        <v>55647.4226</v>
      </c>
      <c r="S1171" s="32" t="n">
        <f aca="false">R1171*(1-TradeDiscount)</f>
        <v>48969.731888</v>
      </c>
      <c r="T1171" s="32" t="n">
        <f aca="false">R1171*(1-VolumeDiscount)</f>
        <v>44517.93808</v>
      </c>
    </row>
    <row r="1172" customFormat="false" ht="15" hidden="false" customHeight="false" outlineLevel="0" collapsed="false">
      <c r="A1172" s="25" t="s">
        <v>2582</v>
      </c>
      <c r="B1172" s="25" t="s">
        <v>97</v>
      </c>
      <c r="C1172" s="25" t="s">
        <v>50</v>
      </c>
      <c r="D1172" s="25" t="s">
        <v>2583</v>
      </c>
      <c r="E1172" s="25" t="s">
        <v>2487</v>
      </c>
      <c r="F1172" s="25" t="s">
        <v>1901</v>
      </c>
      <c r="G1172" s="25" t="s">
        <v>39</v>
      </c>
      <c r="H1172" s="25" t="s">
        <v>66</v>
      </c>
      <c r="I1172" s="25" t="s">
        <v>190</v>
      </c>
      <c r="J1172" s="25" t="s">
        <v>191</v>
      </c>
      <c r="K1172" s="25" t="s">
        <v>298</v>
      </c>
      <c r="L1172" s="25" t="s">
        <v>30</v>
      </c>
      <c r="M1172" s="25" t="n">
        <v>4809</v>
      </c>
      <c r="N1172" s="25" t="n">
        <v>2090</v>
      </c>
      <c r="O1172" s="25"/>
      <c r="P1172" s="26" t="n">
        <f aca="false">(M1172*N1172/1000000)*(INDEX(AreaRate_Vals,MATCH(C1172,AreaRate_Keys,0))+IFERROR(INDEX(GlazingUpg_Vals,MATCH(H1172,GlazingUpg_Keys,0)),0))+INDEX(Hardware_Vals,MATCH("Doors",Hardware_Keys,0))</f>
        <v>39748.159</v>
      </c>
      <c r="Q1172" s="27" t="n">
        <f aca="false">INDEX(Markup_Vals,MATCH("Doors",MarkupCat_Keys,0))</f>
        <v>0.4</v>
      </c>
      <c r="R1172" s="28" t="n">
        <f aca="false">P1172*(1+Q1172)</f>
        <v>55647.4226</v>
      </c>
      <c r="S1172" s="28" t="n">
        <f aca="false">R1172*(1-TradeDiscount)</f>
        <v>48969.731888</v>
      </c>
      <c r="T1172" s="28" t="n">
        <f aca="false">R1172*(1-VolumeDiscount)</f>
        <v>44517.93808</v>
      </c>
    </row>
    <row r="1173" customFormat="false" ht="15" hidden="false" customHeight="false" outlineLevel="0" collapsed="false">
      <c r="A1173" s="29" t="s">
        <v>2584</v>
      </c>
      <c r="B1173" s="29" t="s">
        <v>97</v>
      </c>
      <c r="C1173" s="29" t="s">
        <v>50</v>
      </c>
      <c r="D1173" s="29" t="s">
        <v>2585</v>
      </c>
      <c r="E1173" s="29" t="s">
        <v>2487</v>
      </c>
      <c r="F1173" s="29" t="s">
        <v>1901</v>
      </c>
      <c r="G1173" s="29" t="s">
        <v>38</v>
      </c>
      <c r="H1173" s="29" t="s">
        <v>66</v>
      </c>
      <c r="I1173" s="29" t="s">
        <v>190</v>
      </c>
      <c r="J1173" s="29" t="s">
        <v>191</v>
      </c>
      <c r="K1173" s="29" t="s">
        <v>298</v>
      </c>
      <c r="L1173" s="29" t="s">
        <v>30</v>
      </c>
      <c r="M1173" s="29" t="n">
        <v>4809</v>
      </c>
      <c r="N1173" s="29" t="n">
        <v>2090</v>
      </c>
      <c r="O1173" s="29"/>
      <c r="P1173" s="30" t="n">
        <f aca="false">(M1173*N1173/1000000)*(INDEX(AreaRate_Vals,MATCH(C1173,AreaRate_Keys,0))+IFERROR(INDEX(GlazingUpg_Vals,MATCH(H1173,GlazingUpg_Keys,0)),0))+INDEX(Hardware_Vals,MATCH("Doors",Hardware_Keys,0))</f>
        <v>39748.159</v>
      </c>
      <c r="Q1173" s="31" t="n">
        <f aca="false">INDEX(Markup_Vals,MATCH("Doors",MarkupCat_Keys,0))</f>
        <v>0.4</v>
      </c>
      <c r="R1173" s="32" t="n">
        <f aca="false">P1173*(1+Q1173)</f>
        <v>55647.4226</v>
      </c>
      <c r="S1173" s="32" t="n">
        <f aca="false">R1173*(1-TradeDiscount)</f>
        <v>48969.731888</v>
      </c>
      <c r="T1173" s="32" t="n">
        <f aca="false">R1173*(1-VolumeDiscount)</f>
        <v>44517.93808</v>
      </c>
    </row>
    <row r="1174" customFormat="false" ht="15" hidden="false" customHeight="false" outlineLevel="0" collapsed="false">
      <c r="A1174" s="25" t="s">
        <v>2586</v>
      </c>
      <c r="B1174" s="25" t="s">
        <v>97</v>
      </c>
      <c r="C1174" s="25" t="s">
        <v>50</v>
      </c>
      <c r="D1174" s="25" t="s">
        <v>2587</v>
      </c>
      <c r="E1174" s="25" t="s">
        <v>2487</v>
      </c>
      <c r="F1174" s="25" t="s">
        <v>2345</v>
      </c>
      <c r="G1174" s="25" t="s">
        <v>35</v>
      </c>
      <c r="H1174" s="25" t="s">
        <v>65</v>
      </c>
      <c r="I1174" s="25" t="s">
        <v>190</v>
      </c>
      <c r="J1174" s="25" t="s">
        <v>191</v>
      </c>
      <c r="K1174" s="25" t="s">
        <v>298</v>
      </c>
      <c r="L1174" s="25" t="s">
        <v>30</v>
      </c>
      <c r="M1174" s="25" t="n">
        <v>5409</v>
      </c>
      <c r="N1174" s="25" t="n">
        <v>2090</v>
      </c>
      <c r="O1174" s="25"/>
      <c r="P1174" s="26" t="n">
        <f aca="false">(M1174*N1174/1000000)*(INDEX(AreaRate_Vals,MATCH(C1174,AreaRate_Keys,0))+IFERROR(INDEX(GlazingUpg_Vals,MATCH(H1174,GlazingUpg_Keys,0)),0))+INDEX(Hardware_Vals,MATCH("Doors",Hardware_Keys,0))</f>
        <v>36725.392</v>
      </c>
      <c r="Q1174" s="27" t="n">
        <f aca="false">INDEX(Markup_Vals,MATCH("Doors",MarkupCat_Keys,0))</f>
        <v>0.4</v>
      </c>
      <c r="R1174" s="28" t="n">
        <f aca="false">P1174*(1+Q1174)</f>
        <v>51415.5488</v>
      </c>
      <c r="S1174" s="28" t="n">
        <f aca="false">R1174*(1-TradeDiscount)</f>
        <v>45245.682944</v>
      </c>
      <c r="T1174" s="28" t="n">
        <f aca="false">R1174*(1-VolumeDiscount)</f>
        <v>41132.43904</v>
      </c>
    </row>
    <row r="1175" customFormat="false" ht="15" hidden="false" customHeight="false" outlineLevel="0" collapsed="false">
      <c r="A1175" s="29" t="s">
        <v>2588</v>
      </c>
      <c r="B1175" s="29" t="s">
        <v>97</v>
      </c>
      <c r="C1175" s="29" t="s">
        <v>50</v>
      </c>
      <c r="D1175" s="29" t="s">
        <v>2589</v>
      </c>
      <c r="E1175" s="29" t="s">
        <v>2487</v>
      </c>
      <c r="F1175" s="29" t="s">
        <v>2345</v>
      </c>
      <c r="G1175" s="29" t="s">
        <v>36</v>
      </c>
      <c r="H1175" s="29" t="s">
        <v>65</v>
      </c>
      <c r="I1175" s="29" t="s">
        <v>190</v>
      </c>
      <c r="J1175" s="29" t="s">
        <v>191</v>
      </c>
      <c r="K1175" s="29" t="s">
        <v>298</v>
      </c>
      <c r="L1175" s="29" t="s">
        <v>30</v>
      </c>
      <c r="M1175" s="29" t="n">
        <v>5409</v>
      </c>
      <c r="N1175" s="29" t="n">
        <v>2090</v>
      </c>
      <c r="O1175" s="29"/>
      <c r="P1175" s="30" t="n">
        <f aca="false">(M1175*N1175/1000000)*(INDEX(AreaRate_Vals,MATCH(C1175,AreaRate_Keys,0))+IFERROR(INDEX(GlazingUpg_Vals,MATCH(H1175,GlazingUpg_Keys,0)),0))+INDEX(Hardware_Vals,MATCH("Doors",Hardware_Keys,0))</f>
        <v>36725.392</v>
      </c>
      <c r="Q1175" s="31" t="n">
        <f aca="false">INDEX(Markup_Vals,MATCH("Doors",MarkupCat_Keys,0))</f>
        <v>0.4</v>
      </c>
      <c r="R1175" s="32" t="n">
        <f aca="false">P1175*(1+Q1175)</f>
        <v>51415.5488</v>
      </c>
      <c r="S1175" s="32" t="n">
        <f aca="false">R1175*(1-TradeDiscount)</f>
        <v>45245.682944</v>
      </c>
      <c r="T1175" s="32" t="n">
        <f aca="false">R1175*(1-VolumeDiscount)</f>
        <v>41132.43904</v>
      </c>
    </row>
    <row r="1176" customFormat="false" ht="15" hidden="false" customHeight="false" outlineLevel="0" collapsed="false">
      <c r="A1176" s="25" t="s">
        <v>2590</v>
      </c>
      <c r="B1176" s="25" t="s">
        <v>97</v>
      </c>
      <c r="C1176" s="25" t="s">
        <v>50</v>
      </c>
      <c r="D1176" s="25" t="s">
        <v>2591</v>
      </c>
      <c r="E1176" s="25" t="s">
        <v>2487</v>
      </c>
      <c r="F1176" s="25" t="s">
        <v>2345</v>
      </c>
      <c r="G1176" s="25" t="s">
        <v>37</v>
      </c>
      <c r="H1176" s="25" t="s">
        <v>65</v>
      </c>
      <c r="I1176" s="25" t="s">
        <v>190</v>
      </c>
      <c r="J1176" s="25" t="s">
        <v>191</v>
      </c>
      <c r="K1176" s="25" t="s">
        <v>298</v>
      </c>
      <c r="L1176" s="25" t="s">
        <v>30</v>
      </c>
      <c r="M1176" s="25" t="n">
        <v>5409</v>
      </c>
      <c r="N1176" s="25" t="n">
        <v>2090</v>
      </c>
      <c r="O1176" s="25"/>
      <c r="P1176" s="26" t="n">
        <f aca="false">(M1176*N1176/1000000)*(INDEX(AreaRate_Vals,MATCH(C1176,AreaRate_Keys,0))+IFERROR(INDEX(GlazingUpg_Vals,MATCH(H1176,GlazingUpg_Keys,0)),0))+INDEX(Hardware_Vals,MATCH("Doors",Hardware_Keys,0))</f>
        <v>36725.392</v>
      </c>
      <c r="Q1176" s="27" t="n">
        <f aca="false">INDEX(Markup_Vals,MATCH("Doors",MarkupCat_Keys,0))</f>
        <v>0.4</v>
      </c>
      <c r="R1176" s="28" t="n">
        <f aca="false">P1176*(1+Q1176)</f>
        <v>51415.5488</v>
      </c>
      <c r="S1176" s="28" t="n">
        <f aca="false">R1176*(1-TradeDiscount)</f>
        <v>45245.682944</v>
      </c>
      <c r="T1176" s="28" t="n">
        <f aca="false">R1176*(1-VolumeDiscount)</f>
        <v>41132.43904</v>
      </c>
    </row>
    <row r="1177" customFormat="false" ht="15" hidden="false" customHeight="false" outlineLevel="0" collapsed="false">
      <c r="A1177" s="29" t="s">
        <v>2592</v>
      </c>
      <c r="B1177" s="29" t="s">
        <v>97</v>
      </c>
      <c r="C1177" s="29" t="s">
        <v>50</v>
      </c>
      <c r="D1177" s="29" t="s">
        <v>2593</v>
      </c>
      <c r="E1177" s="29" t="s">
        <v>2487</v>
      </c>
      <c r="F1177" s="29" t="s">
        <v>2345</v>
      </c>
      <c r="G1177" s="29" t="s">
        <v>39</v>
      </c>
      <c r="H1177" s="29" t="s">
        <v>65</v>
      </c>
      <c r="I1177" s="29" t="s">
        <v>190</v>
      </c>
      <c r="J1177" s="29" t="s">
        <v>191</v>
      </c>
      <c r="K1177" s="29" t="s">
        <v>298</v>
      </c>
      <c r="L1177" s="29" t="s">
        <v>30</v>
      </c>
      <c r="M1177" s="29" t="n">
        <v>5409</v>
      </c>
      <c r="N1177" s="29" t="n">
        <v>2090</v>
      </c>
      <c r="O1177" s="29"/>
      <c r="P1177" s="30" t="n">
        <f aca="false">(M1177*N1177/1000000)*(INDEX(AreaRate_Vals,MATCH(C1177,AreaRate_Keys,0))+IFERROR(INDEX(GlazingUpg_Vals,MATCH(H1177,GlazingUpg_Keys,0)),0))+INDEX(Hardware_Vals,MATCH("Doors",Hardware_Keys,0))</f>
        <v>36725.392</v>
      </c>
      <c r="Q1177" s="31" t="n">
        <f aca="false">INDEX(Markup_Vals,MATCH("Doors",MarkupCat_Keys,0))</f>
        <v>0.4</v>
      </c>
      <c r="R1177" s="32" t="n">
        <f aca="false">P1177*(1+Q1177)</f>
        <v>51415.5488</v>
      </c>
      <c r="S1177" s="32" t="n">
        <f aca="false">R1177*(1-TradeDiscount)</f>
        <v>45245.682944</v>
      </c>
      <c r="T1177" s="32" t="n">
        <f aca="false">R1177*(1-VolumeDiscount)</f>
        <v>41132.43904</v>
      </c>
    </row>
    <row r="1178" customFormat="false" ht="15" hidden="false" customHeight="false" outlineLevel="0" collapsed="false">
      <c r="A1178" s="25" t="s">
        <v>2594</v>
      </c>
      <c r="B1178" s="25" t="s">
        <v>97</v>
      </c>
      <c r="C1178" s="25" t="s">
        <v>50</v>
      </c>
      <c r="D1178" s="25" t="s">
        <v>2595</v>
      </c>
      <c r="E1178" s="25" t="s">
        <v>2487</v>
      </c>
      <c r="F1178" s="25" t="s">
        <v>2345</v>
      </c>
      <c r="G1178" s="25" t="s">
        <v>38</v>
      </c>
      <c r="H1178" s="25" t="s">
        <v>65</v>
      </c>
      <c r="I1178" s="25" t="s">
        <v>190</v>
      </c>
      <c r="J1178" s="25" t="s">
        <v>191</v>
      </c>
      <c r="K1178" s="25" t="s">
        <v>298</v>
      </c>
      <c r="L1178" s="25" t="s">
        <v>30</v>
      </c>
      <c r="M1178" s="25" t="n">
        <v>5409</v>
      </c>
      <c r="N1178" s="25" t="n">
        <v>2090</v>
      </c>
      <c r="O1178" s="25"/>
      <c r="P1178" s="26" t="n">
        <f aca="false">(M1178*N1178/1000000)*(INDEX(AreaRate_Vals,MATCH(C1178,AreaRate_Keys,0))+IFERROR(INDEX(GlazingUpg_Vals,MATCH(H1178,GlazingUpg_Keys,0)),0))+INDEX(Hardware_Vals,MATCH("Doors",Hardware_Keys,0))</f>
        <v>36725.392</v>
      </c>
      <c r="Q1178" s="27" t="n">
        <f aca="false">INDEX(Markup_Vals,MATCH("Doors",MarkupCat_Keys,0))</f>
        <v>0.4</v>
      </c>
      <c r="R1178" s="28" t="n">
        <f aca="false">P1178*(1+Q1178)</f>
        <v>51415.5488</v>
      </c>
      <c r="S1178" s="28" t="n">
        <f aca="false">R1178*(1-TradeDiscount)</f>
        <v>45245.682944</v>
      </c>
      <c r="T1178" s="28" t="n">
        <f aca="false">R1178*(1-VolumeDiscount)</f>
        <v>41132.43904</v>
      </c>
    </row>
    <row r="1179" customFormat="false" ht="15" hidden="false" customHeight="false" outlineLevel="0" collapsed="false">
      <c r="A1179" s="29" t="s">
        <v>2596</v>
      </c>
      <c r="B1179" s="29" t="s">
        <v>97</v>
      </c>
      <c r="C1179" s="29" t="s">
        <v>50</v>
      </c>
      <c r="D1179" s="29" t="s">
        <v>2597</v>
      </c>
      <c r="E1179" s="29" t="s">
        <v>2487</v>
      </c>
      <c r="F1179" s="29" t="s">
        <v>2345</v>
      </c>
      <c r="G1179" s="29" t="s">
        <v>35</v>
      </c>
      <c r="H1179" s="29" t="s">
        <v>66</v>
      </c>
      <c r="I1179" s="29" t="s">
        <v>190</v>
      </c>
      <c r="J1179" s="29" t="s">
        <v>191</v>
      </c>
      <c r="K1179" s="29" t="s">
        <v>298</v>
      </c>
      <c r="L1179" s="29" t="s">
        <v>30</v>
      </c>
      <c r="M1179" s="29" t="n">
        <v>5409</v>
      </c>
      <c r="N1179" s="29" t="n">
        <v>2090</v>
      </c>
      <c r="O1179" s="29"/>
      <c r="P1179" s="30" t="n">
        <f aca="false">(M1179*N1179/1000000)*(INDEX(AreaRate_Vals,MATCH(C1179,AreaRate_Keys,0))+IFERROR(INDEX(GlazingUpg_Vals,MATCH(H1179,GlazingUpg_Keys,0)),0))+INDEX(Hardware_Vals,MATCH("Doors",Hardware_Keys,0))</f>
        <v>44638.759</v>
      </c>
      <c r="Q1179" s="31" t="n">
        <f aca="false">INDEX(Markup_Vals,MATCH("Doors",MarkupCat_Keys,0))</f>
        <v>0.4</v>
      </c>
      <c r="R1179" s="32" t="n">
        <f aca="false">P1179*(1+Q1179)</f>
        <v>62494.2626</v>
      </c>
      <c r="S1179" s="32" t="n">
        <f aca="false">R1179*(1-TradeDiscount)</f>
        <v>54994.951088</v>
      </c>
      <c r="T1179" s="32" t="n">
        <f aca="false">R1179*(1-VolumeDiscount)</f>
        <v>49995.41008</v>
      </c>
    </row>
    <row r="1180" customFormat="false" ht="15" hidden="false" customHeight="false" outlineLevel="0" collapsed="false">
      <c r="A1180" s="25" t="s">
        <v>2598</v>
      </c>
      <c r="B1180" s="25" t="s">
        <v>97</v>
      </c>
      <c r="C1180" s="25" t="s">
        <v>50</v>
      </c>
      <c r="D1180" s="25" t="s">
        <v>2599</v>
      </c>
      <c r="E1180" s="25" t="s">
        <v>2487</v>
      </c>
      <c r="F1180" s="25" t="s">
        <v>2345</v>
      </c>
      <c r="G1180" s="25" t="s">
        <v>36</v>
      </c>
      <c r="H1180" s="25" t="s">
        <v>66</v>
      </c>
      <c r="I1180" s="25" t="s">
        <v>190</v>
      </c>
      <c r="J1180" s="25" t="s">
        <v>191</v>
      </c>
      <c r="K1180" s="25" t="s">
        <v>298</v>
      </c>
      <c r="L1180" s="25" t="s">
        <v>30</v>
      </c>
      <c r="M1180" s="25" t="n">
        <v>5409</v>
      </c>
      <c r="N1180" s="25" t="n">
        <v>2090</v>
      </c>
      <c r="O1180" s="25"/>
      <c r="P1180" s="26" t="n">
        <f aca="false">(M1180*N1180/1000000)*(INDEX(AreaRate_Vals,MATCH(C1180,AreaRate_Keys,0))+IFERROR(INDEX(GlazingUpg_Vals,MATCH(H1180,GlazingUpg_Keys,0)),0))+INDEX(Hardware_Vals,MATCH("Doors",Hardware_Keys,0))</f>
        <v>44638.759</v>
      </c>
      <c r="Q1180" s="27" t="n">
        <f aca="false">INDEX(Markup_Vals,MATCH("Doors",MarkupCat_Keys,0))</f>
        <v>0.4</v>
      </c>
      <c r="R1180" s="28" t="n">
        <f aca="false">P1180*(1+Q1180)</f>
        <v>62494.2626</v>
      </c>
      <c r="S1180" s="28" t="n">
        <f aca="false">R1180*(1-TradeDiscount)</f>
        <v>54994.951088</v>
      </c>
      <c r="T1180" s="28" t="n">
        <f aca="false">R1180*(1-VolumeDiscount)</f>
        <v>49995.41008</v>
      </c>
    </row>
    <row r="1181" customFormat="false" ht="15" hidden="false" customHeight="false" outlineLevel="0" collapsed="false">
      <c r="A1181" s="29" t="s">
        <v>2600</v>
      </c>
      <c r="B1181" s="29" t="s">
        <v>97</v>
      </c>
      <c r="C1181" s="29" t="s">
        <v>50</v>
      </c>
      <c r="D1181" s="29" t="s">
        <v>2601</v>
      </c>
      <c r="E1181" s="29" t="s">
        <v>2487</v>
      </c>
      <c r="F1181" s="29" t="s">
        <v>2345</v>
      </c>
      <c r="G1181" s="29" t="s">
        <v>37</v>
      </c>
      <c r="H1181" s="29" t="s">
        <v>66</v>
      </c>
      <c r="I1181" s="29" t="s">
        <v>190</v>
      </c>
      <c r="J1181" s="29" t="s">
        <v>191</v>
      </c>
      <c r="K1181" s="29" t="s">
        <v>298</v>
      </c>
      <c r="L1181" s="29" t="s">
        <v>30</v>
      </c>
      <c r="M1181" s="29" t="n">
        <v>5409</v>
      </c>
      <c r="N1181" s="29" t="n">
        <v>2090</v>
      </c>
      <c r="O1181" s="29"/>
      <c r="P1181" s="30" t="n">
        <f aca="false">(M1181*N1181/1000000)*(INDEX(AreaRate_Vals,MATCH(C1181,AreaRate_Keys,0))+IFERROR(INDEX(GlazingUpg_Vals,MATCH(H1181,GlazingUpg_Keys,0)),0))+INDEX(Hardware_Vals,MATCH("Doors",Hardware_Keys,0))</f>
        <v>44638.759</v>
      </c>
      <c r="Q1181" s="31" t="n">
        <f aca="false">INDEX(Markup_Vals,MATCH("Doors",MarkupCat_Keys,0))</f>
        <v>0.4</v>
      </c>
      <c r="R1181" s="32" t="n">
        <f aca="false">P1181*(1+Q1181)</f>
        <v>62494.2626</v>
      </c>
      <c r="S1181" s="32" t="n">
        <f aca="false">R1181*(1-TradeDiscount)</f>
        <v>54994.951088</v>
      </c>
      <c r="T1181" s="32" t="n">
        <f aca="false">R1181*(1-VolumeDiscount)</f>
        <v>49995.41008</v>
      </c>
    </row>
    <row r="1182" customFormat="false" ht="15" hidden="false" customHeight="false" outlineLevel="0" collapsed="false">
      <c r="A1182" s="25" t="s">
        <v>2602</v>
      </c>
      <c r="B1182" s="25" t="s">
        <v>97</v>
      </c>
      <c r="C1182" s="25" t="s">
        <v>50</v>
      </c>
      <c r="D1182" s="25" t="s">
        <v>2603</v>
      </c>
      <c r="E1182" s="25" t="s">
        <v>2487</v>
      </c>
      <c r="F1182" s="25" t="s">
        <v>2345</v>
      </c>
      <c r="G1182" s="25" t="s">
        <v>39</v>
      </c>
      <c r="H1182" s="25" t="s">
        <v>66</v>
      </c>
      <c r="I1182" s="25" t="s">
        <v>190</v>
      </c>
      <c r="J1182" s="25" t="s">
        <v>191</v>
      </c>
      <c r="K1182" s="25" t="s">
        <v>298</v>
      </c>
      <c r="L1182" s="25" t="s">
        <v>30</v>
      </c>
      <c r="M1182" s="25" t="n">
        <v>5409</v>
      </c>
      <c r="N1182" s="25" t="n">
        <v>2090</v>
      </c>
      <c r="O1182" s="25"/>
      <c r="P1182" s="26" t="n">
        <f aca="false">(M1182*N1182/1000000)*(INDEX(AreaRate_Vals,MATCH(C1182,AreaRate_Keys,0))+IFERROR(INDEX(GlazingUpg_Vals,MATCH(H1182,GlazingUpg_Keys,0)),0))+INDEX(Hardware_Vals,MATCH("Doors",Hardware_Keys,0))</f>
        <v>44638.759</v>
      </c>
      <c r="Q1182" s="27" t="n">
        <f aca="false">INDEX(Markup_Vals,MATCH("Doors",MarkupCat_Keys,0))</f>
        <v>0.4</v>
      </c>
      <c r="R1182" s="28" t="n">
        <f aca="false">P1182*(1+Q1182)</f>
        <v>62494.2626</v>
      </c>
      <c r="S1182" s="28" t="n">
        <f aca="false">R1182*(1-TradeDiscount)</f>
        <v>54994.951088</v>
      </c>
      <c r="T1182" s="28" t="n">
        <f aca="false">R1182*(1-VolumeDiscount)</f>
        <v>49995.41008</v>
      </c>
    </row>
    <row r="1183" customFormat="false" ht="15" hidden="false" customHeight="false" outlineLevel="0" collapsed="false">
      <c r="A1183" s="29" t="s">
        <v>2604</v>
      </c>
      <c r="B1183" s="29" t="s">
        <v>97</v>
      </c>
      <c r="C1183" s="29" t="s">
        <v>50</v>
      </c>
      <c r="D1183" s="29" t="s">
        <v>2605</v>
      </c>
      <c r="E1183" s="29" t="s">
        <v>2487</v>
      </c>
      <c r="F1183" s="29" t="s">
        <v>2345</v>
      </c>
      <c r="G1183" s="29" t="s">
        <v>38</v>
      </c>
      <c r="H1183" s="29" t="s">
        <v>66</v>
      </c>
      <c r="I1183" s="29" t="s">
        <v>190</v>
      </c>
      <c r="J1183" s="29" t="s">
        <v>191</v>
      </c>
      <c r="K1183" s="29" t="s">
        <v>298</v>
      </c>
      <c r="L1183" s="29" t="s">
        <v>30</v>
      </c>
      <c r="M1183" s="29" t="n">
        <v>5409</v>
      </c>
      <c r="N1183" s="29" t="n">
        <v>2090</v>
      </c>
      <c r="O1183" s="29"/>
      <c r="P1183" s="30" t="n">
        <f aca="false">(M1183*N1183/1000000)*(INDEX(AreaRate_Vals,MATCH(C1183,AreaRate_Keys,0))+IFERROR(INDEX(GlazingUpg_Vals,MATCH(H1183,GlazingUpg_Keys,0)),0))+INDEX(Hardware_Vals,MATCH("Doors",Hardware_Keys,0))</f>
        <v>44638.759</v>
      </c>
      <c r="Q1183" s="31" t="n">
        <f aca="false">INDEX(Markup_Vals,MATCH("Doors",MarkupCat_Keys,0))</f>
        <v>0.4</v>
      </c>
      <c r="R1183" s="32" t="n">
        <f aca="false">P1183*(1+Q1183)</f>
        <v>62494.2626</v>
      </c>
      <c r="S1183" s="32" t="n">
        <f aca="false">R1183*(1-TradeDiscount)</f>
        <v>54994.951088</v>
      </c>
      <c r="T1183" s="32" t="n">
        <f aca="false">R1183*(1-VolumeDiscount)</f>
        <v>49995.41008</v>
      </c>
    </row>
    <row r="1184" customFormat="false" ht="15" hidden="false" customHeight="false" outlineLevel="0" collapsed="false">
      <c r="A1184" s="25" t="s">
        <v>2606</v>
      </c>
      <c r="B1184" s="25" t="s">
        <v>97</v>
      </c>
      <c r="C1184" s="25" t="s">
        <v>51</v>
      </c>
      <c r="D1184" s="25" t="s">
        <v>2607</v>
      </c>
      <c r="E1184" s="25" t="s">
        <v>2608</v>
      </c>
      <c r="F1184" s="25" t="s">
        <v>2609</v>
      </c>
      <c r="G1184" s="25" t="s">
        <v>35</v>
      </c>
      <c r="H1184" s="25" t="s">
        <v>65</v>
      </c>
      <c r="I1184" s="25" t="s">
        <v>190</v>
      </c>
      <c r="J1184" s="25" t="s">
        <v>685</v>
      </c>
      <c r="K1184" s="25" t="s">
        <v>192</v>
      </c>
      <c r="L1184" s="25" t="s">
        <v>30</v>
      </c>
      <c r="M1184" s="25" t="n">
        <v>809</v>
      </c>
      <c r="N1184" s="25" t="n">
        <v>2009</v>
      </c>
      <c r="O1184" s="25"/>
      <c r="P1184" s="26" t="n">
        <f aca="false">(M1184*N1184/1000000)*(INDEX(AreaRate_Vals,MATCH(C1184,AreaRate_Keys,0))+IFERROR(INDEX(GlazingUpg_Vals,MATCH(H1184,GlazingUpg_Keys,0)),0))+INDEX(Hardware_Vals,MATCH("Doors",Hardware_Keys,0))</f>
        <v>4288.1463</v>
      </c>
      <c r="Q1184" s="27" t="n">
        <f aca="false">INDEX(Markup_Vals,MATCH("Doors",MarkupCat_Keys,0))</f>
        <v>0.4</v>
      </c>
      <c r="R1184" s="28" t="n">
        <f aca="false">P1184*(1+Q1184)</f>
        <v>6003.40482</v>
      </c>
      <c r="S1184" s="28" t="n">
        <f aca="false">R1184*(1-TradeDiscount)</f>
        <v>5282.9962416</v>
      </c>
      <c r="T1184" s="28" t="n">
        <f aca="false">R1184*(1-VolumeDiscount)</f>
        <v>4802.723856</v>
      </c>
    </row>
    <row r="1185" customFormat="false" ht="15" hidden="false" customHeight="false" outlineLevel="0" collapsed="false">
      <c r="A1185" s="29" t="s">
        <v>2610</v>
      </c>
      <c r="B1185" s="29" t="s">
        <v>97</v>
      </c>
      <c r="C1185" s="29" t="s">
        <v>51</v>
      </c>
      <c r="D1185" s="29" t="s">
        <v>2611</v>
      </c>
      <c r="E1185" s="29" t="s">
        <v>2608</v>
      </c>
      <c r="F1185" s="29" t="s">
        <v>2609</v>
      </c>
      <c r="G1185" s="29" t="s">
        <v>36</v>
      </c>
      <c r="H1185" s="29" t="s">
        <v>65</v>
      </c>
      <c r="I1185" s="29" t="s">
        <v>190</v>
      </c>
      <c r="J1185" s="29" t="s">
        <v>685</v>
      </c>
      <c r="K1185" s="29" t="s">
        <v>192</v>
      </c>
      <c r="L1185" s="29" t="s">
        <v>30</v>
      </c>
      <c r="M1185" s="29" t="n">
        <v>809</v>
      </c>
      <c r="N1185" s="29" t="n">
        <v>2009</v>
      </c>
      <c r="O1185" s="29"/>
      <c r="P1185" s="30" t="n">
        <f aca="false">(M1185*N1185/1000000)*(INDEX(AreaRate_Vals,MATCH(C1185,AreaRate_Keys,0))+IFERROR(INDEX(GlazingUpg_Vals,MATCH(H1185,GlazingUpg_Keys,0)),0))+INDEX(Hardware_Vals,MATCH("Doors",Hardware_Keys,0))</f>
        <v>4288.1463</v>
      </c>
      <c r="Q1185" s="31" t="n">
        <f aca="false">INDEX(Markup_Vals,MATCH("Doors",MarkupCat_Keys,0))</f>
        <v>0.4</v>
      </c>
      <c r="R1185" s="32" t="n">
        <f aca="false">P1185*(1+Q1185)</f>
        <v>6003.40482</v>
      </c>
      <c r="S1185" s="32" t="n">
        <f aca="false">R1185*(1-TradeDiscount)</f>
        <v>5282.9962416</v>
      </c>
      <c r="T1185" s="32" t="n">
        <f aca="false">R1185*(1-VolumeDiscount)</f>
        <v>4802.723856</v>
      </c>
    </row>
    <row r="1186" customFormat="false" ht="15" hidden="false" customHeight="false" outlineLevel="0" collapsed="false">
      <c r="A1186" s="25" t="s">
        <v>2612</v>
      </c>
      <c r="B1186" s="25" t="s">
        <v>97</v>
      </c>
      <c r="C1186" s="25" t="s">
        <v>51</v>
      </c>
      <c r="D1186" s="25" t="s">
        <v>2613</v>
      </c>
      <c r="E1186" s="25" t="s">
        <v>2608</v>
      </c>
      <c r="F1186" s="25" t="s">
        <v>2609</v>
      </c>
      <c r="G1186" s="25" t="s">
        <v>37</v>
      </c>
      <c r="H1186" s="25" t="s">
        <v>65</v>
      </c>
      <c r="I1186" s="25" t="s">
        <v>190</v>
      </c>
      <c r="J1186" s="25" t="s">
        <v>685</v>
      </c>
      <c r="K1186" s="25" t="s">
        <v>192</v>
      </c>
      <c r="L1186" s="25" t="s">
        <v>30</v>
      </c>
      <c r="M1186" s="25" t="n">
        <v>809</v>
      </c>
      <c r="N1186" s="25" t="n">
        <v>2009</v>
      </c>
      <c r="O1186" s="25"/>
      <c r="P1186" s="26" t="n">
        <f aca="false">(M1186*N1186/1000000)*(INDEX(AreaRate_Vals,MATCH(C1186,AreaRate_Keys,0))+IFERROR(INDEX(GlazingUpg_Vals,MATCH(H1186,GlazingUpg_Keys,0)),0))+INDEX(Hardware_Vals,MATCH("Doors",Hardware_Keys,0))</f>
        <v>4288.1463</v>
      </c>
      <c r="Q1186" s="27" t="n">
        <f aca="false">INDEX(Markup_Vals,MATCH("Doors",MarkupCat_Keys,0))</f>
        <v>0.4</v>
      </c>
      <c r="R1186" s="28" t="n">
        <f aca="false">P1186*(1+Q1186)</f>
        <v>6003.40482</v>
      </c>
      <c r="S1186" s="28" t="n">
        <f aca="false">R1186*(1-TradeDiscount)</f>
        <v>5282.9962416</v>
      </c>
      <c r="T1186" s="28" t="n">
        <f aca="false">R1186*(1-VolumeDiscount)</f>
        <v>4802.723856</v>
      </c>
    </row>
    <row r="1187" customFormat="false" ht="15" hidden="false" customHeight="false" outlineLevel="0" collapsed="false">
      <c r="A1187" s="29" t="s">
        <v>2614</v>
      </c>
      <c r="B1187" s="29" t="s">
        <v>97</v>
      </c>
      <c r="C1187" s="29" t="s">
        <v>51</v>
      </c>
      <c r="D1187" s="29" t="s">
        <v>2615</v>
      </c>
      <c r="E1187" s="29" t="s">
        <v>2608</v>
      </c>
      <c r="F1187" s="29" t="s">
        <v>2609</v>
      </c>
      <c r="G1187" s="29" t="s">
        <v>39</v>
      </c>
      <c r="H1187" s="29" t="s">
        <v>65</v>
      </c>
      <c r="I1187" s="29" t="s">
        <v>190</v>
      </c>
      <c r="J1187" s="29" t="s">
        <v>685</v>
      </c>
      <c r="K1187" s="29" t="s">
        <v>192</v>
      </c>
      <c r="L1187" s="29" t="s">
        <v>30</v>
      </c>
      <c r="M1187" s="29" t="n">
        <v>809</v>
      </c>
      <c r="N1187" s="29" t="n">
        <v>2009</v>
      </c>
      <c r="O1187" s="29"/>
      <c r="P1187" s="30" t="n">
        <f aca="false">(M1187*N1187/1000000)*(INDEX(AreaRate_Vals,MATCH(C1187,AreaRate_Keys,0))+IFERROR(INDEX(GlazingUpg_Vals,MATCH(H1187,GlazingUpg_Keys,0)),0))+INDEX(Hardware_Vals,MATCH("Doors",Hardware_Keys,0))</f>
        <v>4288.1463</v>
      </c>
      <c r="Q1187" s="31" t="n">
        <f aca="false">INDEX(Markup_Vals,MATCH("Doors",MarkupCat_Keys,0))</f>
        <v>0.4</v>
      </c>
      <c r="R1187" s="32" t="n">
        <f aca="false">P1187*(1+Q1187)</f>
        <v>6003.40482</v>
      </c>
      <c r="S1187" s="32" t="n">
        <f aca="false">R1187*(1-TradeDiscount)</f>
        <v>5282.9962416</v>
      </c>
      <c r="T1187" s="32" t="n">
        <f aca="false">R1187*(1-VolumeDiscount)</f>
        <v>4802.723856</v>
      </c>
    </row>
    <row r="1188" customFormat="false" ht="15" hidden="false" customHeight="false" outlineLevel="0" collapsed="false">
      <c r="A1188" s="25" t="s">
        <v>2616</v>
      </c>
      <c r="B1188" s="25" t="s">
        <v>97</v>
      </c>
      <c r="C1188" s="25" t="s">
        <v>51</v>
      </c>
      <c r="D1188" s="25" t="s">
        <v>2617</v>
      </c>
      <c r="E1188" s="25" t="s">
        <v>2608</v>
      </c>
      <c r="F1188" s="25" t="s">
        <v>2609</v>
      </c>
      <c r="G1188" s="25" t="s">
        <v>38</v>
      </c>
      <c r="H1188" s="25" t="s">
        <v>65</v>
      </c>
      <c r="I1188" s="25" t="s">
        <v>190</v>
      </c>
      <c r="J1188" s="25" t="s">
        <v>685</v>
      </c>
      <c r="K1188" s="25" t="s">
        <v>192</v>
      </c>
      <c r="L1188" s="25" t="s">
        <v>30</v>
      </c>
      <c r="M1188" s="25" t="n">
        <v>809</v>
      </c>
      <c r="N1188" s="25" t="n">
        <v>2009</v>
      </c>
      <c r="O1188" s="25"/>
      <c r="P1188" s="26" t="n">
        <f aca="false">(M1188*N1188/1000000)*(INDEX(AreaRate_Vals,MATCH(C1188,AreaRate_Keys,0))+IFERROR(INDEX(GlazingUpg_Vals,MATCH(H1188,GlazingUpg_Keys,0)),0))+INDEX(Hardware_Vals,MATCH("Doors",Hardware_Keys,0))</f>
        <v>4288.1463</v>
      </c>
      <c r="Q1188" s="27" t="n">
        <f aca="false">INDEX(Markup_Vals,MATCH("Doors",MarkupCat_Keys,0))</f>
        <v>0.4</v>
      </c>
      <c r="R1188" s="28" t="n">
        <f aca="false">P1188*(1+Q1188)</f>
        <v>6003.40482</v>
      </c>
      <c r="S1188" s="28" t="n">
        <f aca="false">R1188*(1-TradeDiscount)</f>
        <v>5282.9962416</v>
      </c>
      <c r="T1188" s="28" t="n">
        <f aca="false">R1188*(1-VolumeDiscount)</f>
        <v>4802.723856</v>
      </c>
    </row>
    <row r="1189" customFormat="false" ht="15" hidden="false" customHeight="false" outlineLevel="0" collapsed="false">
      <c r="A1189" s="29" t="s">
        <v>2618</v>
      </c>
      <c r="B1189" s="29" t="s">
        <v>97</v>
      </c>
      <c r="C1189" s="29" t="s">
        <v>51</v>
      </c>
      <c r="D1189" s="29" t="s">
        <v>2619</v>
      </c>
      <c r="E1189" s="29" t="s">
        <v>2608</v>
      </c>
      <c r="F1189" s="29" t="s">
        <v>2620</v>
      </c>
      <c r="G1189" s="29" t="s">
        <v>35</v>
      </c>
      <c r="H1189" s="29" t="s">
        <v>65</v>
      </c>
      <c r="I1189" s="29" t="s">
        <v>190</v>
      </c>
      <c r="J1189" s="29" t="s">
        <v>685</v>
      </c>
      <c r="K1189" s="29" t="s">
        <v>192</v>
      </c>
      <c r="L1189" s="29" t="s">
        <v>30</v>
      </c>
      <c r="M1189" s="29" t="n">
        <v>909</v>
      </c>
      <c r="N1189" s="29" t="n">
        <v>2009</v>
      </c>
      <c r="O1189" s="29"/>
      <c r="P1189" s="30" t="n">
        <f aca="false">(M1189*N1189/1000000)*(INDEX(AreaRate_Vals,MATCH(C1189,AreaRate_Keys,0))+IFERROR(INDEX(GlazingUpg_Vals,MATCH(H1189,GlazingUpg_Keys,0)),0))+INDEX(Hardware_Vals,MATCH("Doors",Hardware_Keys,0))</f>
        <v>4750.2163</v>
      </c>
      <c r="Q1189" s="31" t="n">
        <f aca="false">INDEX(Markup_Vals,MATCH("Doors",MarkupCat_Keys,0))</f>
        <v>0.4</v>
      </c>
      <c r="R1189" s="32" t="n">
        <f aca="false">P1189*(1+Q1189)</f>
        <v>6650.30282</v>
      </c>
      <c r="S1189" s="32" t="n">
        <f aca="false">R1189*(1-TradeDiscount)</f>
        <v>5852.2664816</v>
      </c>
      <c r="T1189" s="32" t="n">
        <f aca="false">R1189*(1-VolumeDiscount)</f>
        <v>5320.242256</v>
      </c>
    </row>
    <row r="1190" customFormat="false" ht="15" hidden="false" customHeight="false" outlineLevel="0" collapsed="false">
      <c r="A1190" s="25" t="s">
        <v>2621</v>
      </c>
      <c r="B1190" s="25" t="s">
        <v>97</v>
      </c>
      <c r="C1190" s="25" t="s">
        <v>51</v>
      </c>
      <c r="D1190" s="25" t="s">
        <v>2622</v>
      </c>
      <c r="E1190" s="25" t="s">
        <v>2608</v>
      </c>
      <c r="F1190" s="25" t="s">
        <v>2620</v>
      </c>
      <c r="G1190" s="25" t="s">
        <v>36</v>
      </c>
      <c r="H1190" s="25" t="s">
        <v>65</v>
      </c>
      <c r="I1190" s="25" t="s">
        <v>190</v>
      </c>
      <c r="J1190" s="25" t="s">
        <v>685</v>
      </c>
      <c r="K1190" s="25" t="s">
        <v>192</v>
      </c>
      <c r="L1190" s="25" t="s">
        <v>30</v>
      </c>
      <c r="M1190" s="25" t="n">
        <v>909</v>
      </c>
      <c r="N1190" s="25" t="n">
        <v>2009</v>
      </c>
      <c r="O1190" s="25"/>
      <c r="P1190" s="26" t="n">
        <f aca="false">(M1190*N1190/1000000)*(INDEX(AreaRate_Vals,MATCH(C1190,AreaRate_Keys,0))+IFERROR(INDEX(GlazingUpg_Vals,MATCH(H1190,GlazingUpg_Keys,0)),0))+INDEX(Hardware_Vals,MATCH("Doors",Hardware_Keys,0))</f>
        <v>4750.2163</v>
      </c>
      <c r="Q1190" s="27" t="n">
        <f aca="false">INDEX(Markup_Vals,MATCH("Doors",MarkupCat_Keys,0))</f>
        <v>0.4</v>
      </c>
      <c r="R1190" s="28" t="n">
        <f aca="false">P1190*(1+Q1190)</f>
        <v>6650.30282</v>
      </c>
      <c r="S1190" s="28" t="n">
        <f aca="false">R1190*(1-TradeDiscount)</f>
        <v>5852.2664816</v>
      </c>
      <c r="T1190" s="28" t="n">
        <f aca="false">R1190*(1-VolumeDiscount)</f>
        <v>5320.242256</v>
      </c>
    </row>
    <row r="1191" customFormat="false" ht="15" hidden="false" customHeight="false" outlineLevel="0" collapsed="false">
      <c r="A1191" s="29" t="s">
        <v>2623</v>
      </c>
      <c r="B1191" s="29" t="s">
        <v>97</v>
      </c>
      <c r="C1191" s="29" t="s">
        <v>51</v>
      </c>
      <c r="D1191" s="29" t="s">
        <v>2624</v>
      </c>
      <c r="E1191" s="29" t="s">
        <v>2608</v>
      </c>
      <c r="F1191" s="29" t="s">
        <v>2620</v>
      </c>
      <c r="G1191" s="29" t="s">
        <v>37</v>
      </c>
      <c r="H1191" s="29" t="s">
        <v>65</v>
      </c>
      <c r="I1191" s="29" t="s">
        <v>190</v>
      </c>
      <c r="J1191" s="29" t="s">
        <v>685</v>
      </c>
      <c r="K1191" s="29" t="s">
        <v>192</v>
      </c>
      <c r="L1191" s="29" t="s">
        <v>30</v>
      </c>
      <c r="M1191" s="29" t="n">
        <v>909</v>
      </c>
      <c r="N1191" s="29" t="n">
        <v>2009</v>
      </c>
      <c r="O1191" s="29"/>
      <c r="P1191" s="30" t="n">
        <f aca="false">(M1191*N1191/1000000)*(INDEX(AreaRate_Vals,MATCH(C1191,AreaRate_Keys,0))+IFERROR(INDEX(GlazingUpg_Vals,MATCH(H1191,GlazingUpg_Keys,0)),0))+INDEX(Hardware_Vals,MATCH("Doors",Hardware_Keys,0))</f>
        <v>4750.2163</v>
      </c>
      <c r="Q1191" s="31" t="n">
        <f aca="false">INDEX(Markup_Vals,MATCH("Doors",MarkupCat_Keys,0))</f>
        <v>0.4</v>
      </c>
      <c r="R1191" s="32" t="n">
        <f aca="false">P1191*(1+Q1191)</f>
        <v>6650.30282</v>
      </c>
      <c r="S1191" s="32" t="n">
        <f aca="false">R1191*(1-TradeDiscount)</f>
        <v>5852.2664816</v>
      </c>
      <c r="T1191" s="32" t="n">
        <f aca="false">R1191*(1-VolumeDiscount)</f>
        <v>5320.242256</v>
      </c>
    </row>
    <row r="1192" customFormat="false" ht="15" hidden="false" customHeight="false" outlineLevel="0" collapsed="false">
      <c r="A1192" s="25" t="s">
        <v>2625</v>
      </c>
      <c r="B1192" s="25" t="s">
        <v>97</v>
      </c>
      <c r="C1192" s="25" t="s">
        <v>51</v>
      </c>
      <c r="D1192" s="25" t="s">
        <v>2626</v>
      </c>
      <c r="E1192" s="25" t="s">
        <v>2608</v>
      </c>
      <c r="F1192" s="25" t="s">
        <v>2620</v>
      </c>
      <c r="G1192" s="25" t="s">
        <v>39</v>
      </c>
      <c r="H1192" s="25" t="s">
        <v>65</v>
      </c>
      <c r="I1192" s="25" t="s">
        <v>190</v>
      </c>
      <c r="J1192" s="25" t="s">
        <v>685</v>
      </c>
      <c r="K1192" s="25" t="s">
        <v>192</v>
      </c>
      <c r="L1192" s="25" t="s">
        <v>30</v>
      </c>
      <c r="M1192" s="25" t="n">
        <v>909</v>
      </c>
      <c r="N1192" s="25" t="n">
        <v>2009</v>
      </c>
      <c r="O1192" s="25"/>
      <c r="P1192" s="26" t="n">
        <f aca="false">(M1192*N1192/1000000)*(INDEX(AreaRate_Vals,MATCH(C1192,AreaRate_Keys,0))+IFERROR(INDEX(GlazingUpg_Vals,MATCH(H1192,GlazingUpg_Keys,0)),0))+INDEX(Hardware_Vals,MATCH("Doors",Hardware_Keys,0))</f>
        <v>4750.2163</v>
      </c>
      <c r="Q1192" s="27" t="n">
        <f aca="false">INDEX(Markup_Vals,MATCH("Doors",MarkupCat_Keys,0))</f>
        <v>0.4</v>
      </c>
      <c r="R1192" s="28" t="n">
        <f aca="false">P1192*(1+Q1192)</f>
        <v>6650.30282</v>
      </c>
      <c r="S1192" s="28" t="n">
        <f aca="false">R1192*(1-TradeDiscount)</f>
        <v>5852.2664816</v>
      </c>
      <c r="T1192" s="28" t="n">
        <f aca="false">R1192*(1-VolumeDiscount)</f>
        <v>5320.242256</v>
      </c>
    </row>
    <row r="1193" customFormat="false" ht="15" hidden="false" customHeight="false" outlineLevel="0" collapsed="false">
      <c r="A1193" s="29" t="s">
        <v>2627</v>
      </c>
      <c r="B1193" s="29" t="s">
        <v>97</v>
      </c>
      <c r="C1193" s="29" t="s">
        <v>51</v>
      </c>
      <c r="D1193" s="29" t="s">
        <v>2628</v>
      </c>
      <c r="E1193" s="29" t="s">
        <v>2608</v>
      </c>
      <c r="F1193" s="29" t="s">
        <v>2620</v>
      </c>
      <c r="G1193" s="29" t="s">
        <v>38</v>
      </c>
      <c r="H1193" s="29" t="s">
        <v>65</v>
      </c>
      <c r="I1193" s="29" t="s">
        <v>190</v>
      </c>
      <c r="J1193" s="29" t="s">
        <v>685</v>
      </c>
      <c r="K1193" s="29" t="s">
        <v>192</v>
      </c>
      <c r="L1193" s="29" t="s">
        <v>30</v>
      </c>
      <c r="M1193" s="29" t="n">
        <v>909</v>
      </c>
      <c r="N1193" s="29" t="n">
        <v>2009</v>
      </c>
      <c r="O1193" s="29"/>
      <c r="P1193" s="30" t="n">
        <f aca="false">(M1193*N1193/1000000)*(INDEX(AreaRate_Vals,MATCH(C1193,AreaRate_Keys,0))+IFERROR(INDEX(GlazingUpg_Vals,MATCH(H1193,GlazingUpg_Keys,0)),0))+INDEX(Hardware_Vals,MATCH("Doors",Hardware_Keys,0))</f>
        <v>4750.2163</v>
      </c>
      <c r="Q1193" s="31" t="n">
        <f aca="false">INDEX(Markup_Vals,MATCH("Doors",MarkupCat_Keys,0))</f>
        <v>0.4</v>
      </c>
      <c r="R1193" s="32" t="n">
        <f aca="false">P1193*(1+Q1193)</f>
        <v>6650.30282</v>
      </c>
      <c r="S1193" s="32" t="n">
        <f aca="false">R1193*(1-TradeDiscount)</f>
        <v>5852.2664816</v>
      </c>
      <c r="T1193" s="32" t="n">
        <f aca="false">R1193*(1-VolumeDiscount)</f>
        <v>5320.242256</v>
      </c>
    </row>
    <row r="1194" customFormat="false" ht="15" hidden="false" customHeight="false" outlineLevel="0" collapsed="false">
      <c r="A1194" s="25" t="s">
        <v>2629</v>
      </c>
      <c r="B1194" s="25" t="s">
        <v>97</v>
      </c>
      <c r="C1194" s="25" t="s">
        <v>51</v>
      </c>
      <c r="D1194" s="25" t="s">
        <v>2630</v>
      </c>
      <c r="E1194" s="25" t="s">
        <v>2608</v>
      </c>
      <c r="F1194" s="25" t="s">
        <v>2631</v>
      </c>
      <c r="G1194" s="25" t="s">
        <v>35</v>
      </c>
      <c r="H1194" s="25" t="s">
        <v>65</v>
      </c>
      <c r="I1194" s="25" t="s">
        <v>190</v>
      </c>
      <c r="J1194" s="25" t="s">
        <v>685</v>
      </c>
      <c r="K1194" s="25" t="s">
        <v>192</v>
      </c>
      <c r="L1194" s="25" t="s">
        <v>30</v>
      </c>
      <c r="M1194" s="25" t="n">
        <v>909</v>
      </c>
      <c r="N1194" s="25" t="n">
        <v>2090</v>
      </c>
      <c r="O1194" s="25"/>
      <c r="P1194" s="26" t="n">
        <f aca="false">(M1194*N1194/1000000)*(INDEX(AreaRate_Vals,MATCH(C1194,AreaRate_Keys,0))+IFERROR(INDEX(GlazingUpg_Vals,MATCH(H1194,GlazingUpg_Keys,0)),0))+INDEX(Hardware_Vals,MATCH("Doors",Hardware_Keys,0))</f>
        <v>4919.563</v>
      </c>
      <c r="Q1194" s="27" t="n">
        <f aca="false">INDEX(Markup_Vals,MATCH("Doors",MarkupCat_Keys,0))</f>
        <v>0.4</v>
      </c>
      <c r="R1194" s="28" t="n">
        <f aca="false">P1194*(1+Q1194)</f>
        <v>6887.3882</v>
      </c>
      <c r="S1194" s="28" t="n">
        <f aca="false">R1194*(1-TradeDiscount)</f>
        <v>6060.901616</v>
      </c>
      <c r="T1194" s="28" t="n">
        <f aca="false">R1194*(1-VolumeDiscount)</f>
        <v>5509.91056</v>
      </c>
    </row>
    <row r="1195" customFormat="false" ht="15" hidden="false" customHeight="false" outlineLevel="0" collapsed="false">
      <c r="A1195" s="29" t="s">
        <v>2632</v>
      </c>
      <c r="B1195" s="29" t="s">
        <v>97</v>
      </c>
      <c r="C1195" s="29" t="s">
        <v>51</v>
      </c>
      <c r="D1195" s="29" t="s">
        <v>2633</v>
      </c>
      <c r="E1195" s="29" t="s">
        <v>2608</v>
      </c>
      <c r="F1195" s="29" t="s">
        <v>2631</v>
      </c>
      <c r="G1195" s="29" t="s">
        <v>36</v>
      </c>
      <c r="H1195" s="29" t="s">
        <v>65</v>
      </c>
      <c r="I1195" s="29" t="s">
        <v>190</v>
      </c>
      <c r="J1195" s="29" t="s">
        <v>685</v>
      </c>
      <c r="K1195" s="29" t="s">
        <v>192</v>
      </c>
      <c r="L1195" s="29" t="s">
        <v>30</v>
      </c>
      <c r="M1195" s="29" t="n">
        <v>909</v>
      </c>
      <c r="N1195" s="29" t="n">
        <v>2090</v>
      </c>
      <c r="O1195" s="29"/>
      <c r="P1195" s="30" t="n">
        <f aca="false">(M1195*N1195/1000000)*(INDEX(AreaRate_Vals,MATCH(C1195,AreaRate_Keys,0))+IFERROR(INDEX(GlazingUpg_Vals,MATCH(H1195,GlazingUpg_Keys,0)),0))+INDEX(Hardware_Vals,MATCH("Doors",Hardware_Keys,0))</f>
        <v>4919.563</v>
      </c>
      <c r="Q1195" s="31" t="n">
        <f aca="false">INDEX(Markup_Vals,MATCH("Doors",MarkupCat_Keys,0))</f>
        <v>0.4</v>
      </c>
      <c r="R1195" s="32" t="n">
        <f aca="false">P1195*(1+Q1195)</f>
        <v>6887.3882</v>
      </c>
      <c r="S1195" s="32" t="n">
        <f aca="false">R1195*(1-TradeDiscount)</f>
        <v>6060.901616</v>
      </c>
      <c r="T1195" s="32" t="n">
        <f aca="false">R1195*(1-VolumeDiscount)</f>
        <v>5509.91056</v>
      </c>
    </row>
    <row r="1196" customFormat="false" ht="15" hidden="false" customHeight="false" outlineLevel="0" collapsed="false">
      <c r="A1196" s="25" t="s">
        <v>2634</v>
      </c>
      <c r="B1196" s="25" t="s">
        <v>97</v>
      </c>
      <c r="C1196" s="25" t="s">
        <v>51</v>
      </c>
      <c r="D1196" s="25" t="s">
        <v>2635</v>
      </c>
      <c r="E1196" s="25" t="s">
        <v>2608</v>
      </c>
      <c r="F1196" s="25" t="s">
        <v>2631</v>
      </c>
      <c r="G1196" s="25" t="s">
        <v>37</v>
      </c>
      <c r="H1196" s="25" t="s">
        <v>65</v>
      </c>
      <c r="I1196" s="25" t="s">
        <v>190</v>
      </c>
      <c r="J1196" s="25" t="s">
        <v>685</v>
      </c>
      <c r="K1196" s="25" t="s">
        <v>192</v>
      </c>
      <c r="L1196" s="25" t="s">
        <v>30</v>
      </c>
      <c r="M1196" s="25" t="n">
        <v>909</v>
      </c>
      <c r="N1196" s="25" t="n">
        <v>2090</v>
      </c>
      <c r="O1196" s="25"/>
      <c r="P1196" s="26" t="n">
        <f aca="false">(M1196*N1196/1000000)*(INDEX(AreaRate_Vals,MATCH(C1196,AreaRate_Keys,0))+IFERROR(INDEX(GlazingUpg_Vals,MATCH(H1196,GlazingUpg_Keys,0)),0))+INDEX(Hardware_Vals,MATCH("Doors",Hardware_Keys,0))</f>
        <v>4919.563</v>
      </c>
      <c r="Q1196" s="27" t="n">
        <f aca="false">INDEX(Markup_Vals,MATCH("Doors",MarkupCat_Keys,0))</f>
        <v>0.4</v>
      </c>
      <c r="R1196" s="28" t="n">
        <f aca="false">P1196*(1+Q1196)</f>
        <v>6887.3882</v>
      </c>
      <c r="S1196" s="28" t="n">
        <f aca="false">R1196*(1-TradeDiscount)</f>
        <v>6060.901616</v>
      </c>
      <c r="T1196" s="28" t="n">
        <f aca="false">R1196*(1-VolumeDiscount)</f>
        <v>5509.91056</v>
      </c>
    </row>
    <row r="1197" customFormat="false" ht="15" hidden="false" customHeight="false" outlineLevel="0" collapsed="false">
      <c r="A1197" s="29" t="s">
        <v>2636</v>
      </c>
      <c r="B1197" s="29" t="s">
        <v>97</v>
      </c>
      <c r="C1197" s="29" t="s">
        <v>51</v>
      </c>
      <c r="D1197" s="29" t="s">
        <v>2637</v>
      </c>
      <c r="E1197" s="29" t="s">
        <v>2608</v>
      </c>
      <c r="F1197" s="29" t="s">
        <v>2631</v>
      </c>
      <c r="G1197" s="29" t="s">
        <v>39</v>
      </c>
      <c r="H1197" s="29" t="s">
        <v>65</v>
      </c>
      <c r="I1197" s="29" t="s">
        <v>190</v>
      </c>
      <c r="J1197" s="29" t="s">
        <v>685</v>
      </c>
      <c r="K1197" s="29" t="s">
        <v>192</v>
      </c>
      <c r="L1197" s="29" t="s">
        <v>30</v>
      </c>
      <c r="M1197" s="29" t="n">
        <v>909</v>
      </c>
      <c r="N1197" s="29" t="n">
        <v>2090</v>
      </c>
      <c r="O1197" s="29"/>
      <c r="P1197" s="30" t="n">
        <f aca="false">(M1197*N1197/1000000)*(INDEX(AreaRate_Vals,MATCH(C1197,AreaRate_Keys,0))+IFERROR(INDEX(GlazingUpg_Vals,MATCH(H1197,GlazingUpg_Keys,0)),0))+INDEX(Hardware_Vals,MATCH("Doors",Hardware_Keys,0))</f>
        <v>4919.563</v>
      </c>
      <c r="Q1197" s="31" t="n">
        <f aca="false">INDEX(Markup_Vals,MATCH("Doors",MarkupCat_Keys,0))</f>
        <v>0.4</v>
      </c>
      <c r="R1197" s="32" t="n">
        <f aca="false">P1197*(1+Q1197)</f>
        <v>6887.3882</v>
      </c>
      <c r="S1197" s="32" t="n">
        <f aca="false">R1197*(1-TradeDiscount)</f>
        <v>6060.901616</v>
      </c>
      <c r="T1197" s="32" t="n">
        <f aca="false">R1197*(1-VolumeDiscount)</f>
        <v>5509.91056</v>
      </c>
    </row>
    <row r="1198" customFormat="false" ht="15" hidden="false" customHeight="false" outlineLevel="0" collapsed="false">
      <c r="A1198" s="25" t="s">
        <v>2638</v>
      </c>
      <c r="B1198" s="25" t="s">
        <v>97</v>
      </c>
      <c r="C1198" s="25" t="s">
        <v>51</v>
      </c>
      <c r="D1198" s="25" t="s">
        <v>2639</v>
      </c>
      <c r="E1198" s="25" t="s">
        <v>2608</v>
      </c>
      <c r="F1198" s="25" t="s">
        <v>2631</v>
      </c>
      <c r="G1198" s="25" t="s">
        <v>38</v>
      </c>
      <c r="H1198" s="25" t="s">
        <v>65</v>
      </c>
      <c r="I1198" s="25" t="s">
        <v>190</v>
      </c>
      <c r="J1198" s="25" t="s">
        <v>685</v>
      </c>
      <c r="K1198" s="25" t="s">
        <v>192</v>
      </c>
      <c r="L1198" s="25" t="s">
        <v>30</v>
      </c>
      <c r="M1198" s="25" t="n">
        <v>909</v>
      </c>
      <c r="N1198" s="25" t="n">
        <v>2090</v>
      </c>
      <c r="O1198" s="25"/>
      <c r="P1198" s="26" t="n">
        <f aca="false">(M1198*N1198/1000000)*(INDEX(AreaRate_Vals,MATCH(C1198,AreaRate_Keys,0))+IFERROR(INDEX(GlazingUpg_Vals,MATCH(H1198,GlazingUpg_Keys,0)),0))+INDEX(Hardware_Vals,MATCH("Doors",Hardware_Keys,0))</f>
        <v>4919.563</v>
      </c>
      <c r="Q1198" s="27" t="n">
        <f aca="false">INDEX(Markup_Vals,MATCH("Doors",MarkupCat_Keys,0))</f>
        <v>0.4</v>
      </c>
      <c r="R1198" s="28" t="n">
        <f aca="false">P1198*(1+Q1198)</f>
        <v>6887.3882</v>
      </c>
      <c r="S1198" s="28" t="n">
        <f aca="false">R1198*(1-TradeDiscount)</f>
        <v>6060.901616</v>
      </c>
      <c r="T1198" s="28" t="n">
        <f aca="false">R1198*(1-VolumeDiscount)</f>
        <v>5509.91056</v>
      </c>
    </row>
    <row r="1199" customFormat="false" ht="15" hidden="false" customHeight="false" outlineLevel="0" collapsed="false">
      <c r="A1199" s="29" t="s">
        <v>2640</v>
      </c>
      <c r="B1199" s="29" t="s">
        <v>97</v>
      </c>
      <c r="C1199" s="29" t="s">
        <v>51</v>
      </c>
      <c r="D1199" s="29" t="s">
        <v>2641</v>
      </c>
      <c r="E1199" s="29" t="s">
        <v>2608</v>
      </c>
      <c r="F1199" s="29" t="s">
        <v>2642</v>
      </c>
      <c r="G1199" s="29" t="s">
        <v>35</v>
      </c>
      <c r="H1199" s="29" t="s">
        <v>65</v>
      </c>
      <c r="I1199" s="29" t="s">
        <v>190</v>
      </c>
      <c r="J1199" s="29" t="s">
        <v>685</v>
      </c>
      <c r="K1199" s="29" t="s">
        <v>192</v>
      </c>
      <c r="L1199" s="29" t="s">
        <v>30</v>
      </c>
      <c r="M1199" s="29" t="n">
        <v>1209</v>
      </c>
      <c r="N1199" s="29" t="n">
        <v>2090</v>
      </c>
      <c r="O1199" s="29"/>
      <c r="P1199" s="30" t="n">
        <f aca="false">(M1199*N1199/1000000)*(INDEX(AreaRate_Vals,MATCH(C1199,AreaRate_Keys,0))+IFERROR(INDEX(GlazingUpg_Vals,MATCH(H1199,GlazingUpg_Keys,0)),0))+INDEX(Hardware_Vals,MATCH("Doors",Hardware_Keys,0))</f>
        <v>6361.663</v>
      </c>
      <c r="Q1199" s="31" t="n">
        <f aca="false">INDEX(Markup_Vals,MATCH("Doors",MarkupCat_Keys,0))</f>
        <v>0.4</v>
      </c>
      <c r="R1199" s="32" t="n">
        <f aca="false">P1199*(1+Q1199)</f>
        <v>8906.3282</v>
      </c>
      <c r="S1199" s="32" t="n">
        <f aca="false">R1199*(1-TradeDiscount)</f>
        <v>7837.568816</v>
      </c>
      <c r="T1199" s="32" t="n">
        <f aca="false">R1199*(1-VolumeDiscount)</f>
        <v>7125.06256</v>
      </c>
    </row>
    <row r="1200" customFormat="false" ht="15" hidden="false" customHeight="false" outlineLevel="0" collapsed="false">
      <c r="A1200" s="25" t="s">
        <v>2643</v>
      </c>
      <c r="B1200" s="25" t="s">
        <v>97</v>
      </c>
      <c r="C1200" s="25" t="s">
        <v>51</v>
      </c>
      <c r="D1200" s="25" t="s">
        <v>2644</v>
      </c>
      <c r="E1200" s="25" t="s">
        <v>2608</v>
      </c>
      <c r="F1200" s="25" t="s">
        <v>2642</v>
      </c>
      <c r="G1200" s="25" t="s">
        <v>36</v>
      </c>
      <c r="H1200" s="25" t="s">
        <v>65</v>
      </c>
      <c r="I1200" s="25" t="s">
        <v>190</v>
      </c>
      <c r="J1200" s="25" t="s">
        <v>685</v>
      </c>
      <c r="K1200" s="25" t="s">
        <v>192</v>
      </c>
      <c r="L1200" s="25" t="s">
        <v>30</v>
      </c>
      <c r="M1200" s="25" t="n">
        <v>1209</v>
      </c>
      <c r="N1200" s="25" t="n">
        <v>2090</v>
      </c>
      <c r="O1200" s="25"/>
      <c r="P1200" s="26" t="n">
        <f aca="false">(M1200*N1200/1000000)*(INDEX(AreaRate_Vals,MATCH(C1200,AreaRate_Keys,0))+IFERROR(INDEX(GlazingUpg_Vals,MATCH(H1200,GlazingUpg_Keys,0)),0))+INDEX(Hardware_Vals,MATCH("Doors",Hardware_Keys,0))</f>
        <v>6361.663</v>
      </c>
      <c r="Q1200" s="27" t="n">
        <f aca="false">INDEX(Markup_Vals,MATCH("Doors",MarkupCat_Keys,0))</f>
        <v>0.4</v>
      </c>
      <c r="R1200" s="28" t="n">
        <f aca="false">P1200*(1+Q1200)</f>
        <v>8906.3282</v>
      </c>
      <c r="S1200" s="28" t="n">
        <f aca="false">R1200*(1-TradeDiscount)</f>
        <v>7837.568816</v>
      </c>
      <c r="T1200" s="28" t="n">
        <f aca="false">R1200*(1-VolumeDiscount)</f>
        <v>7125.06256</v>
      </c>
    </row>
    <row r="1201" customFormat="false" ht="15" hidden="false" customHeight="false" outlineLevel="0" collapsed="false">
      <c r="A1201" s="29" t="s">
        <v>2645</v>
      </c>
      <c r="B1201" s="29" t="s">
        <v>97</v>
      </c>
      <c r="C1201" s="29" t="s">
        <v>51</v>
      </c>
      <c r="D1201" s="29" t="s">
        <v>2646</v>
      </c>
      <c r="E1201" s="29" t="s">
        <v>2608</v>
      </c>
      <c r="F1201" s="29" t="s">
        <v>2642</v>
      </c>
      <c r="G1201" s="29" t="s">
        <v>37</v>
      </c>
      <c r="H1201" s="29" t="s">
        <v>65</v>
      </c>
      <c r="I1201" s="29" t="s">
        <v>190</v>
      </c>
      <c r="J1201" s="29" t="s">
        <v>685</v>
      </c>
      <c r="K1201" s="29" t="s">
        <v>192</v>
      </c>
      <c r="L1201" s="29" t="s">
        <v>30</v>
      </c>
      <c r="M1201" s="29" t="n">
        <v>1209</v>
      </c>
      <c r="N1201" s="29" t="n">
        <v>2090</v>
      </c>
      <c r="O1201" s="29"/>
      <c r="P1201" s="30" t="n">
        <f aca="false">(M1201*N1201/1000000)*(INDEX(AreaRate_Vals,MATCH(C1201,AreaRate_Keys,0))+IFERROR(INDEX(GlazingUpg_Vals,MATCH(H1201,GlazingUpg_Keys,0)),0))+INDEX(Hardware_Vals,MATCH("Doors",Hardware_Keys,0))</f>
        <v>6361.663</v>
      </c>
      <c r="Q1201" s="31" t="n">
        <f aca="false">INDEX(Markup_Vals,MATCH("Doors",MarkupCat_Keys,0))</f>
        <v>0.4</v>
      </c>
      <c r="R1201" s="32" t="n">
        <f aca="false">P1201*(1+Q1201)</f>
        <v>8906.3282</v>
      </c>
      <c r="S1201" s="32" t="n">
        <f aca="false">R1201*(1-TradeDiscount)</f>
        <v>7837.568816</v>
      </c>
      <c r="T1201" s="32" t="n">
        <f aca="false">R1201*(1-VolumeDiscount)</f>
        <v>7125.06256</v>
      </c>
    </row>
    <row r="1202" customFormat="false" ht="15" hidden="false" customHeight="false" outlineLevel="0" collapsed="false">
      <c r="A1202" s="25" t="s">
        <v>2647</v>
      </c>
      <c r="B1202" s="25" t="s">
        <v>97</v>
      </c>
      <c r="C1202" s="25" t="s">
        <v>51</v>
      </c>
      <c r="D1202" s="25" t="s">
        <v>2648</v>
      </c>
      <c r="E1202" s="25" t="s">
        <v>2608</v>
      </c>
      <c r="F1202" s="25" t="s">
        <v>2642</v>
      </c>
      <c r="G1202" s="25" t="s">
        <v>39</v>
      </c>
      <c r="H1202" s="25" t="s">
        <v>65</v>
      </c>
      <c r="I1202" s="25" t="s">
        <v>190</v>
      </c>
      <c r="J1202" s="25" t="s">
        <v>685</v>
      </c>
      <c r="K1202" s="25" t="s">
        <v>192</v>
      </c>
      <c r="L1202" s="25" t="s">
        <v>30</v>
      </c>
      <c r="M1202" s="25" t="n">
        <v>1209</v>
      </c>
      <c r="N1202" s="25" t="n">
        <v>2090</v>
      </c>
      <c r="O1202" s="25"/>
      <c r="P1202" s="26" t="n">
        <f aca="false">(M1202*N1202/1000000)*(INDEX(AreaRate_Vals,MATCH(C1202,AreaRate_Keys,0))+IFERROR(INDEX(GlazingUpg_Vals,MATCH(H1202,GlazingUpg_Keys,0)),0))+INDEX(Hardware_Vals,MATCH("Doors",Hardware_Keys,0))</f>
        <v>6361.663</v>
      </c>
      <c r="Q1202" s="27" t="n">
        <f aca="false">INDEX(Markup_Vals,MATCH("Doors",MarkupCat_Keys,0))</f>
        <v>0.4</v>
      </c>
      <c r="R1202" s="28" t="n">
        <f aca="false">P1202*(1+Q1202)</f>
        <v>8906.3282</v>
      </c>
      <c r="S1202" s="28" t="n">
        <f aca="false">R1202*(1-TradeDiscount)</f>
        <v>7837.568816</v>
      </c>
      <c r="T1202" s="28" t="n">
        <f aca="false">R1202*(1-VolumeDiscount)</f>
        <v>7125.06256</v>
      </c>
    </row>
    <row r="1203" customFormat="false" ht="15" hidden="false" customHeight="false" outlineLevel="0" collapsed="false">
      <c r="A1203" s="29" t="s">
        <v>2649</v>
      </c>
      <c r="B1203" s="29" t="s">
        <v>97</v>
      </c>
      <c r="C1203" s="29" t="s">
        <v>51</v>
      </c>
      <c r="D1203" s="29" t="s">
        <v>2650</v>
      </c>
      <c r="E1203" s="29" t="s">
        <v>2608</v>
      </c>
      <c r="F1203" s="29" t="s">
        <v>2642</v>
      </c>
      <c r="G1203" s="29" t="s">
        <v>38</v>
      </c>
      <c r="H1203" s="29" t="s">
        <v>65</v>
      </c>
      <c r="I1203" s="29" t="s">
        <v>190</v>
      </c>
      <c r="J1203" s="29" t="s">
        <v>685</v>
      </c>
      <c r="K1203" s="29" t="s">
        <v>192</v>
      </c>
      <c r="L1203" s="29" t="s">
        <v>30</v>
      </c>
      <c r="M1203" s="29" t="n">
        <v>1209</v>
      </c>
      <c r="N1203" s="29" t="n">
        <v>2090</v>
      </c>
      <c r="O1203" s="29"/>
      <c r="P1203" s="30" t="n">
        <f aca="false">(M1203*N1203/1000000)*(INDEX(AreaRate_Vals,MATCH(C1203,AreaRate_Keys,0))+IFERROR(INDEX(GlazingUpg_Vals,MATCH(H1203,GlazingUpg_Keys,0)),0))+INDEX(Hardware_Vals,MATCH("Doors",Hardware_Keys,0))</f>
        <v>6361.663</v>
      </c>
      <c r="Q1203" s="31" t="n">
        <f aca="false">INDEX(Markup_Vals,MATCH("Doors",MarkupCat_Keys,0))</f>
        <v>0.4</v>
      </c>
      <c r="R1203" s="32" t="n">
        <f aca="false">P1203*(1+Q1203)</f>
        <v>8906.3282</v>
      </c>
      <c r="S1203" s="32" t="n">
        <f aca="false">R1203*(1-TradeDiscount)</f>
        <v>7837.568816</v>
      </c>
      <c r="T1203" s="32" t="n">
        <f aca="false">R1203*(1-VolumeDiscount)</f>
        <v>7125.06256</v>
      </c>
    </row>
    <row r="1204" customFormat="false" ht="15" hidden="false" customHeight="false" outlineLevel="0" collapsed="false">
      <c r="A1204" s="25" t="s">
        <v>2651</v>
      </c>
      <c r="B1204" s="25" t="s">
        <v>97</v>
      </c>
      <c r="C1204" s="25" t="s">
        <v>51</v>
      </c>
      <c r="D1204" s="25" t="s">
        <v>2652</v>
      </c>
      <c r="E1204" s="25" t="s">
        <v>2608</v>
      </c>
      <c r="F1204" s="25" t="s">
        <v>2653</v>
      </c>
      <c r="G1204" s="25" t="s">
        <v>35</v>
      </c>
      <c r="H1204" s="25" t="s">
        <v>65</v>
      </c>
      <c r="I1204" s="25" t="s">
        <v>190</v>
      </c>
      <c r="J1204" s="25" t="s">
        <v>685</v>
      </c>
      <c r="K1204" s="25" t="s">
        <v>192</v>
      </c>
      <c r="L1204" s="25" t="s">
        <v>30</v>
      </c>
      <c r="M1204" s="25" t="n">
        <v>1509</v>
      </c>
      <c r="N1204" s="25" t="n">
        <v>2090</v>
      </c>
      <c r="O1204" s="25"/>
      <c r="P1204" s="26" t="n">
        <f aca="false">(M1204*N1204/1000000)*(INDEX(AreaRate_Vals,MATCH(C1204,AreaRate_Keys,0))+IFERROR(INDEX(GlazingUpg_Vals,MATCH(H1204,GlazingUpg_Keys,0)),0))+INDEX(Hardware_Vals,MATCH("Doors",Hardware_Keys,0))</f>
        <v>7803.763</v>
      </c>
      <c r="Q1204" s="27" t="n">
        <f aca="false">INDEX(Markup_Vals,MATCH("Doors",MarkupCat_Keys,0))</f>
        <v>0.4</v>
      </c>
      <c r="R1204" s="28" t="n">
        <f aca="false">P1204*(1+Q1204)</f>
        <v>10925.2682</v>
      </c>
      <c r="S1204" s="28" t="n">
        <f aca="false">R1204*(1-TradeDiscount)</f>
        <v>9614.236016</v>
      </c>
      <c r="T1204" s="28" t="n">
        <f aca="false">R1204*(1-VolumeDiscount)</f>
        <v>8740.21456</v>
      </c>
    </row>
    <row r="1205" customFormat="false" ht="15" hidden="false" customHeight="false" outlineLevel="0" collapsed="false">
      <c r="A1205" s="29" t="s">
        <v>2654</v>
      </c>
      <c r="B1205" s="29" t="s">
        <v>97</v>
      </c>
      <c r="C1205" s="29" t="s">
        <v>51</v>
      </c>
      <c r="D1205" s="29" t="s">
        <v>2655</v>
      </c>
      <c r="E1205" s="29" t="s">
        <v>2608</v>
      </c>
      <c r="F1205" s="29" t="s">
        <v>2653</v>
      </c>
      <c r="G1205" s="29" t="s">
        <v>36</v>
      </c>
      <c r="H1205" s="29" t="s">
        <v>65</v>
      </c>
      <c r="I1205" s="29" t="s">
        <v>190</v>
      </c>
      <c r="J1205" s="29" t="s">
        <v>685</v>
      </c>
      <c r="K1205" s="29" t="s">
        <v>192</v>
      </c>
      <c r="L1205" s="29" t="s">
        <v>30</v>
      </c>
      <c r="M1205" s="29" t="n">
        <v>1509</v>
      </c>
      <c r="N1205" s="29" t="n">
        <v>2090</v>
      </c>
      <c r="O1205" s="29"/>
      <c r="P1205" s="30" t="n">
        <f aca="false">(M1205*N1205/1000000)*(INDEX(AreaRate_Vals,MATCH(C1205,AreaRate_Keys,0))+IFERROR(INDEX(GlazingUpg_Vals,MATCH(H1205,GlazingUpg_Keys,0)),0))+INDEX(Hardware_Vals,MATCH("Doors",Hardware_Keys,0))</f>
        <v>7803.763</v>
      </c>
      <c r="Q1205" s="31" t="n">
        <f aca="false">INDEX(Markup_Vals,MATCH("Doors",MarkupCat_Keys,0))</f>
        <v>0.4</v>
      </c>
      <c r="R1205" s="32" t="n">
        <f aca="false">P1205*(1+Q1205)</f>
        <v>10925.2682</v>
      </c>
      <c r="S1205" s="32" t="n">
        <f aca="false">R1205*(1-TradeDiscount)</f>
        <v>9614.236016</v>
      </c>
      <c r="T1205" s="32" t="n">
        <f aca="false">R1205*(1-VolumeDiscount)</f>
        <v>8740.21456</v>
      </c>
    </row>
    <row r="1206" customFormat="false" ht="15" hidden="false" customHeight="false" outlineLevel="0" collapsed="false">
      <c r="A1206" s="25" t="s">
        <v>2656</v>
      </c>
      <c r="B1206" s="25" t="s">
        <v>97</v>
      </c>
      <c r="C1206" s="25" t="s">
        <v>51</v>
      </c>
      <c r="D1206" s="25" t="s">
        <v>2657</v>
      </c>
      <c r="E1206" s="25" t="s">
        <v>2608</v>
      </c>
      <c r="F1206" s="25" t="s">
        <v>2653</v>
      </c>
      <c r="G1206" s="25" t="s">
        <v>37</v>
      </c>
      <c r="H1206" s="25" t="s">
        <v>65</v>
      </c>
      <c r="I1206" s="25" t="s">
        <v>190</v>
      </c>
      <c r="J1206" s="25" t="s">
        <v>685</v>
      </c>
      <c r="K1206" s="25" t="s">
        <v>192</v>
      </c>
      <c r="L1206" s="25" t="s">
        <v>30</v>
      </c>
      <c r="M1206" s="25" t="n">
        <v>1509</v>
      </c>
      <c r="N1206" s="25" t="n">
        <v>2090</v>
      </c>
      <c r="O1206" s="25"/>
      <c r="P1206" s="26" t="n">
        <f aca="false">(M1206*N1206/1000000)*(INDEX(AreaRate_Vals,MATCH(C1206,AreaRate_Keys,0))+IFERROR(INDEX(GlazingUpg_Vals,MATCH(H1206,GlazingUpg_Keys,0)),0))+INDEX(Hardware_Vals,MATCH("Doors",Hardware_Keys,0))</f>
        <v>7803.763</v>
      </c>
      <c r="Q1206" s="27" t="n">
        <f aca="false">INDEX(Markup_Vals,MATCH("Doors",MarkupCat_Keys,0))</f>
        <v>0.4</v>
      </c>
      <c r="R1206" s="28" t="n">
        <f aca="false">P1206*(1+Q1206)</f>
        <v>10925.2682</v>
      </c>
      <c r="S1206" s="28" t="n">
        <f aca="false">R1206*(1-TradeDiscount)</f>
        <v>9614.236016</v>
      </c>
      <c r="T1206" s="28" t="n">
        <f aca="false">R1206*(1-VolumeDiscount)</f>
        <v>8740.21456</v>
      </c>
    </row>
    <row r="1207" customFormat="false" ht="15" hidden="false" customHeight="false" outlineLevel="0" collapsed="false">
      <c r="A1207" s="29" t="s">
        <v>2658</v>
      </c>
      <c r="B1207" s="29" t="s">
        <v>97</v>
      </c>
      <c r="C1207" s="29" t="s">
        <v>51</v>
      </c>
      <c r="D1207" s="29" t="s">
        <v>2659</v>
      </c>
      <c r="E1207" s="29" t="s">
        <v>2608</v>
      </c>
      <c r="F1207" s="29" t="s">
        <v>2653</v>
      </c>
      <c r="G1207" s="29" t="s">
        <v>39</v>
      </c>
      <c r="H1207" s="29" t="s">
        <v>65</v>
      </c>
      <c r="I1207" s="29" t="s">
        <v>190</v>
      </c>
      <c r="J1207" s="29" t="s">
        <v>685</v>
      </c>
      <c r="K1207" s="29" t="s">
        <v>192</v>
      </c>
      <c r="L1207" s="29" t="s">
        <v>30</v>
      </c>
      <c r="M1207" s="29" t="n">
        <v>1509</v>
      </c>
      <c r="N1207" s="29" t="n">
        <v>2090</v>
      </c>
      <c r="O1207" s="29"/>
      <c r="P1207" s="30" t="n">
        <f aca="false">(M1207*N1207/1000000)*(INDEX(AreaRate_Vals,MATCH(C1207,AreaRate_Keys,0))+IFERROR(INDEX(GlazingUpg_Vals,MATCH(H1207,GlazingUpg_Keys,0)),0))+INDEX(Hardware_Vals,MATCH("Doors",Hardware_Keys,0))</f>
        <v>7803.763</v>
      </c>
      <c r="Q1207" s="31" t="n">
        <f aca="false">INDEX(Markup_Vals,MATCH("Doors",MarkupCat_Keys,0))</f>
        <v>0.4</v>
      </c>
      <c r="R1207" s="32" t="n">
        <f aca="false">P1207*(1+Q1207)</f>
        <v>10925.2682</v>
      </c>
      <c r="S1207" s="32" t="n">
        <f aca="false">R1207*(1-TradeDiscount)</f>
        <v>9614.236016</v>
      </c>
      <c r="T1207" s="32" t="n">
        <f aca="false">R1207*(1-VolumeDiscount)</f>
        <v>8740.21456</v>
      </c>
    </row>
    <row r="1208" customFormat="false" ht="15" hidden="false" customHeight="false" outlineLevel="0" collapsed="false">
      <c r="A1208" s="25" t="s">
        <v>2660</v>
      </c>
      <c r="B1208" s="25" t="s">
        <v>97</v>
      </c>
      <c r="C1208" s="25" t="s">
        <v>51</v>
      </c>
      <c r="D1208" s="25" t="s">
        <v>2661</v>
      </c>
      <c r="E1208" s="25" t="s">
        <v>2608</v>
      </c>
      <c r="F1208" s="25" t="s">
        <v>2653</v>
      </c>
      <c r="G1208" s="25" t="s">
        <v>38</v>
      </c>
      <c r="H1208" s="25" t="s">
        <v>65</v>
      </c>
      <c r="I1208" s="25" t="s">
        <v>190</v>
      </c>
      <c r="J1208" s="25" t="s">
        <v>685</v>
      </c>
      <c r="K1208" s="25" t="s">
        <v>192</v>
      </c>
      <c r="L1208" s="25" t="s">
        <v>30</v>
      </c>
      <c r="M1208" s="25" t="n">
        <v>1509</v>
      </c>
      <c r="N1208" s="25" t="n">
        <v>2090</v>
      </c>
      <c r="O1208" s="25"/>
      <c r="P1208" s="26" t="n">
        <f aca="false">(M1208*N1208/1000000)*(INDEX(AreaRate_Vals,MATCH(C1208,AreaRate_Keys,0))+IFERROR(INDEX(GlazingUpg_Vals,MATCH(H1208,GlazingUpg_Keys,0)),0))+INDEX(Hardware_Vals,MATCH("Doors",Hardware_Keys,0))</f>
        <v>7803.763</v>
      </c>
      <c r="Q1208" s="27" t="n">
        <f aca="false">INDEX(Markup_Vals,MATCH("Doors",MarkupCat_Keys,0))</f>
        <v>0.4</v>
      </c>
      <c r="R1208" s="28" t="n">
        <f aca="false">P1208*(1+Q1208)</f>
        <v>10925.2682</v>
      </c>
      <c r="S1208" s="28" t="n">
        <f aca="false">R1208*(1-TradeDiscount)</f>
        <v>9614.236016</v>
      </c>
      <c r="T1208" s="28" t="n">
        <f aca="false">R1208*(1-VolumeDiscount)</f>
        <v>8740.21456</v>
      </c>
    </row>
    <row r="1209" customFormat="false" ht="15" hidden="false" customHeight="false" outlineLevel="0" collapsed="false">
      <c r="A1209" s="29" t="s">
        <v>2662</v>
      </c>
      <c r="B1209" s="29" t="s">
        <v>97</v>
      </c>
      <c r="C1209" s="29" t="s">
        <v>51</v>
      </c>
      <c r="D1209" s="29" t="s">
        <v>2663</v>
      </c>
      <c r="E1209" s="29" t="s">
        <v>2608</v>
      </c>
      <c r="F1209" s="29" t="s">
        <v>1796</v>
      </c>
      <c r="G1209" s="29" t="s">
        <v>35</v>
      </c>
      <c r="H1209" s="29" t="s">
        <v>65</v>
      </c>
      <c r="I1209" s="29" t="s">
        <v>190</v>
      </c>
      <c r="J1209" s="29" t="s">
        <v>685</v>
      </c>
      <c r="K1209" s="29" t="s">
        <v>192</v>
      </c>
      <c r="L1209" s="29" t="s">
        <v>30</v>
      </c>
      <c r="M1209" s="29" t="n">
        <v>1809</v>
      </c>
      <c r="N1209" s="29" t="n">
        <v>2090</v>
      </c>
      <c r="O1209" s="29"/>
      <c r="P1209" s="30" t="n">
        <f aca="false">(M1209*N1209/1000000)*(INDEX(AreaRate_Vals,MATCH(C1209,AreaRate_Keys,0))+IFERROR(INDEX(GlazingUpg_Vals,MATCH(H1209,GlazingUpg_Keys,0)),0))+INDEX(Hardware_Vals,MATCH("Doors",Hardware_Keys,0))</f>
        <v>9245.863</v>
      </c>
      <c r="Q1209" s="31" t="n">
        <f aca="false">INDEX(Markup_Vals,MATCH("Doors",MarkupCat_Keys,0))</f>
        <v>0.4</v>
      </c>
      <c r="R1209" s="32" t="n">
        <f aca="false">P1209*(1+Q1209)</f>
        <v>12944.2082</v>
      </c>
      <c r="S1209" s="32" t="n">
        <f aca="false">R1209*(1-TradeDiscount)</f>
        <v>11390.903216</v>
      </c>
      <c r="T1209" s="32" t="n">
        <f aca="false">R1209*(1-VolumeDiscount)</f>
        <v>10355.36656</v>
      </c>
    </row>
    <row r="1210" customFormat="false" ht="15" hidden="false" customHeight="false" outlineLevel="0" collapsed="false">
      <c r="A1210" s="25" t="s">
        <v>2664</v>
      </c>
      <c r="B1210" s="25" t="s">
        <v>97</v>
      </c>
      <c r="C1210" s="25" t="s">
        <v>51</v>
      </c>
      <c r="D1210" s="25" t="s">
        <v>2665</v>
      </c>
      <c r="E1210" s="25" t="s">
        <v>2608</v>
      </c>
      <c r="F1210" s="25" t="s">
        <v>1796</v>
      </c>
      <c r="G1210" s="25" t="s">
        <v>36</v>
      </c>
      <c r="H1210" s="25" t="s">
        <v>65</v>
      </c>
      <c r="I1210" s="25" t="s">
        <v>190</v>
      </c>
      <c r="J1210" s="25" t="s">
        <v>685</v>
      </c>
      <c r="K1210" s="25" t="s">
        <v>192</v>
      </c>
      <c r="L1210" s="25" t="s">
        <v>30</v>
      </c>
      <c r="M1210" s="25" t="n">
        <v>1809</v>
      </c>
      <c r="N1210" s="25" t="n">
        <v>2090</v>
      </c>
      <c r="O1210" s="25"/>
      <c r="P1210" s="26" t="n">
        <f aca="false">(M1210*N1210/1000000)*(INDEX(AreaRate_Vals,MATCH(C1210,AreaRate_Keys,0))+IFERROR(INDEX(GlazingUpg_Vals,MATCH(H1210,GlazingUpg_Keys,0)),0))+INDEX(Hardware_Vals,MATCH("Doors",Hardware_Keys,0))</f>
        <v>9245.863</v>
      </c>
      <c r="Q1210" s="27" t="n">
        <f aca="false">INDEX(Markup_Vals,MATCH("Doors",MarkupCat_Keys,0))</f>
        <v>0.4</v>
      </c>
      <c r="R1210" s="28" t="n">
        <f aca="false">P1210*(1+Q1210)</f>
        <v>12944.2082</v>
      </c>
      <c r="S1210" s="28" t="n">
        <f aca="false">R1210*(1-TradeDiscount)</f>
        <v>11390.903216</v>
      </c>
      <c r="T1210" s="28" t="n">
        <f aca="false">R1210*(1-VolumeDiscount)</f>
        <v>10355.36656</v>
      </c>
    </row>
    <row r="1211" customFormat="false" ht="15" hidden="false" customHeight="false" outlineLevel="0" collapsed="false">
      <c r="A1211" s="29" t="s">
        <v>2666</v>
      </c>
      <c r="B1211" s="29" t="s">
        <v>97</v>
      </c>
      <c r="C1211" s="29" t="s">
        <v>51</v>
      </c>
      <c r="D1211" s="29" t="s">
        <v>2667</v>
      </c>
      <c r="E1211" s="29" t="s">
        <v>2608</v>
      </c>
      <c r="F1211" s="29" t="s">
        <v>1796</v>
      </c>
      <c r="G1211" s="29" t="s">
        <v>37</v>
      </c>
      <c r="H1211" s="29" t="s">
        <v>65</v>
      </c>
      <c r="I1211" s="29" t="s">
        <v>190</v>
      </c>
      <c r="J1211" s="29" t="s">
        <v>685</v>
      </c>
      <c r="K1211" s="29" t="s">
        <v>192</v>
      </c>
      <c r="L1211" s="29" t="s">
        <v>30</v>
      </c>
      <c r="M1211" s="29" t="n">
        <v>1809</v>
      </c>
      <c r="N1211" s="29" t="n">
        <v>2090</v>
      </c>
      <c r="O1211" s="29"/>
      <c r="P1211" s="30" t="n">
        <f aca="false">(M1211*N1211/1000000)*(INDEX(AreaRate_Vals,MATCH(C1211,AreaRate_Keys,0))+IFERROR(INDEX(GlazingUpg_Vals,MATCH(H1211,GlazingUpg_Keys,0)),0))+INDEX(Hardware_Vals,MATCH("Doors",Hardware_Keys,0))</f>
        <v>9245.863</v>
      </c>
      <c r="Q1211" s="31" t="n">
        <f aca="false">INDEX(Markup_Vals,MATCH("Doors",MarkupCat_Keys,0))</f>
        <v>0.4</v>
      </c>
      <c r="R1211" s="32" t="n">
        <f aca="false">P1211*(1+Q1211)</f>
        <v>12944.2082</v>
      </c>
      <c r="S1211" s="32" t="n">
        <f aca="false">R1211*(1-TradeDiscount)</f>
        <v>11390.903216</v>
      </c>
      <c r="T1211" s="32" t="n">
        <f aca="false">R1211*(1-VolumeDiscount)</f>
        <v>10355.36656</v>
      </c>
    </row>
    <row r="1212" customFormat="false" ht="15" hidden="false" customHeight="false" outlineLevel="0" collapsed="false">
      <c r="A1212" s="25" t="s">
        <v>2668</v>
      </c>
      <c r="B1212" s="25" t="s">
        <v>97</v>
      </c>
      <c r="C1212" s="25" t="s">
        <v>51</v>
      </c>
      <c r="D1212" s="25" t="s">
        <v>2669</v>
      </c>
      <c r="E1212" s="25" t="s">
        <v>2608</v>
      </c>
      <c r="F1212" s="25" t="s">
        <v>1796</v>
      </c>
      <c r="G1212" s="25" t="s">
        <v>39</v>
      </c>
      <c r="H1212" s="25" t="s">
        <v>65</v>
      </c>
      <c r="I1212" s="25" t="s">
        <v>190</v>
      </c>
      <c r="J1212" s="25" t="s">
        <v>685</v>
      </c>
      <c r="K1212" s="25" t="s">
        <v>192</v>
      </c>
      <c r="L1212" s="25" t="s">
        <v>30</v>
      </c>
      <c r="M1212" s="25" t="n">
        <v>1809</v>
      </c>
      <c r="N1212" s="25" t="n">
        <v>2090</v>
      </c>
      <c r="O1212" s="25"/>
      <c r="P1212" s="26" t="n">
        <f aca="false">(M1212*N1212/1000000)*(INDEX(AreaRate_Vals,MATCH(C1212,AreaRate_Keys,0))+IFERROR(INDEX(GlazingUpg_Vals,MATCH(H1212,GlazingUpg_Keys,0)),0))+INDEX(Hardware_Vals,MATCH("Doors",Hardware_Keys,0))</f>
        <v>9245.863</v>
      </c>
      <c r="Q1212" s="27" t="n">
        <f aca="false">INDEX(Markup_Vals,MATCH("Doors",MarkupCat_Keys,0))</f>
        <v>0.4</v>
      </c>
      <c r="R1212" s="28" t="n">
        <f aca="false">P1212*(1+Q1212)</f>
        <v>12944.2082</v>
      </c>
      <c r="S1212" s="28" t="n">
        <f aca="false">R1212*(1-TradeDiscount)</f>
        <v>11390.903216</v>
      </c>
      <c r="T1212" s="28" t="n">
        <f aca="false">R1212*(1-VolumeDiscount)</f>
        <v>10355.36656</v>
      </c>
    </row>
    <row r="1213" customFormat="false" ht="15" hidden="false" customHeight="false" outlineLevel="0" collapsed="false">
      <c r="A1213" s="29" t="s">
        <v>2670</v>
      </c>
      <c r="B1213" s="29" t="s">
        <v>97</v>
      </c>
      <c r="C1213" s="29" t="s">
        <v>51</v>
      </c>
      <c r="D1213" s="29" t="s">
        <v>2671</v>
      </c>
      <c r="E1213" s="29" t="s">
        <v>2608</v>
      </c>
      <c r="F1213" s="29" t="s">
        <v>1796</v>
      </c>
      <c r="G1213" s="29" t="s">
        <v>38</v>
      </c>
      <c r="H1213" s="29" t="s">
        <v>65</v>
      </c>
      <c r="I1213" s="29" t="s">
        <v>190</v>
      </c>
      <c r="J1213" s="29" t="s">
        <v>685</v>
      </c>
      <c r="K1213" s="29" t="s">
        <v>192</v>
      </c>
      <c r="L1213" s="29" t="s">
        <v>30</v>
      </c>
      <c r="M1213" s="29" t="n">
        <v>1809</v>
      </c>
      <c r="N1213" s="29" t="n">
        <v>2090</v>
      </c>
      <c r="O1213" s="29"/>
      <c r="P1213" s="30" t="n">
        <f aca="false">(M1213*N1213/1000000)*(INDEX(AreaRate_Vals,MATCH(C1213,AreaRate_Keys,0))+IFERROR(INDEX(GlazingUpg_Vals,MATCH(H1213,GlazingUpg_Keys,0)),0))+INDEX(Hardware_Vals,MATCH("Doors",Hardware_Keys,0))</f>
        <v>9245.863</v>
      </c>
      <c r="Q1213" s="31" t="n">
        <f aca="false">INDEX(Markup_Vals,MATCH("Doors",MarkupCat_Keys,0))</f>
        <v>0.4</v>
      </c>
      <c r="R1213" s="32" t="n">
        <f aca="false">P1213*(1+Q1213)</f>
        <v>12944.2082</v>
      </c>
      <c r="S1213" s="32" t="n">
        <f aca="false">R1213*(1-TradeDiscount)</f>
        <v>11390.903216</v>
      </c>
      <c r="T1213" s="32" t="n">
        <f aca="false">R1213*(1-VolumeDiscount)</f>
        <v>10355.36656</v>
      </c>
    </row>
    <row r="1214" customFormat="false" ht="15" hidden="false" customHeight="false" outlineLevel="0" collapsed="false">
      <c r="A1214" s="25" t="s">
        <v>2672</v>
      </c>
      <c r="B1214" s="25" t="s">
        <v>97</v>
      </c>
      <c r="C1214" s="25" t="s">
        <v>51</v>
      </c>
      <c r="D1214" s="25" t="s">
        <v>2673</v>
      </c>
      <c r="E1214" s="25" t="s">
        <v>2608</v>
      </c>
      <c r="F1214" s="25" t="s">
        <v>2674</v>
      </c>
      <c r="G1214" s="25" t="s">
        <v>35</v>
      </c>
      <c r="H1214" s="25" t="s">
        <v>65</v>
      </c>
      <c r="I1214" s="25" t="s">
        <v>190</v>
      </c>
      <c r="J1214" s="25" t="s">
        <v>685</v>
      </c>
      <c r="K1214" s="25" t="s">
        <v>298</v>
      </c>
      <c r="L1214" s="25" t="s">
        <v>30</v>
      </c>
      <c r="M1214" s="25" t="n">
        <v>2109</v>
      </c>
      <c r="N1214" s="25" t="n">
        <v>2090</v>
      </c>
      <c r="O1214" s="25"/>
      <c r="P1214" s="26" t="n">
        <f aca="false">(M1214*N1214/1000000)*(INDEX(AreaRate_Vals,MATCH(C1214,AreaRate_Keys,0))+IFERROR(INDEX(GlazingUpg_Vals,MATCH(H1214,GlazingUpg_Keys,0)),0))+INDEX(Hardware_Vals,MATCH("Doors",Hardware_Keys,0))</f>
        <v>10687.963</v>
      </c>
      <c r="Q1214" s="27" t="n">
        <f aca="false">INDEX(Markup_Vals,MATCH("Doors",MarkupCat_Keys,0))</f>
        <v>0.4</v>
      </c>
      <c r="R1214" s="28" t="n">
        <f aca="false">P1214*(1+Q1214)</f>
        <v>14963.1482</v>
      </c>
      <c r="S1214" s="28" t="n">
        <f aca="false">R1214*(1-TradeDiscount)</f>
        <v>13167.570416</v>
      </c>
      <c r="T1214" s="28" t="n">
        <f aca="false">R1214*(1-VolumeDiscount)</f>
        <v>11970.51856</v>
      </c>
    </row>
    <row r="1215" customFormat="false" ht="15" hidden="false" customHeight="false" outlineLevel="0" collapsed="false">
      <c r="A1215" s="29" t="s">
        <v>2675</v>
      </c>
      <c r="B1215" s="29" t="s">
        <v>97</v>
      </c>
      <c r="C1215" s="29" t="s">
        <v>51</v>
      </c>
      <c r="D1215" s="29" t="s">
        <v>2676</v>
      </c>
      <c r="E1215" s="29" t="s">
        <v>2608</v>
      </c>
      <c r="F1215" s="29" t="s">
        <v>2674</v>
      </c>
      <c r="G1215" s="29" t="s">
        <v>36</v>
      </c>
      <c r="H1215" s="29" t="s">
        <v>65</v>
      </c>
      <c r="I1215" s="29" t="s">
        <v>190</v>
      </c>
      <c r="J1215" s="29" t="s">
        <v>685</v>
      </c>
      <c r="K1215" s="29" t="s">
        <v>298</v>
      </c>
      <c r="L1215" s="29" t="s">
        <v>30</v>
      </c>
      <c r="M1215" s="29" t="n">
        <v>2109</v>
      </c>
      <c r="N1215" s="29" t="n">
        <v>2090</v>
      </c>
      <c r="O1215" s="29"/>
      <c r="P1215" s="30" t="n">
        <f aca="false">(M1215*N1215/1000000)*(INDEX(AreaRate_Vals,MATCH(C1215,AreaRate_Keys,0))+IFERROR(INDEX(GlazingUpg_Vals,MATCH(H1215,GlazingUpg_Keys,0)),0))+INDEX(Hardware_Vals,MATCH("Doors",Hardware_Keys,0))</f>
        <v>10687.963</v>
      </c>
      <c r="Q1215" s="31" t="n">
        <f aca="false">INDEX(Markup_Vals,MATCH("Doors",MarkupCat_Keys,0))</f>
        <v>0.4</v>
      </c>
      <c r="R1215" s="32" t="n">
        <f aca="false">P1215*(1+Q1215)</f>
        <v>14963.1482</v>
      </c>
      <c r="S1215" s="32" t="n">
        <f aca="false">R1215*(1-TradeDiscount)</f>
        <v>13167.570416</v>
      </c>
      <c r="T1215" s="32" t="n">
        <f aca="false">R1215*(1-VolumeDiscount)</f>
        <v>11970.51856</v>
      </c>
    </row>
    <row r="1216" customFormat="false" ht="15" hidden="false" customHeight="false" outlineLevel="0" collapsed="false">
      <c r="A1216" s="25" t="s">
        <v>2677</v>
      </c>
      <c r="B1216" s="25" t="s">
        <v>97</v>
      </c>
      <c r="C1216" s="25" t="s">
        <v>51</v>
      </c>
      <c r="D1216" s="25" t="s">
        <v>2678</v>
      </c>
      <c r="E1216" s="25" t="s">
        <v>2608</v>
      </c>
      <c r="F1216" s="25" t="s">
        <v>2674</v>
      </c>
      <c r="G1216" s="25" t="s">
        <v>37</v>
      </c>
      <c r="H1216" s="25" t="s">
        <v>65</v>
      </c>
      <c r="I1216" s="25" t="s">
        <v>190</v>
      </c>
      <c r="J1216" s="25" t="s">
        <v>685</v>
      </c>
      <c r="K1216" s="25" t="s">
        <v>298</v>
      </c>
      <c r="L1216" s="25" t="s">
        <v>30</v>
      </c>
      <c r="M1216" s="25" t="n">
        <v>2109</v>
      </c>
      <c r="N1216" s="25" t="n">
        <v>2090</v>
      </c>
      <c r="O1216" s="25"/>
      <c r="P1216" s="26" t="n">
        <f aca="false">(M1216*N1216/1000000)*(INDEX(AreaRate_Vals,MATCH(C1216,AreaRate_Keys,0))+IFERROR(INDEX(GlazingUpg_Vals,MATCH(H1216,GlazingUpg_Keys,0)),0))+INDEX(Hardware_Vals,MATCH("Doors",Hardware_Keys,0))</f>
        <v>10687.963</v>
      </c>
      <c r="Q1216" s="27" t="n">
        <f aca="false">INDEX(Markup_Vals,MATCH("Doors",MarkupCat_Keys,0))</f>
        <v>0.4</v>
      </c>
      <c r="R1216" s="28" t="n">
        <f aca="false">P1216*(1+Q1216)</f>
        <v>14963.1482</v>
      </c>
      <c r="S1216" s="28" t="n">
        <f aca="false">R1216*(1-TradeDiscount)</f>
        <v>13167.570416</v>
      </c>
      <c r="T1216" s="28" t="n">
        <f aca="false">R1216*(1-VolumeDiscount)</f>
        <v>11970.51856</v>
      </c>
    </row>
    <row r="1217" customFormat="false" ht="15" hidden="false" customHeight="false" outlineLevel="0" collapsed="false">
      <c r="A1217" s="29" t="s">
        <v>2679</v>
      </c>
      <c r="B1217" s="29" t="s">
        <v>97</v>
      </c>
      <c r="C1217" s="29" t="s">
        <v>51</v>
      </c>
      <c r="D1217" s="29" t="s">
        <v>2680</v>
      </c>
      <c r="E1217" s="29" t="s">
        <v>2608</v>
      </c>
      <c r="F1217" s="29" t="s">
        <v>2674</v>
      </c>
      <c r="G1217" s="29" t="s">
        <v>39</v>
      </c>
      <c r="H1217" s="29" t="s">
        <v>65</v>
      </c>
      <c r="I1217" s="29" t="s">
        <v>190</v>
      </c>
      <c r="J1217" s="29" t="s">
        <v>685</v>
      </c>
      <c r="K1217" s="29" t="s">
        <v>298</v>
      </c>
      <c r="L1217" s="29" t="s">
        <v>30</v>
      </c>
      <c r="M1217" s="29" t="n">
        <v>2109</v>
      </c>
      <c r="N1217" s="29" t="n">
        <v>2090</v>
      </c>
      <c r="O1217" s="29"/>
      <c r="P1217" s="30" t="n">
        <f aca="false">(M1217*N1217/1000000)*(INDEX(AreaRate_Vals,MATCH(C1217,AreaRate_Keys,0))+IFERROR(INDEX(GlazingUpg_Vals,MATCH(H1217,GlazingUpg_Keys,0)),0))+INDEX(Hardware_Vals,MATCH("Doors",Hardware_Keys,0))</f>
        <v>10687.963</v>
      </c>
      <c r="Q1217" s="31" t="n">
        <f aca="false">INDEX(Markup_Vals,MATCH("Doors",MarkupCat_Keys,0))</f>
        <v>0.4</v>
      </c>
      <c r="R1217" s="32" t="n">
        <f aca="false">P1217*(1+Q1217)</f>
        <v>14963.1482</v>
      </c>
      <c r="S1217" s="32" t="n">
        <f aca="false">R1217*(1-TradeDiscount)</f>
        <v>13167.570416</v>
      </c>
      <c r="T1217" s="32" t="n">
        <f aca="false">R1217*(1-VolumeDiscount)</f>
        <v>11970.51856</v>
      </c>
    </row>
    <row r="1218" customFormat="false" ht="15" hidden="false" customHeight="false" outlineLevel="0" collapsed="false">
      <c r="A1218" s="25" t="s">
        <v>2681</v>
      </c>
      <c r="B1218" s="25" t="s">
        <v>97</v>
      </c>
      <c r="C1218" s="25" t="s">
        <v>51</v>
      </c>
      <c r="D1218" s="25" t="s">
        <v>2682</v>
      </c>
      <c r="E1218" s="25" t="s">
        <v>2608</v>
      </c>
      <c r="F1218" s="25" t="s">
        <v>2674</v>
      </c>
      <c r="G1218" s="25" t="s">
        <v>38</v>
      </c>
      <c r="H1218" s="25" t="s">
        <v>65</v>
      </c>
      <c r="I1218" s="25" t="s">
        <v>190</v>
      </c>
      <c r="J1218" s="25" t="s">
        <v>685</v>
      </c>
      <c r="K1218" s="25" t="s">
        <v>298</v>
      </c>
      <c r="L1218" s="25" t="s">
        <v>30</v>
      </c>
      <c r="M1218" s="25" t="n">
        <v>2109</v>
      </c>
      <c r="N1218" s="25" t="n">
        <v>2090</v>
      </c>
      <c r="O1218" s="25"/>
      <c r="P1218" s="26" t="n">
        <f aca="false">(M1218*N1218/1000000)*(INDEX(AreaRate_Vals,MATCH(C1218,AreaRate_Keys,0))+IFERROR(INDEX(GlazingUpg_Vals,MATCH(H1218,GlazingUpg_Keys,0)),0))+INDEX(Hardware_Vals,MATCH("Doors",Hardware_Keys,0))</f>
        <v>10687.963</v>
      </c>
      <c r="Q1218" s="27" t="n">
        <f aca="false">INDEX(Markup_Vals,MATCH("Doors",MarkupCat_Keys,0))</f>
        <v>0.4</v>
      </c>
      <c r="R1218" s="28" t="n">
        <f aca="false">P1218*(1+Q1218)</f>
        <v>14963.1482</v>
      </c>
      <c r="S1218" s="28" t="n">
        <f aca="false">R1218*(1-TradeDiscount)</f>
        <v>13167.570416</v>
      </c>
      <c r="T1218" s="28" t="n">
        <f aca="false">R1218*(1-VolumeDiscount)</f>
        <v>11970.51856</v>
      </c>
    </row>
    <row r="1219" customFormat="false" ht="15" hidden="false" customHeight="false" outlineLevel="0" collapsed="false">
      <c r="A1219" s="29" t="s">
        <v>2683</v>
      </c>
      <c r="B1219" s="29" t="s">
        <v>97</v>
      </c>
      <c r="C1219" s="29" t="s">
        <v>51</v>
      </c>
      <c r="D1219" s="29" t="s">
        <v>2684</v>
      </c>
      <c r="E1219" s="29" t="s">
        <v>2608</v>
      </c>
      <c r="F1219" s="29" t="s">
        <v>1817</v>
      </c>
      <c r="G1219" s="29" t="s">
        <v>35</v>
      </c>
      <c r="H1219" s="29" t="s">
        <v>65</v>
      </c>
      <c r="I1219" s="29" t="s">
        <v>190</v>
      </c>
      <c r="J1219" s="29" t="s">
        <v>685</v>
      </c>
      <c r="K1219" s="29" t="s">
        <v>298</v>
      </c>
      <c r="L1219" s="29" t="s">
        <v>30</v>
      </c>
      <c r="M1219" s="29" t="n">
        <v>2409</v>
      </c>
      <c r="N1219" s="29" t="n">
        <v>2090</v>
      </c>
      <c r="O1219" s="29"/>
      <c r="P1219" s="30" t="n">
        <f aca="false">(M1219*N1219/1000000)*(INDEX(AreaRate_Vals,MATCH(C1219,AreaRate_Keys,0))+IFERROR(INDEX(GlazingUpg_Vals,MATCH(H1219,GlazingUpg_Keys,0)),0))+INDEX(Hardware_Vals,MATCH("Doors",Hardware_Keys,0))</f>
        <v>12130.063</v>
      </c>
      <c r="Q1219" s="31" t="n">
        <f aca="false">INDEX(Markup_Vals,MATCH("Doors",MarkupCat_Keys,0))</f>
        <v>0.4</v>
      </c>
      <c r="R1219" s="32" t="n">
        <f aca="false">P1219*(1+Q1219)</f>
        <v>16982.0882</v>
      </c>
      <c r="S1219" s="32" t="n">
        <f aca="false">R1219*(1-TradeDiscount)</f>
        <v>14944.237616</v>
      </c>
      <c r="T1219" s="32" t="n">
        <f aca="false">R1219*(1-VolumeDiscount)</f>
        <v>13585.67056</v>
      </c>
    </row>
    <row r="1220" customFormat="false" ht="15" hidden="false" customHeight="false" outlineLevel="0" collapsed="false">
      <c r="A1220" s="25" t="s">
        <v>2685</v>
      </c>
      <c r="B1220" s="25" t="s">
        <v>97</v>
      </c>
      <c r="C1220" s="25" t="s">
        <v>51</v>
      </c>
      <c r="D1220" s="25" t="s">
        <v>2686</v>
      </c>
      <c r="E1220" s="25" t="s">
        <v>2608</v>
      </c>
      <c r="F1220" s="25" t="s">
        <v>1817</v>
      </c>
      <c r="G1220" s="25" t="s">
        <v>36</v>
      </c>
      <c r="H1220" s="25" t="s">
        <v>65</v>
      </c>
      <c r="I1220" s="25" t="s">
        <v>190</v>
      </c>
      <c r="J1220" s="25" t="s">
        <v>685</v>
      </c>
      <c r="K1220" s="25" t="s">
        <v>298</v>
      </c>
      <c r="L1220" s="25" t="s">
        <v>30</v>
      </c>
      <c r="M1220" s="25" t="n">
        <v>2409</v>
      </c>
      <c r="N1220" s="25" t="n">
        <v>2090</v>
      </c>
      <c r="O1220" s="25"/>
      <c r="P1220" s="26" t="n">
        <f aca="false">(M1220*N1220/1000000)*(INDEX(AreaRate_Vals,MATCH(C1220,AreaRate_Keys,0))+IFERROR(INDEX(GlazingUpg_Vals,MATCH(H1220,GlazingUpg_Keys,0)),0))+INDEX(Hardware_Vals,MATCH("Doors",Hardware_Keys,0))</f>
        <v>12130.063</v>
      </c>
      <c r="Q1220" s="27" t="n">
        <f aca="false">INDEX(Markup_Vals,MATCH("Doors",MarkupCat_Keys,0))</f>
        <v>0.4</v>
      </c>
      <c r="R1220" s="28" t="n">
        <f aca="false">P1220*(1+Q1220)</f>
        <v>16982.0882</v>
      </c>
      <c r="S1220" s="28" t="n">
        <f aca="false">R1220*(1-TradeDiscount)</f>
        <v>14944.237616</v>
      </c>
      <c r="T1220" s="28" t="n">
        <f aca="false">R1220*(1-VolumeDiscount)</f>
        <v>13585.67056</v>
      </c>
    </row>
    <row r="1221" customFormat="false" ht="15" hidden="false" customHeight="false" outlineLevel="0" collapsed="false">
      <c r="A1221" s="29" t="s">
        <v>2687</v>
      </c>
      <c r="B1221" s="29" t="s">
        <v>97</v>
      </c>
      <c r="C1221" s="29" t="s">
        <v>51</v>
      </c>
      <c r="D1221" s="29" t="s">
        <v>2688</v>
      </c>
      <c r="E1221" s="29" t="s">
        <v>2608</v>
      </c>
      <c r="F1221" s="29" t="s">
        <v>1817</v>
      </c>
      <c r="G1221" s="29" t="s">
        <v>37</v>
      </c>
      <c r="H1221" s="29" t="s">
        <v>65</v>
      </c>
      <c r="I1221" s="29" t="s">
        <v>190</v>
      </c>
      <c r="J1221" s="29" t="s">
        <v>685</v>
      </c>
      <c r="K1221" s="29" t="s">
        <v>298</v>
      </c>
      <c r="L1221" s="29" t="s">
        <v>30</v>
      </c>
      <c r="M1221" s="29" t="n">
        <v>2409</v>
      </c>
      <c r="N1221" s="29" t="n">
        <v>2090</v>
      </c>
      <c r="O1221" s="29"/>
      <c r="P1221" s="30" t="n">
        <f aca="false">(M1221*N1221/1000000)*(INDEX(AreaRate_Vals,MATCH(C1221,AreaRate_Keys,0))+IFERROR(INDEX(GlazingUpg_Vals,MATCH(H1221,GlazingUpg_Keys,0)),0))+INDEX(Hardware_Vals,MATCH("Doors",Hardware_Keys,0))</f>
        <v>12130.063</v>
      </c>
      <c r="Q1221" s="31" t="n">
        <f aca="false">INDEX(Markup_Vals,MATCH("Doors",MarkupCat_Keys,0))</f>
        <v>0.4</v>
      </c>
      <c r="R1221" s="32" t="n">
        <f aca="false">P1221*(1+Q1221)</f>
        <v>16982.0882</v>
      </c>
      <c r="S1221" s="32" t="n">
        <f aca="false">R1221*(1-TradeDiscount)</f>
        <v>14944.237616</v>
      </c>
      <c r="T1221" s="32" t="n">
        <f aca="false">R1221*(1-VolumeDiscount)</f>
        <v>13585.67056</v>
      </c>
    </row>
    <row r="1222" customFormat="false" ht="15" hidden="false" customHeight="false" outlineLevel="0" collapsed="false">
      <c r="A1222" s="25" t="s">
        <v>2689</v>
      </c>
      <c r="B1222" s="25" t="s">
        <v>97</v>
      </c>
      <c r="C1222" s="25" t="s">
        <v>51</v>
      </c>
      <c r="D1222" s="25" t="s">
        <v>2690</v>
      </c>
      <c r="E1222" s="25" t="s">
        <v>2608</v>
      </c>
      <c r="F1222" s="25" t="s">
        <v>1817</v>
      </c>
      <c r="G1222" s="25" t="s">
        <v>39</v>
      </c>
      <c r="H1222" s="25" t="s">
        <v>65</v>
      </c>
      <c r="I1222" s="25" t="s">
        <v>190</v>
      </c>
      <c r="J1222" s="25" t="s">
        <v>685</v>
      </c>
      <c r="K1222" s="25" t="s">
        <v>298</v>
      </c>
      <c r="L1222" s="25" t="s">
        <v>30</v>
      </c>
      <c r="M1222" s="25" t="n">
        <v>2409</v>
      </c>
      <c r="N1222" s="25" t="n">
        <v>2090</v>
      </c>
      <c r="O1222" s="25"/>
      <c r="P1222" s="26" t="n">
        <f aca="false">(M1222*N1222/1000000)*(INDEX(AreaRate_Vals,MATCH(C1222,AreaRate_Keys,0))+IFERROR(INDEX(GlazingUpg_Vals,MATCH(H1222,GlazingUpg_Keys,0)),0))+INDEX(Hardware_Vals,MATCH("Doors",Hardware_Keys,0))</f>
        <v>12130.063</v>
      </c>
      <c r="Q1222" s="27" t="n">
        <f aca="false">INDEX(Markup_Vals,MATCH("Doors",MarkupCat_Keys,0))</f>
        <v>0.4</v>
      </c>
      <c r="R1222" s="28" t="n">
        <f aca="false">P1222*(1+Q1222)</f>
        <v>16982.0882</v>
      </c>
      <c r="S1222" s="28" t="n">
        <f aca="false">R1222*(1-TradeDiscount)</f>
        <v>14944.237616</v>
      </c>
      <c r="T1222" s="28" t="n">
        <f aca="false">R1222*(1-VolumeDiscount)</f>
        <v>13585.67056</v>
      </c>
    </row>
    <row r="1223" customFormat="false" ht="15" hidden="false" customHeight="false" outlineLevel="0" collapsed="false">
      <c r="A1223" s="29" t="s">
        <v>2691</v>
      </c>
      <c r="B1223" s="29" t="s">
        <v>97</v>
      </c>
      <c r="C1223" s="29" t="s">
        <v>51</v>
      </c>
      <c r="D1223" s="29" t="s">
        <v>2692</v>
      </c>
      <c r="E1223" s="29" t="s">
        <v>2608</v>
      </c>
      <c r="F1223" s="29" t="s">
        <v>1817</v>
      </c>
      <c r="G1223" s="29" t="s">
        <v>38</v>
      </c>
      <c r="H1223" s="29" t="s">
        <v>65</v>
      </c>
      <c r="I1223" s="29" t="s">
        <v>190</v>
      </c>
      <c r="J1223" s="29" t="s">
        <v>685</v>
      </c>
      <c r="K1223" s="29" t="s">
        <v>298</v>
      </c>
      <c r="L1223" s="29" t="s">
        <v>30</v>
      </c>
      <c r="M1223" s="29" t="n">
        <v>2409</v>
      </c>
      <c r="N1223" s="29" t="n">
        <v>2090</v>
      </c>
      <c r="O1223" s="29"/>
      <c r="P1223" s="30" t="n">
        <f aca="false">(M1223*N1223/1000000)*(INDEX(AreaRate_Vals,MATCH(C1223,AreaRate_Keys,0))+IFERROR(INDEX(GlazingUpg_Vals,MATCH(H1223,GlazingUpg_Keys,0)),0))+INDEX(Hardware_Vals,MATCH("Doors",Hardware_Keys,0))</f>
        <v>12130.063</v>
      </c>
      <c r="Q1223" s="31" t="n">
        <f aca="false">INDEX(Markup_Vals,MATCH("Doors",MarkupCat_Keys,0))</f>
        <v>0.4</v>
      </c>
      <c r="R1223" s="32" t="n">
        <f aca="false">P1223*(1+Q1223)</f>
        <v>16982.0882</v>
      </c>
      <c r="S1223" s="32" t="n">
        <f aca="false">R1223*(1-TradeDiscount)</f>
        <v>14944.237616</v>
      </c>
      <c r="T1223" s="32" t="n">
        <f aca="false">R1223*(1-VolumeDiscount)</f>
        <v>13585.67056</v>
      </c>
    </row>
    <row r="1224" customFormat="false" ht="15" hidden="false" customHeight="false" outlineLevel="0" collapsed="false">
      <c r="A1224" s="25" t="s">
        <v>2693</v>
      </c>
      <c r="B1224" s="25" t="s">
        <v>97</v>
      </c>
      <c r="C1224" s="25" t="s">
        <v>51</v>
      </c>
      <c r="D1224" s="25" t="s">
        <v>2694</v>
      </c>
      <c r="E1224" s="25" t="s">
        <v>2695</v>
      </c>
      <c r="F1224" s="25" t="s">
        <v>2609</v>
      </c>
      <c r="G1224" s="25" t="s">
        <v>35</v>
      </c>
      <c r="H1224" s="25" t="s">
        <v>65</v>
      </c>
      <c r="I1224" s="25" t="s">
        <v>190</v>
      </c>
      <c r="J1224" s="25" t="s">
        <v>685</v>
      </c>
      <c r="K1224" s="25" t="s">
        <v>192</v>
      </c>
      <c r="L1224" s="25" t="s">
        <v>30</v>
      </c>
      <c r="M1224" s="25" t="n">
        <v>809</v>
      </c>
      <c r="N1224" s="25" t="n">
        <v>2009</v>
      </c>
      <c r="O1224" s="25"/>
      <c r="P1224" s="26" t="n">
        <f aca="false">(M1224*N1224/1000000)*(INDEX(AreaRate_Vals,MATCH(C1224,AreaRate_Keys,0))+IFERROR(INDEX(GlazingUpg_Vals,MATCH(H1224,GlazingUpg_Keys,0)),0))+INDEX(Hardware_Vals,MATCH("Doors",Hardware_Keys,0))</f>
        <v>4288.1463</v>
      </c>
      <c r="Q1224" s="27" t="n">
        <f aca="false">INDEX(Markup_Vals,MATCH("Doors",MarkupCat_Keys,0))</f>
        <v>0.4</v>
      </c>
      <c r="R1224" s="28" t="n">
        <f aca="false">P1224*(1+Q1224)</f>
        <v>6003.40482</v>
      </c>
      <c r="S1224" s="28" t="n">
        <f aca="false">R1224*(1-TradeDiscount)</f>
        <v>5282.9962416</v>
      </c>
      <c r="T1224" s="28" t="n">
        <f aca="false">R1224*(1-VolumeDiscount)</f>
        <v>4802.723856</v>
      </c>
    </row>
    <row r="1225" customFormat="false" ht="15" hidden="false" customHeight="false" outlineLevel="0" collapsed="false">
      <c r="A1225" s="29" t="s">
        <v>2696</v>
      </c>
      <c r="B1225" s="29" t="s">
        <v>97</v>
      </c>
      <c r="C1225" s="29" t="s">
        <v>51</v>
      </c>
      <c r="D1225" s="29" t="s">
        <v>2697</v>
      </c>
      <c r="E1225" s="29" t="s">
        <v>2695</v>
      </c>
      <c r="F1225" s="29" t="s">
        <v>2609</v>
      </c>
      <c r="G1225" s="29" t="s">
        <v>36</v>
      </c>
      <c r="H1225" s="29" t="s">
        <v>65</v>
      </c>
      <c r="I1225" s="29" t="s">
        <v>190</v>
      </c>
      <c r="J1225" s="29" t="s">
        <v>685</v>
      </c>
      <c r="K1225" s="29" t="s">
        <v>192</v>
      </c>
      <c r="L1225" s="29" t="s">
        <v>30</v>
      </c>
      <c r="M1225" s="29" t="n">
        <v>809</v>
      </c>
      <c r="N1225" s="29" t="n">
        <v>2009</v>
      </c>
      <c r="O1225" s="29"/>
      <c r="P1225" s="30" t="n">
        <f aca="false">(M1225*N1225/1000000)*(INDEX(AreaRate_Vals,MATCH(C1225,AreaRate_Keys,0))+IFERROR(INDEX(GlazingUpg_Vals,MATCH(H1225,GlazingUpg_Keys,0)),0))+INDEX(Hardware_Vals,MATCH("Doors",Hardware_Keys,0))</f>
        <v>4288.1463</v>
      </c>
      <c r="Q1225" s="31" t="n">
        <f aca="false">INDEX(Markup_Vals,MATCH("Doors",MarkupCat_Keys,0))</f>
        <v>0.4</v>
      </c>
      <c r="R1225" s="32" t="n">
        <f aca="false">P1225*(1+Q1225)</f>
        <v>6003.40482</v>
      </c>
      <c r="S1225" s="32" t="n">
        <f aca="false">R1225*(1-TradeDiscount)</f>
        <v>5282.9962416</v>
      </c>
      <c r="T1225" s="32" t="n">
        <f aca="false">R1225*(1-VolumeDiscount)</f>
        <v>4802.723856</v>
      </c>
    </row>
    <row r="1226" customFormat="false" ht="15" hidden="false" customHeight="false" outlineLevel="0" collapsed="false">
      <c r="A1226" s="25" t="s">
        <v>2698</v>
      </c>
      <c r="B1226" s="25" t="s">
        <v>97</v>
      </c>
      <c r="C1226" s="25" t="s">
        <v>51</v>
      </c>
      <c r="D1226" s="25" t="s">
        <v>2699</v>
      </c>
      <c r="E1226" s="25" t="s">
        <v>2695</v>
      </c>
      <c r="F1226" s="25" t="s">
        <v>2609</v>
      </c>
      <c r="G1226" s="25" t="s">
        <v>37</v>
      </c>
      <c r="H1226" s="25" t="s">
        <v>65</v>
      </c>
      <c r="I1226" s="25" t="s">
        <v>190</v>
      </c>
      <c r="J1226" s="25" t="s">
        <v>685</v>
      </c>
      <c r="K1226" s="25" t="s">
        <v>192</v>
      </c>
      <c r="L1226" s="25" t="s">
        <v>30</v>
      </c>
      <c r="M1226" s="25" t="n">
        <v>809</v>
      </c>
      <c r="N1226" s="25" t="n">
        <v>2009</v>
      </c>
      <c r="O1226" s="25"/>
      <c r="P1226" s="26" t="n">
        <f aca="false">(M1226*N1226/1000000)*(INDEX(AreaRate_Vals,MATCH(C1226,AreaRate_Keys,0))+IFERROR(INDEX(GlazingUpg_Vals,MATCH(H1226,GlazingUpg_Keys,0)),0))+INDEX(Hardware_Vals,MATCH("Doors",Hardware_Keys,0))</f>
        <v>4288.1463</v>
      </c>
      <c r="Q1226" s="27" t="n">
        <f aca="false">INDEX(Markup_Vals,MATCH("Doors",MarkupCat_Keys,0))</f>
        <v>0.4</v>
      </c>
      <c r="R1226" s="28" t="n">
        <f aca="false">P1226*(1+Q1226)</f>
        <v>6003.40482</v>
      </c>
      <c r="S1226" s="28" t="n">
        <f aca="false">R1226*(1-TradeDiscount)</f>
        <v>5282.9962416</v>
      </c>
      <c r="T1226" s="28" t="n">
        <f aca="false">R1226*(1-VolumeDiscount)</f>
        <v>4802.723856</v>
      </c>
    </row>
    <row r="1227" customFormat="false" ht="15" hidden="false" customHeight="false" outlineLevel="0" collapsed="false">
      <c r="A1227" s="29" t="s">
        <v>2700</v>
      </c>
      <c r="B1227" s="29" t="s">
        <v>97</v>
      </c>
      <c r="C1227" s="29" t="s">
        <v>51</v>
      </c>
      <c r="D1227" s="29" t="s">
        <v>2701</v>
      </c>
      <c r="E1227" s="29" t="s">
        <v>2695</v>
      </c>
      <c r="F1227" s="29" t="s">
        <v>2609</v>
      </c>
      <c r="G1227" s="29" t="s">
        <v>39</v>
      </c>
      <c r="H1227" s="29" t="s">
        <v>65</v>
      </c>
      <c r="I1227" s="29" t="s">
        <v>190</v>
      </c>
      <c r="J1227" s="29" t="s">
        <v>685</v>
      </c>
      <c r="K1227" s="29" t="s">
        <v>192</v>
      </c>
      <c r="L1227" s="29" t="s">
        <v>30</v>
      </c>
      <c r="M1227" s="29" t="n">
        <v>809</v>
      </c>
      <c r="N1227" s="29" t="n">
        <v>2009</v>
      </c>
      <c r="O1227" s="29"/>
      <c r="P1227" s="30" t="n">
        <f aca="false">(M1227*N1227/1000000)*(INDEX(AreaRate_Vals,MATCH(C1227,AreaRate_Keys,0))+IFERROR(INDEX(GlazingUpg_Vals,MATCH(H1227,GlazingUpg_Keys,0)),0))+INDEX(Hardware_Vals,MATCH("Doors",Hardware_Keys,0))</f>
        <v>4288.1463</v>
      </c>
      <c r="Q1227" s="31" t="n">
        <f aca="false">INDEX(Markup_Vals,MATCH("Doors",MarkupCat_Keys,0))</f>
        <v>0.4</v>
      </c>
      <c r="R1227" s="32" t="n">
        <f aca="false">P1227*(1+Q1227)</f>
        <v>6003.40482</v>
      </c>
      <c r="S1227" s="32" t="n">
        <f aca="false">R1227*(1-TradeDiscount)</f>
        <v>5282.9962416</v>
      </c>
      <c r="T1227" s="32" t="n">
        <f aca="false">R1227*(1-VolumeDiscount)</f>
        <v>4802.723856</v>
      </c>
    </row>
    <row r="1228" customFormat="false" ht="15" hidden="false" customHeight="false" outlineLevel="0" collapsed="false">
      <c r="A1228" s="25" t="s">
        <v>2702</v>
      </c>
      <c r="B1228" s="25" t="s">
        <v>97</v>
      </c>
      <c r="C1228" s="25" t="s">
        <v>51</v>
      </c>
      <c r="D1228" s="25" t="s">
        <v>2703</v>
      </c>
      <c r="E1228" s="25" t="s">
        <v>2695</v>
      </c>
      <c r="F1228" s="25" t="s">
        <v>2609</v>
      </c>
      <c r="G1228" s="25" t="s">
        <v>38</v>
      </c>
      <c r="H1228" s="25" t="s">
        <v>65</v>
      </c>
      <c r="I1228" s="25" t="s">
        <v>190</v>
      </c>
      <c r="J1228" s="25" t="s">
        <v>685</v>
      </c>
      <c r="K1228" s="25" t="s">
        <v>192</v>
      </c>
      <c r="L1228" s="25" t="s">
        <v>30</v>
      </c>
      <c r="M1228" s="25" t="n">
        <v>809</v>
      </c>
      <c r="N1228" s="25" t="n">
        <v>2009</v>
      </c>
      <c r="O1228" s="25"/>
      <c r="P1228" s="26" t="n">
        <f aca="false">(M1228*N1228/1000000)*(INDEX(AreaRate_Vals,MATCH(C1228,AreaRate_Keys,0))+IFERROR(INDEX(GlazingUpg_Vals,MATCH(H1228,GlazingUpg_Keys,0)),0))+INDEX(Hardware_Vals,MATCH("Doors",Hardware_Keys,0))</f>
        <v>4288.1463</v>
      </c>
      <c r="Q1228" s="27" t="n">
        <f aca="false">INDEX(Markup_Vals,MATCH("Doors",MarkupCat_Keys,0))</f>
        <v>0.4</v>
      </c>
      <c r="R1228" s="28" t="n">
        <f aca="false">P1228*(1+Q1228)</f>
        <v>6003.40482</v>
      </c>
      <c r="S1228" s="28" t="n">
        <f aca="false">R1228*(1-TradeDiscount)</f>
        <v>5282.9962416</v>
      </c>
      <c r="T1228" s="28" t="n">
        <f aca="false">R1228*(1-VolumeDiscount)</f>
        <v>4802.723856</v>
      </c>
    </row>
    <row r="1229" customFormat="false" ht="15" hidden="false" customHeight="false" outlineLevel="0" collapsed="false">
      <c r="A1229" s="29" t="s">
        <v>2704</v>
      </c>
      <c r="B1229" s="29" t="s">
        <v>97</v>
      </c>
      <c r="C1229" s="29" t="s">
        <v>51</v>
      </c>
      <c r="D1229" s="29" t="s">
        <v>2705</v>
      </c>
      <c r="E1229" s="29" t="s">
        <v>2695</v>
      </c>
      <c r="F1229" s="29" t="s">
        <v>2620</v>
      </c>
      <c r="G1229" s="29" t="s">
        <v>35</v>
      </c>
      <c r="H1229" s="29" t="s">
        <v>65</v>
      </c>
      <c r="I1229" s="29" t="s">
        <v>190</v>
      </c>
      <c r="J1229" s="29" t="s">
        <v>685</v>
      </c>
      <c r="K1229" s="29" t="s">
        <v>192</v>
      </c>
      <c r="L1229" s="29" t="s">
        <v>30</v>
      </c>
      <c r="M1229" s="29" t="n">
        <v>909</v>
      </c>
      <c r="N1229" s="29" t="n">
        <v>2009</v>
      </c>
      <c r="O1229" s="29"/>
      <c r="P1229" s="30" t="n">
        <f aca="false">(M1229*N1229/1000000)*(INDEX(AreaRate_Vals,MATCH(C1229,AreaRate_Keys,0))+IFERROR(INDEX(GlazingUpg_Vals,MATCH(H1229,GlazingUpg_Keys,0)),0))+INDEX(Hardware_Vals,MATCH("Doors",Hardware_Keys,0))</f>
        <v>4750.2163</v>
      </c>
      <c r="Q1229" s="31" t="n">
        <f aca="false">INDEX(Markup_Vals,MATCH("Doors",MarkupCat_Keys,0))</f>
        <v>0.4</v>
      </c>
      <c r="R1229" s="32" t="n">
        <f aca="false">P1229*(1+Q1229)</f>
        <v>6650.30282</v>
      </c>
      <c r="S1229" s="32" t="n">
        <f aca="false">R1229*(1-TradeDiscount)</f>
        <v>5852.2664816</v>
      </c>
      <c r="T1229" s="32" t="n">
        <f aca="false">R1229*(1-VolumeDiscount)</f>
        <v>5320.242256</v>
      </c>
    </row>
    <row r="1230" customFormat="false" ht="15" hidden="false" customHeight="false" outlineLevel="0" collapsed="false">
      <c r="A1230" s="25" t="s">
        <v>2706</v>
      </c>
      <c r="B1230" s="25" t="s">
        <v>97</v>
      </c>
      <c r="C1230" s="25" t="s">
        <v>51</v>
      </c>
      <c r="D1230" s="25" t="s">
        <v>2707</v>
      </c>
      <c r="E1230" s="25" t="s">
        <v>2695</v>
      </c>
      <c r="F1230" s="25" t="s">
        <v>2620</v>
      </c>
      <c r="G1230" s="25" t="s">
        <v>36</v>
      </c>
      <c r="H1230" s="25" t="s">
        <v>65</v>
      </c>
      <c r="I1230" s="25" t="s">
        <v>190</v>
      </c>
      <c r="J1230" s="25" t="s">
        <v>685</v>
      </c>
      <c r="K1230" s="25" t="s">
        <v>192</v>
      </c>
      <c r="L1230" s="25" t="s">
        <v>30</v>
      </c>
      <c r="M1230" s="25" t="n">
        <v>909</v>
      </c>
      <c r="N1230" s="25" t="n">
        <v>2009</v>
      </c>
      <c r="O1230" s="25"/>
      <c r="P1230" s="26" t="n">
        <f aca="false">(M1230*N1230/1000000)*(INDEX(AreaRate_Vals,MATCH(C1230,AreaRate_Keys,0))+IFERROR(INDEX(GlazingUpg_Vals,MATCH(H1230,GlazingUpg_Keys,0)),0))+INDEX(Hardware_Vals,MATCH("Doors",Hardware_Keys,0))</f>
        <v>4750.2163</v>
      </c>
      <c r="Q1230" s="27" t="n">
        <f aca="false">INDEX(Markup_Vals,MATCH("Doors",MarkupCat_Keys,0))</f>
        <v>0.4</v>
      </c>
      <c r="R1230" s="28" t="n">
        <f aca="false">P1230*(1+Q1230)</f>
        <v>6650.30282</v>
      </c>
      <c r="S1230" s="28" t="n">
        <f aca="false">R1230*(1-TradeDiscount)</f>
        <v>5852.2664816</v>
      </c>
      <c r="T1230" s="28" t="n">
        <f aca="false">R1230*(1-VolumeDiscount)</f>
        <v>5320.242256</v>
      </c>
    </row>
    <row r="1231" customFormat="false" ht="15" hidden="false" customHeight="false" outlineLevel="0" collapsed="false">
      <c r="A1231" s="29" t="s">
        <v>2708</v>
      </c>
      <c r="B1231" s="29" t="s">
        <v>97</v>
      </c>
      <c r="C1231" s="29" t="s">
        <v>51</v>
      </c>
      <c r="D1231" s="29" t="s">
        <v>2709</v>
      </c>
      <c r="E1231" s="29" t="s">
        <v>2695</v>
      </c>
      <c r="F1231" s="29" t="s">
        <v>2620</v>
      </c>
      <c r="G1231" s="29" t="s">
        <v>37</v>
      </c>
      <c r="H1231" s="29" t="s">
        <v>65</v>
      </c>
      <c r="I1231" s="29" t="s">
        <v>190</v>
      </c>
      <c r="J1231" s="29" t="s">
        <v>685</v>
      </c>
      <c r="K1231" s="29" t="s">
        <v>192</v>
      </c>
      <c r="L1231" s="29" t="s">
        <v>30</v>
      </c>
      <c r="M1231" s="29" t="n">
        <v>909</v>
      </c>
      <c r="N1231" s="29" t="n">
        <v>2009</v>
      </c>
      <c r="O1231" s="29"/>
      <c r="P1231" s="30" t="n">
        <f aca="false">(M1231*N1231/1000000)*(INDEX(AreaRate_Vals,MATCH(C1231,AreaRate_Keys,0))+IFERROR(INDEX(GlazingUpg_Vals,MATCH(H1231,GlazingUpg_Keys,0)),0))+INDEX(Hardware_Vals,MATCH("Doors",Hardware_Keys,0))</f>
        <v>4750.2163</v>
      </c>
      <c r="Q1231" s="31" t="n">
        <f aca="false">INDEX(Markup_Vals,MATCH("Doors",MarkupCat_Keys,0))</f>
        <v>0.4</v>
      </c>
      <c r="R1231" s="32" t="n">
        <f aca="false">P1231*(1+Q1231)</f>
        <v>6650.30282</v>
      </c>
      <c r="S1231" s="32" t="n">
        <f aca="false">R1231*(1-TradeDiscount)</f>
        <v>5852.2664816</v>
      </c>
      <c r="T1231" s="32" t="n">
        <f aca="false">R1231*(1-VolumeDiscount)</f>
        <v>5320.242256</v>
      </c>
    </row>
    <row r="1232" customFormat="false" ht="15" hidden="false" customHeight="false" outlineLevel="0" collapsed="false">
      <c r="A1232" s="25" t="s">
        <v>2710</v>
      </c>
      <c r="B1232" s="25" t="s">
        <v>97</v>
      </c>
      <c r="C1232" s="25" t="s">
        <v>51</v>
      </c>
      <c r="D1232" s="25" t="s">
        <v>2711</v>
      </c>
      <c r="E1232" s="25" t="s">
        <v>2695</v>
      </c>
      <c r="F1232" s="25" t="s">
        <v>2620</v>
      </c>
      <c r="G1232" s="25" t="s">
        <v>39</v>
      </c>
      <c r="H1232" s="25" t="s">
        <v>65</v>
      </c>
      <c r="I1232" s="25" t="s">
        <v>190</v>
      </c>
      <c r="J1232" s="25" t="s">
        <v>685</v>
      </c>
      <c r="K1232" s="25" t="s">
        <v>192</v>
      </c>
      <c r="L1232" s="25" t="s">
        <v>30</v>
      </c>
      <c r="M1232" s="25" t="n">
        <v>909</v>
      </c>
      <c r="N1232" s="25" t="n">
        <v>2009</v>
      </c>
      <c r="O1232" s="25"/>
      <c r="P1232" s="26" t="n">
        <f aca="false">(M1232*N1232/1000000)*(INDEX(AreaRate_Vals,MATCH(C1232,AreaRate_Keys,0))+IFERROR(INDEX(GlazingUpg_Vals,MATCH(H1232,GlazingUpg_Keys,0)),0))+INDEX(Hardware_Vals,MATCH("Doors",Hardware_Keys,0))</f>
        <v>4750.2163</v>
      </c>
      <c r="Q1232" s="27" t="n">
        <f aca="false">INDEX(Markup_Vals,MATCH("Doors",MarkupCat_Keys,0))</f>
        <v>0.4</v>
      </c>
      <c r="R1232" s="28" t="n">
        <f aca="false">P1232*(1+Q1232)</f>
        <v>6650.30282</v>
      </c>
      <c r="S1232" s="28" t="n">
        <f aca="false">R1232*(1-TradeDiscount)</f>
        <v>5852.2664816</v>
      </c>
      <c r="T1232" s="28" t="n">
        <f aca="false">R1232*(1-VolumeDiscount)</f>
        <v>5320.242256</v>
      </c>
    </row>
    <row r="1233" customFormat="false" ht="15" hidden="false" customHeight="false" outlineLevel="0" collapsed="false">
      <c r="A1233" s="29" t="s">
        <v>2712</v>
      </c>
      <c r="B1233" s="29" t="s">
        <v>97</v>
      </c>
      <c r="C1233" s="29" t="s">
        <v>51</v>
      </c>
      <c r="D1233" s="29" t="s">
        <v>2713</v>
      </c>
      <c r="E1233" s="29" t="s">
        <v>2695</v>
      </c>
      <c r="F1233" s="29" t="s">
        <v>2620</v>
      </c>
      <c r="G1233" s="29" t="s">
        <v>38</v>
      </c>
      <c r="H1233" s="29" t="s">
        <v>65</v>
      </c>
      <c r="I1233" s="29" t="s">
        <v>190</v>
      </c>
      <c r="J1233" s="29" t="s">
        <v>685</v>
      </c>
      <c r="K1233" s="29" t="s">
        <v>192</v>
      </c>
      <c r="L1233" s="29" t="s">
        <v>30</v>
      </c>
      <c r="M1233" s="29" t="n">
        <v>909</v>
      </c>
      <c r="N1233" s="29" t="n">
        <v>2009</v>
      </c>
      <c r="O1233" s="29"/>
      <c r="P1233" s="30" t="n">
        <f aca="false">(M1233*N1233/1000000)*(INDEX(AreaRate_Vals,MATCH(C1233,AreaRate_Keys,0))+IFERROR(INDEX(GlazingUpg_Vals,MATCH(H1233,GlazingUpg_Keys,0)),0))+INDEX(Hardware_Vals,MATCH("Doors",Hardware_Keys,0))</f>
        <v>4750.2163</v>
      </c>
      <c r="Q1233" s="31" t="n">
        <f aca="false">INDEX(Markup_Vals,MATCH("Doors",MarkupCat_Keys,0))</f>
        <v>0.4</v>
      </c>
      <c r="R1233" s="32" t="n">
        <f aca="false">P1233*(1+Q1233)</f>
        <v>6650.30282</v>
      </c>
      <c r="S1233" s="32" t="n">
        <f aca="false">R1233*(1-TradeDiscount)</f>
        <v>5852.2664816</v>
      </c>
      <c r="T1233" s="32" t="n">
        <f aca="false">R1233*(1-VolumeDiscount)</f>
        <v>5320.242256</v>
      </c>
    </row>
    <row r="1234" customFormat="false" ht="15" hidden="false" customHeight="false" outlineLevel="0" collapsed="false">
      <c r="A1234" s="25" t="s">
        <v>2714</v>
      </c>
      <c r="B1234" s="25" t="s">
        <v>97</v>
      </c>
      <c r="C1234" s="25" t="s">
        <v>51</v>
      </c>
      <c r="D1234" s="25" t="s">
        <v>2715</v>
      </c>
      <c r="E1234" s="25" t="s">
        <v>2695</v>
      </c>
      <c r="F1234" s="25" t="s">
        <v>2631</v>
      </c>
      <c r="G1234" s="25" t="s">
        <v>35</v>
      </c>
      <c r="H1234" s="25" t="s">
        <v>65</v>
      </c>
      <c r="I1234" s="25" t="s">
        <v>190</v>
      </c>
      <c r="J1234" s="25" t="s">
        <v>685</v>
      </c>
      <c r="K1234" s="25" t="s">
        <v>192</v>
      </c>
      <c r="L1234" s="25" t="s">
        <v>30</v>
      </c>
      <c r="M1234" s="25" t="n">
        <v>909</v>
      </c>
      <c r="N1234" s="25" t="n">
        <v>2090</v>
      </c>
      <c r="O1234" s="25"/>
      <c r="P1234" s="26" t="n">
        <f aca="false">(M1234*N1234/1000000)*(INDEX(AreaRate_Vals,MATCH(C1234,AreaRate_Keys,0))+IFERROR(INDEX(GlazingUpg_Vals,MATCH(H1234,GlazingUpg_Keys,0)),0))+INDEX(Hardware_Vals,MATCH("Doors",Hardware_Keys,0))</f>
        <v>4919.563</v>
      </c>
      <c r="Q1234" s="27" t="n">
        <f aca="false">INDEX(Markup_Vals,MATCH("Doors",MarkupCat_Keys,0))</f>
        <v>0.4</v>
      </c>
      <c r="R1234" s="28" t="n">
        <f aca="false">P1234*(1+Q1234)</f>
        <v>6887.3882</v>
      </c>
      <c r="S1234" s="28" t="n">
        <f aca="false">R1234*(1-TradeDiscount)</f>
        <v>6060.901616</v>
      </c>
      <c r="T1234" s="28" t="n">
        <f aca="false">R1234*(1-VolumeDiscount)</f>
        <v>5509.91056</v>
      </c>
    </row>
    <row r="1235" customFormat="false" ht="15" hidden="false" customHeight="false" outlineLevel="0" collapsed="false">
      <c r="A1235" s="29" t="s">
        <v>2716</v>
      </c>
      <c r="B1235" s="29" t="s">
        <v>97</v>
      </c>
      <c r="C1235" s="29" t="s">
        <v>51</v>
      </c>
      <c r="D1235" s="29" t="s">
        <v>2717</v>
      </c>
      <c r="E1235" s="29" t="s">
        <v>2695</v>
      </c>
      <c r="F1235" s="29" t="s">
        <v>2631</v>
      </c>
      <c r="G1235" s="29" t="s">
        <v>36</v>
      </c>
      <c r="H1235" s="29" t="s">
        <v>65</v>
      </c>
      <c r="I1235" s="29" t="s">
        <v>190</v>
      </c>
      <c r="J1235" s="29" t="s">
        <v>685</v>
      </c>
      <c r="K1235" s="29" t="s">
        <v>192</v>
      </c>
      <c r="L1235" s="29" t="s">
        <v>30</v>
      </c>
      <c r="M1235" s="29" t="n">
        <v>909</v>
      </c>
      <c r="N1235" s="29" t="n">
        <v>2090</v>
      </c>
      <c r="O1235" s="29"/>
      <c r="P1235" s="30" t="n">
        <f aca="false">(M1235*N1235/1000000)*(INDEX(AreaRate_Vals,MATCH(C1235,AreaRate_Keys,0))+IFERROR(INDEX(GlazingUpg_Vals,MATCH(H1235,GlazingUpg_Keys,0)),0))+INDEX(Hardware_Vals,MATCH("Doors",Hardware_Keys,0))</f>
        <v>4919.563</v>
      </c>
      <c r="Q1235" s="31" t="n">
        <f aca="false">INDEX(Markup_Vals,MATCH("Doors",MarkupCat_Keys,0))</f>
        <v>0.4</v>
      </c>
      <c r="R1235" s="32" t="n">
        <f aca="false">P1235*(1+Q1235)</f>
        <v>6887.3882</v>
      </c>
      <c r="S1235" s="32" t="n">
        <f aca="false">R1235*(1-TradeDiscount)</f>
        <v>6060.901616</v>
      </c>
      <c r="T1235" s="32" t="n">
        <f aca="false">R1235*(1-VolumeDiscount)</f>
        <v>5509.91056</v>
      </c>
    </row>
    <row r="1236" customFormat="false" ht="15" hidden="false" customHeight="false" outlineLevel="0" collapsed="false">
      <c r="A1236" s="25" t="s">
        <v>2718</v>
      </c>
      <c r="B1236" s="25" t="s">
        <v>97</v>
      </c>
      <c r="C1236" s="25" t="s">
        <v>51</v>
      </c>
      <c r="D1236" s="25" t="s">
        <v>2719</v>
      </c>
      <c r="E1236" s="25" t="s">
        <v>2695</v>
      </c>
      <c r="F1236" s="25" t="s">
        <v>2631</v>
      </c>
      <c r="G1236" s="25" t="s">
        <v>37</v>
      </c>
      <c r="H1236" s="25" t="s">
        <v>65</v>
      </c>
      <c r="I1236" s="25" t="s">
        <v>190</v>
      </c>
      <c r="J1236" s="25" t="s">
        <v>685</v>
      </c>
      <c r="K1236" s="25" t="s">
        <v>192</v>
      </c>
      <c r="L1236" s="25" t="s">
        <v>30</v>
      </c>
      <c r="M1236" s="25" t="n">
        <v>909</v>
      </c>
      <c r="N1236" s="25" t="n">
        <v>2090</v>
      </c>
      <c r="O1236" s="25"/>
      <c r="P1236" s="26" t="n">
        <f aca="false">(M1236*N1236/1000000)*(INDEX(AreaRate_Vals,MATCH(C1236,AreaRate_Keys,0))+IFERROR(INDEX(GlazingUpg_Vals,MATCH(H1236,GlazingUpg_Keys,0)),0))+INDEX(Hardware_Vals,MATCH("Doors",Hardware_Keys,0))</f>
        <v>4919.563</v>
      </c>
      <c r="Q1236" s="27" t="n">
        <f aca="false">INDEX(Markup_Vals,MATCH("Doors",MarkupCat_Keys,0))</f>
        <v>0.4</v>
      </c>
      <c r="R1236" s="28" t="n">
        <f aca="false">P1236*(1+Q1236)</f>
        <v>6887.3882</v>
      </c>
      <c r="S1236" s="28" t="n">
        <f aca="false">R1236*(1-TradeDiscount)</f>
        <v>6060.901616</v>
      </c>
      <c r="T1236" s="28" t="n">
        <f aca="false">R1236*(1-VolumeDiscount)</f>
        <v>5509.91056</v>
      </c>
    </row>
    <row r="1237" customFormat="false" ht="15" hidden="false" customHeight="false" outlineLevel="0" collapsed="false">
      <c r="A1237" s="29" t="s">
        <v>2720</v>
      </c>
      <c r="B1237" s="29" t="s">
        <v>97</v>
      </c>
      <c r="C1237" s="29" t="s">
        <v>51</v>
      </c>
      <c r="D1237" s="29" t="s">
        <v>2721</v>
      </c>
      <c r="E1237" s="29" t="s">
        <v>2695</v>
      </c>
      <c r="F1237" s="29" t="s">
        <v>2631</v>
      </c>
      <c r="G1237" s="29" t="s">
        <v>39</v>
      </c>
      <c r="H1237" s="29" t="s">
        <v>65</v>
      </c>
      <c r="I1237" s="29" t="s">
        <v>190</v>
      </c>
      <c r="J1237" s="29" t="s">
        <v>685</v>
      </c>
      <c r="K1237" s="29" t="s">
        <v>192</v>
      </c>
      <c r="L1237" s="29" t="s">
        <v>30</v>
      </c>
      <c r="M1237" s="29" t="n">
        <v>909</v>
      </c>
      <c r="N1237" s="29" t="n">
        <v>2090</v>
      </c>
      <c r="O1237" s="29"/>
      <c r="P1237" s="30" t="n">
        <f aca="false">(M1237*N1237/1000000)*(INDEX(AreaRate_Vals,MATCH(C1237,AreaRate_Keys,0))+IFERROR(INDEX(GlazingUpg_Vals,MATCH(H1237,GlazingUpg_Keys,0)),0))+INDEX(Hardware_Vals,MATCH("Doors",Hardware_Keys,0))</f>
        <v>4919.563</v>
      </c>
      <c r="Q1237" s="31" t="n">
        <f aca="false">INDEX(Markup_Vals,MATCH("Doors",MarkupCat_Keys,0))</f>
        <v>0.4</v>
      </c>
      <c r="R1237" s="32" t="n">
        <f aca="false">P1237*(1+Q1237)</f>
        <v>6887.3882</v>
      </c>
      <c r="S1237" s="32" t="n">
        <f aca="false">R1237*(1-TradeDiscount)</f>
        <v>6060.901616</v>
      </c>
      <c r="T1237" s="32" t="n">
        <f aca="false">R1237*(1-VolumeDiscount)</f>
        <v>5509.91056</v>
      </c>
    </row>
    <row r="1238" customFormat="false" ht="15" hidden="false" customHeight="false" outlineLevel="0" collapsed="false">
      <c r="A1238" s="25" t="s">
        <v>2722</v>
      </c>
      <c r="B1238" s="25" t="s">
        <v>97</v>
      </c>
      <c r="C1238" s="25" t="s">
        <v>51</v>
      </c>
      <c r="D1238" s="25" t="s">
        <v>2723</v>
      </c>
      <c r="E1238" s="25" t="s">
        <v>2695</v>
      </c>
      <c r="F1238" s="25" t="s">
        <v>2631</v>
      </c>
      <c r="G1238" s="25" t="s">
        <v>38</v>
      </c>
      <c r="H1238" s="25" t="s">
        <v>65</v>
      </c>
      <c r="I1238" s="25" t="s">
        <v>190</v>
      </c>
      <c r="J1238" s="25" t="s">
        <v>685</v>
      </c>
      <c r="K1238" s="25" t="s">
        <v>192</v>
      </c>
      <c r="L1238" s="25" t="s">
        <v>30</v>
      </c>
      <c r="M1238" s="25" t="n">
        <v>909</v>
      </c>
      <c r="N1238" s="25" t="n">
        <v>2090</v>
      </c>
      <c r="O1238" s="25"/>
      <c r="P1238" s="26" t="n">
        <f aca="false">(M1238*N1238/1000000)*(INDEX(AreaRate_Vals,MATCH(C1238,AreaRate_Keys,0))+IFERROR(INDEX(GlazingUpg_Vals,MATCH(H1238,GlazingUpg_Keys,0)),0))+INDEX(Hardware_Vals,MATCH("Doors",Hardware_Keys,0))</f>
        <v>4919.563</v>
      </c>
      <c r="Q1238" s="27" t="n">
        <f aca="false">INDEX(Markup_Vals,MATCH("Doors",MarkupCat_Keys,0))</f>
        <v>0.4</v>
      </c>
      <c r="R1238" s="28" t="n">
        <f aca="false">P1238*(1+Q1238)</f>
        <v>6887.3882</v>
      </c>
      <c r="S1238" s="28" t="n">
        <f aca="false">R1238*(1-TradeDiscount)</f>
        <v>6060.901616</v>
      </c>
      <c r="T1238" s="28" t="n">
        <f aca="false">R1238*(1-VolumeDiscount)</f>
        <v>5509.91056</v>
      </c>
    </row>
    <row r="1239" customFormat="false" ht="15" hidden="false" customHeight="false" outlineLevel="0" collapsed="false">
      <c r="A1239" s="29" t="s">
        <v>2724</v>
      </c>
      <c r="B1239" s="29" t="s">
        <v>97</v>
      </c>
      <c r="C1239" s="29" t="s">
        <v>51</v>
      </c>
      <c r="D1239" s="29" t="s">
        <v>2725</v>
      </c>
      <c r="E1239" s="29" t="s">
        <v>2695</v>
      </c>
      <c r="F1239" s="29" t="s">
        <v>2642</v>
      </c>
      <c r="G1239" s="29" t="s">
        <v>35</v>
      </c>
      <c r="H1239" s="29" t="s">
        <v>65</v>
      </c>
      <c r="I1239" s="29" t="s">
        <v>190</v>
      </c>
      <c r="J1239" s="29" t="s">
        <v>685</v>
      </c>
      <c r="K1239" s="29" t="s">
        <v>192</v>
      </c>
      <c r="L1239" s="29" t="s">
        <v>30</v>
      </c>
      <c r="M1239" s="29" t="n">
        <v>1209</v>
      </c>
      <c r="N1239" s="29" t="n">
        <v>2090</v>
      </c>
      <c r="O1239" s="29"/>
      <c r="P1239" s="30" t="n">
        <f aca="false">(M1239*N1239/1000000)*(INDEX(AreaRate_Vals,MATCH(C1239,AreaRate_Keys,0))+IFERROR(INDEX(GlazingUpg_Vals,MATCH(H1239,GlazingUpg_Keys,0)),0))+INDEX(Hardware_Vals,MATCH("Doors",Hardware_Keys,0))</f>
        <v>6361.663</v>
      </c>
      <c r="Q1239" s="31" t="n">
        <f aca="false">INDEX(Markup_Vals,MATCH("Doors",MarkupCat_Keys,0))</f>
        <v>0.4</v>
      </c>
      <c r="R1239" s="32" t="n">
        <f aca="false">P1239*(1+Q1239)</f>
        <v>8906.3282</v>
      </c>
      <c r="S1239" s="32" t="n">
        <f aca="false">R1239*(1-TradeDiscount)</f>
        <v>7837.568816</v>
      </c>
      <c r="T1239" s="32" t="n">
        <f aca="false">R1239*(1-VolumeDiscount)</f>
        <v>7125.06256</v>
      </c>
    </row>
    <row r="1240" customFormat="false" ht="15" hidden="false" customHeight="false" outlineLevel="0" collapsed="false">
      <c r="A1240" s="25" t="s">
        <v>2726</v>
      </c>
      <c r="B1240" s="25" t="s">
        <v>97</v>
      </c>
      <c r="C1240" s="25" t="s">
        <v>51</v>
      </c>
      <c r="D1240" s="25" t="s">
        <v>2727</v>
      </c>
      <c r="E1240" s="25" t="s">
        <v>2695</v>
      </c>
      <c r="F1240" s="25" t="s">
        <v>2642</v>
      </c>
      <c r="G1240" s="25" t="s">
        <v>36</v>
      </c>
      <c r="H1240" s="25" t="s">
        <v>65</v>
      </c>
      <c r="I1240" s="25" t="s">
        <v>190</v>
      </c>
      <c r="J1240" s="25" t="s">
        <v>685</v>
      </c>
      <c r="K1240" s="25" t="s">
        <v>192</v>
      </c>
      <c r="L1240" s="25" t="s">
        <v>30</v>
      </c>
      <c r="M1240" s="25" t="n">
        <v>1209</v>
      </c>
      <c r="N1240" s="25" t="n">
        <v>2090</v>
      </c>
      <c r="O1240" s="25"/>
      <c r="P1240" s="26" t="n">
        <f aca="false">(M1240*N1240/1000000)*(INDEX(AreaRate_Vals,MATCH(C1240,AreaRate_Keys,0))+IFERROR(INDEX(GlazingUpg_Vals,MATCH(H1240,GlazingUpg_Keys,0)),0))+INDEX(Hardware_Vals,MATCH("Doors",Hardware_Keys,0))</f>
        <v>6361.663</v>
      </c>
      <c r="Q1240" s="27" t="n">
        <f aca="false">INDEX(Markup_Vals,MATCH("Doors",MarkupCat_Keys,0))</f>
        <v>0.4</v>
      </c>
      <c r="R1240" s="28" t="n">
        <f aca="false">P1240*(1+Q1240)</f>
        <v>8906.3282</v>
      </c>
      <c r="S1240" s="28" t="n">
        <f aca="false">R1240*(1-TradeDiscount)</f>
        <v>7837.568816</v>
      </c>
      <c r="T1240" s="28" t="n">
        <f aca="false">R1240*(1-VolumeDiscount)</f>
        <v>7125.06256</v>
      </c>
    </row>
    <row r="1241" customFormat="false" ht="15" hidden="false" customHeight="false" outlineLevel="0" collapsed="false">
      <c r="A1241" s="29" t="s">
        <v>2728</v>
      </c>
      <c r="B1241" s="29" t="s">
        <v>97</v>
      </c>
      <c r="C1241" s="29" t="s">
        <v>51</v>
      </c>
      <c r="D1241" s="29" t="s">
        <v>2729</v>
      </c>
      <c r="E1241" s="29" t="s">
        <v>2695</v>
      </c>
      <c r="F1241" s="29" t="s">
        <v>2642</v>
      </c>
      <c r="G1241" s="29" t="s">
        <v>37</v>
      </c>
      <c r="H1241" s="29" t="s">
        <v>65</v>
      </c>
      <c r="I1241" s="29" t="s">
        <v>190</v>
      </c>
      <c r="J1241" s="29" t="s">
        <v>685</v>
      </c>
      <c r="K1241" s="29" t="s">
        <v>192</v>
      </c>
      <c r="L1241" s="29" t="s">
        <v>30</v>
      </c>
      <c r="M1241" s="29" t="n">
        <v>1209</v>
      </c>
      <c r="N1241" s="29" t="n">
        <v>2090</v>
      </c>
      <c r="O1241" s="29"/>
      <c r="P1241" s="30" t="n">
        <f aca="false">(M1241*N1241/1000000)*(INDEX(AreaRate_Vals,MATCH(C1241,AreaRate_Keys,0))+IFERROR(INDEX(GlazingUpg_Vals,MATCH(H1241,GlazingUpg_Keys,0)),0))+INDEX(Hardware_Vals,MATCH("Doors",Hardware_Keys,0))</f>
        <v>6361.663</v>
      </c>
      <c r="Q1241" s="31" t="n">
        <f aca="false">INDEX(Markup_Vals,MATCH("Doors",MarkupCat_Keys,0))</f>
        <v>0.4</v>
      </c>
      <c r="R1241" s="32" t="n">
        <f aca="false">P1241*(1+Q1241)</f>
        <v>8906.3282</v>
      </c>
      <c r="S1241" s="32" t="n">
        <f aca="false">R1241*(1-TradeDiscount)</f>
        <v>7837.568816</v>
      </c>
      <c r="T1241" s="32" t="n">
        <f aca="false">R1241*(1-VolumeDiscount)</f>
        <v>7125.06256</v>
      </c>
    </row>
    <row r="1242" customFormat="false" ht="15" hidden="false" customHeight="false" outlineLevel="0" collapsed="false">
      <c r="A1242" s="25" t="s">
        <v>2730</v>
      </c>
      <c r="B1242" s="25" t="s">
        <v>97</v>
      </c>
      <c r="C1242" s="25" t="s">
        <v>51</v>
      </c>
      <c r="D1242" s="25" t="s">
        <v>2731</v>
      </c>
      <c r="E1242" s="25" t="s">
        <v>2695</v>
      </c>
      <c r="F1242" s="25" t="s">
        <v>2642</v>
      </c>
      <c r="G1242" s="25" t="s">
        <v>39</v>
      </c>
      <c r="H1242" s="25" t="s">
        <v>65</v>
      </c>
      <c r="I1242" s="25" t="s">
        <v>190</v>
      </c>
      <c r="J1242" s="25" t="s">
        <v>685</v>
      </c>
      <c r="K1242" s="25" t="s">
        <v>192</v>
      </c>
      <c r="L1242" s="25" t="s">
        <v>30</v>
      </c>
      <c r="M1242" s="25" t="n">
        <v>1209</v>
      </c>
      <c r="N1242" s="25" t="n">
        <v>2090</v>
      </c>
      <c r="O1242" s="25"/>
      <c r="P1242" s="26" t="n">
        <f aca="false">(M1242*N1242/1000000)*(INDEX(AreaRate_Vals,MATCH(C1242,AreaRate_Keys,0))+IFERROR(INDEX(GlazingUpg_Vals,MATCH(H1242,GlazingUpg_Keys,0)),0))+INDEX(Hardware_Vals,MATCH("Doors",Hardware_Keys,0))</f>
        <v>6361.663</v>
      </c>
      <c r="Q1242" s="27" t="n">
        <f aca="false">INDEX(Markup_Vals,MATCH("Doors",MarkupCat_Keys,0))</f>
        <v>0.4</v>
      </c>
      <c r="R1242" s="28" t="n">
        <f aca="false">P1242*(1+Q1242)</f>
        <v>8906.3282</v>
      </c>
      <c r="S1242" s="28" t="n">
        <f aca="false">R1242*(1-TradeDiscount)</f>
        <v>7837.568816</v>
      </c>
      <c r="T1242" s="28" t="n">
        <f aca="false">R1242*(1-VolumeDiscount)</f>
        <v>7125.06256</v>
      </c>
    </row>
    <row r="1243" customFormat="false" ht="15" hidden="false" customHeight="false" outlineLevel="0" collapsed="false">
      <c r="A1243" s="29" t="s">
        <v>2732</v>
      </c>
      <c r="B1243" s="29" t="s">
        <v>97</v>
      </c>
      <c r="C1243" s="29" t="s">
        <v>51</v>
      </c>
      <c r="D1243" s="29" t="s">
        <v>2733</v>
      </c>
      <c r="E1243" s="29" t="s">
        <v>2695</v>
      </c>
      <c r="F1243" s="29" t="s">
        <v>2642</v>
      </c>
      <c r="G1243" s="29" t="s">
        <v>38</v>
      </c>
      <c r="H1243" s="29" t="s">
        <v>65</v>
      </c>
      <c r="I1243" s="29" t="s">
        <v>190</v>
      </c>
      <c r="J1243" s="29" t="s">
        <v>685</v>
      </c>
      <c r="K1243" s="29" t="s">
        <v>192</v>
      </c>
      <c r="L1243" s="29" t="s">
        <v>30</v>
      </c>
      <c r="M1243" s="29" t="n">
        <v>1209</v>
      </c>
      <c r="N1243" s="29" t="n">
        <v>2090</v>
      </c>
      <c r="O1243" s="29"/>
      <c r="P1243" s="30" t="n">
        <f aca="false">(M1243*N1243/1000000)*(INDEX(AreaRate_Vals,MATCH(C1243,AreaRate_Keys,0))+IFERROR(INDEX(GlazingUpg_Vals,MATCH(H1243,GlazingUpg_Keys,0)),0))+INDEX(Hardware_Vals,MATCH("Doors",Hardware_Keys,0))</f>
        <v>6361.663</v>
      </c>
      <c r="Q1243" s="31" t="n">
        <f aca="false">INDEX(Markup_Vals,MATCH("Doors",MarkupCat_Keys,0))</f>
        <v>0.4</v>
      </c>
      <c r="R1243" s="32" t="n">
        <f aca="false">P1243*(1+Q1243)</f>
        <v>8906.3282</v>
      </c>
      <c r="S1243" s="32" t="n">
        <f aca="false">R1243*(1-TradeDiscount)</f>
        <v>7837.568816</v>
      </c>
      <c r="T1243" s="32" t="n">
        <f aca="false">R1243*(1-VolumeDiscount)</f>
        <v>7125.06256</v>
      </c>
    </row>
    <row r="1244" customFormat="false" ht="15" hidden="false" customHeight="false" outlineLevel="0" collapsed="false">
      <c r="A1244" s="25" t="s">
        <v>2734</v>
      </c>
      <c r="B1244" s="25" t="s">
        <v>97</v>
      </c>
      <c r="C1244" s="25" t="s">
        <v>51</v>
      </c>
      <c r="D1244" s="25" t="s">
        <v>2735</v>
      </c>
      <c r="E1244" s="25" t="s">
        <v>2695</v>
      </c>
      <c r="F1244" s="25" t="s">
        <v>2653</v>
      </c>
      <c r="G1244" s="25" t="s">
        <v>35</v>
      </c>
      <c r="H1244" s="25" t="s">
        <v>65</v>
      </c>
      <c r="I1244" s="25" t="s">
        <v>190</v>
      </c>
      <c r="J1244" s="25" t="s">
        <v>685</v>
      </c>
      <c r="K1244" s="25" t="s">
        <v>192</v>
      </c>
      <c r="L1244" s="25" t="s">
        <v>30</v>
      </c>
      <c r="M1244" s="25" t="n">
        <v>1509</v>
      </c>
      <c r="N1244" s="25" t="n">
        <v>2090</v>
      </c>
      <c r="O1244" s="25"/>
      <c r="P1244" s="26" t="n">
        <f aca="false">(M1244*N1244/1000000)*(INDEX(AreaRate_Vals,MATCH(C1244,AreaRate_Keys,0))+IFERROR(INDEX(GlazingUpg_Vals,MATCH(H1244,GlazingUpg_Keys,0)),0))+INDEX(Hardware_Vals,MATCH("Doors",Hardware_Keys,0))</f>
        <v>7803.763</v>
      </c>
      <c r="Q1244" s="27" t="n">
        <f aca="false">INDEX(Markup_Vals,MATCH("Doors",MarkupCat_Keys,0))</f>
        <v>0.4</v>
      </c>
      <c r="R1244" s="28" t="n">
        <f aca="false">P1244*(1+Q1244)</f>
        <v>10925.2682</v>
      </c>
      <c r="S1244" s="28" t="n">
        <f aca="false">R1244*(1-TradeDiscount)</f>
        <v>9614.236016</v>
      </c>
      <c r="T1244" s="28" t="n">
        <f aca="false">R1244*(1-VolumeDiscount)</f>
        <v>8740.21456</v>
      </c>
    </row>
    <row r="1245" customFormat="false" ht="15" hidden="false" customHeight="false" outlineLevel="0" collapsed="false">
      <c r="A1245" s="29" t="s">
        <v>2736</v>
      </c>
      <c r="B1245" s="29" t="s">
        <v>97</v>
      </c>
      <c r="C1245" s="29" t="s">
        <v>51</v>
      </c>
      <c r="D1245" s="29" t="s">
        <v>2737</v>
      </c>
      <c r="E1245" s="29" t="s">
        <v>2695</v>
      </c>
      <c r="F1245" s="29" t="s">
        <v>2653</v>
      </c>
      <c r="G1245" s="29" t="s">
        <v>36</v>
      </c>
      <c r="H1245" s="29" t="s">
        <v>65</v>
      </c>
      <c r="I1245" s="29" t="s">
        <v>190</v>
      </c>
      <c r="J1245" s="29" t="s">
        <v>685</v>
      </c>
      <c r="K1245" s="29" t="s">
        <v>192</v>
      </c>
      <c r="L1245" s="29" t="s">
        <v>30</v>
      </c>
      <c r="M1245" s="29" t="n">
        <v>1509</v>
      </c>
      <c r="N1245" s="29" t="n">
        <v>2090</v>
      </c>
      <c r="O1245" s="29"/>
      <c r="P1245" s="30" t="n">
        <f aca="false">(M1245*N1245/1000000)*(INDEX(AreaRate_Vals,MATCH(C1245,AreaRate_Keys,0))+IFERROR(INDEX(GlazingUpg_Vals,MATCH(H1245,GlazingUpg_Keys,0)),0))+INDEX(Hardware_Vals,MATCH("Doors",Hardware_Keys,0))</f>
        <v>7803.763</v>
      </c>
      <c r="Q1245" s="31" t="n">
        <f aca="false">INDEX(Markup_Vals,MATCH("Doors",MarkupCat_Keys,0))</f>
        <v>0.4</v>
      </c>
      <c r="R1245" s="32" t="n">
        <f aca="false">P1245*(1+Q1245)</f>
        <v>10925.2682</v>
      </c>
      <c r="S1245" s="32" t="n">
        <f aca="false">R1245*(1-TradeDiscount)</f>
        <v>9614.236016</v>
      </c>
      <c r="T1245" s="32" t="n">
        <f aca="false">R1245*(1-VolumeDiscount)</f>
        <v>8740.21456</v>
      </c>
    </row>
    <row r="1246" customFormat="false" ht="15" hidden="false" customHeight="false" outlineLevel="0" collapsed="false">
      <c r="A1246" s="25" t="s">
        <v>2738</v>
      </c>
      <c r="B1246" s="25" t="s">
        <v>97</v>
      </c>
      <c r="C1246" s="25" t="s">
        <v>51</v>
      </c>
      <c r="D1246" s="25" t="s">
        <v>2739</v>
      </c>
      <c r="E1246" s="25" t="s">
        <v>2695</v>
      </c>
      <c r="F1246" s="25" t="s">
        <v>2653</v>
      </c>
      <c r="G1246" s="25" t="s">
        <v>37</v>
      </c>
      <c r="H1246" s="25" t="s">
        <v>65</v>
      </c>
      <c r="I1246" s="25" t="s">
        <v>190</v>
      </c>
      <c r="J1246" s="25" t="s">
        <v>685</v>
      </c>
      <c r="K1246" s="25" t="s">
        <v>192</v>
      </c>
      <c r="L1246" s="25" t="s">
        <v>30</v>
      </c>
      <c r="M1246" s="25" t="n">
        <v>1509</v>
      </c>
      <c r="N1246" s="25" t="n">
        <v>2090</v>
      </c>
      <c r="O1246" s="25"/>
      <c r="P1246" s="26" t="n">
        <f aca="false">(M1246*N1246/1000000)*(INDEX(AreaRate_Vals,MATCH(C1246,AreaRate_Keys,0))+IFERROR(INDEX(GlazingUpg_Vals,MATCH(H1246,GlazingUpg_Keys,0)),0))+INDEX(Hardware_Vals,MATCH("Doors",Hardware_Keys,0))</f>
        <v>7803.763</v>
      </c>
      <c r="Q1246" s="27" t="n">
        <f aca="false">INDEX(Markup_Vals,MATCH("Doors",MarkupCat_Keys,0))</f>
        <v>0.4</v>
      </c>
      <c r="R1246" s="28" t="n">
        <f aca="false">P1246*(1+Q1246)</f>
        <v>10925.2682</v>
      </c>
      <c r="S1246" s="28" t="n">
        <f aca="false">R1246*(1-TradeDiscount)</f>
        <v>9614.236016</v>
      </c>
      <c r="T1246" s="28" t="n">
        <f aca="false">R1246*(1-VolumeDiscount)</f>
        <v>8740.21456</v>
      </c>
    </row>
    <row r="1247" customFormat="false" ht="15" hidden="false" customHeight="false" outlineLevel="0" collapsed="false">
      <c r="A1247" s="29" t="s">
        <v>2740</v>
      </c>
      <c r="B1247" s="29" t="s">
        <v>97</v>
      </c>
      <c r="C1247" s="29" t="s">
        <v>51</v>
      </c>
      <c r="D1247" s="29" t="s">
        <v>2741</v>
      </c>
      <c r="E1247" s="29" t="s">
        <v>2695</v>
      </c>
      <c r="F1247" s="29" t="s">
        <v>2653</v>
      </c>
      <c r="G1247" s="29" t="s">
        <v>39</v>
      </c>
      <c r="H1247" s="29" t="s">
        <v>65</v>
      </c>
      <c r="I1247" s="29" t="s">
        <v>190</v>
      </c>
      <c r="J1247" s="29" t="s">
        <v>685</v>
      </c>
      <c r="K1247" s="29" t="s">
        <v>192</v>
      </c>
      <c r="L1247" s="29" t="s">
        <v>30</v>
      </c>
      <c r="M1247" s="29" t="n">
        <v>1509</v>
      </c>
      <c r="N1247" s="29" t="n">
        <v>2090</v>
      </c>
      <c r="O1247" s="29"/>
      <c r="P1247" s="30" t="n">
        <f aca="false">(M1247*N1247/1000000)*(INDEX(AreaRate_Vals,MATCH(C1247,AreaRate_Keys,0))+IFERROR(INDEX(GlazingUpg_Vals,MATCH(H1247,GlazingUpg_Keys,0)),0))+INDEX(Hardware_Vals,MATCH("Doors",Hardware_Keys,0))</f>
        <v>7803.763</v>
      </c>
      <c r="Q1247" s="31" t="n">
        <f aca="false">INDEX(Markup_Vals,MATCH("Doors",MarkupCat_Keys,0))</f>
        <v>0.4</v>
      </c>
      <c r="R1247" s="32" t="n">
        <f aca="false">P1247*(1+Q1247)</f>
        <v>10925.2682</v>
      </c>
      <c r="S1247" s="32" t="n">
        <f aca="false">R1247*(1-TradeDiscount)</f>
        <v>9614.236016</v>
      </c>
      <c r="T1247" s="32" t="n">
        <f aca="false">R1247*(1-VolumeDiscount)</f>
        <v>8740.21456</v>
      </c>
    </row>
    <row r="1248" customFormat="false" ht="15" hidden="false" customHeight="false" outlineLevel="0" collapsed="false">
      <c r="A1248" s="25" t="s">
        <v>2742</v>
      </c>
      <c r="B1248" s="25" t="s">
        <v>97</v>
      </c>
      <c r="C1248" s="25" t="s">
        <v>51</v>
      </c>
      <c r="D1248" s="25" t="s">
        <v>2743</v>
      </c>
      <c r="E1248" s="25" t="s">
        <v>2695</v>
      </c>
      <c r="F1248" s="25" t="s">
        <v>2653</v>
      </c>
      <c r="G1248" s="25" t="s">
        <v>38</v>
      </c>
      <c r="H1248" s="25" t="s">
        <v>65</v>
      </c>
      <c r="I1248" s="25" t="s">
        <v>190</v>
      </c>
      <c r="J1248" s="25" t="s">
        <v>685</v>
      </c>
      <c r="K1248" s="25" t="s">
        <v>192</v>
      </c>
      <c r="L1248" s="25" t="s">
        <v>30</v>
      </c>
      <c r="M1248" s="25" t="n">
        <v>1509</v>
      </c>
      <c r="N1248" s="25" t="n">
        <v>2090</v>
      </c>
      <c r="O1248" s="25"/>
      <c r="P1248" s="26" t="n">
        <f aca="false">(M1248*N1248/1000000)*(INDEX(AreaRate_Vals,MATCH(C1248,AreaRate_Keys,0))+IFERROR(INDEX(GlazingUpg_Vals,MATCH(H1248,GlazingUpg_Keys,0)),0))+INDEX(Hardware_Vals,MATCH("Doors",Hardware_Keys,0))</f>
        <v>7803.763</v>
      </c>
      <c r="Q1248" s="27" t="n">
        <f aca="false">INDEX(Markup_Vals,MATCH("Doors",MarkupCat_Keys,0))</f>
        <v>0.4</v>
      </c>
      <c r="R1248" s="28" t="n">
        <f aca="false">P1248*(1+Q1248)</f>
        <v>10925.2682</v>
      </c>
      <c r="S1248" s="28" t="n">
        <f aca="false">R1248*(1-TradeDiscount)</f>
        <v>9614.236016</v>
      </c>
      <c r="T1248" s="28" t="n">
        <f aca="false">R1248*(1-VolumeDiscount)</f>
        <v>8740.21456</v>
      </c>
    </row>
    <row r="1249" customFormat="false" ht="15" hidden="false" customHeight="false" outlineLevel="0" collapsed="false">
      <c r="A1249" s="29" t="s">
        <v>2744</v>
      </c>
      <c r="B1249" s="29" t="s">
        <v>97</v>
      </c>
      <c r="C1249" s="29" t="s">
        <v>51</v>
      </c>
      <c r="D1249" s="29" t="s">
        <v>2745</v>
      </c>
      <c r="E1249" s="29" t="s">
        <v>2695</v>
      </c>
      <c r="F1249" s="29" t="s">
        <v>1796</v>
      </c>
      <c r="G1249" s="29" t="s">
        <v>35</v>
      </c>
      <c r="H1249" s="29" t="s">
        <v>65</v>
      </c>
      <c r="I1249" s="29" t="s">
        <v>190</v>
      </c>
      <c r="J1249" s="29" t="s">
        <v>685</v>
      </c>
      <c r="K1249" s="29" t="s">
        <v>192</v>
      </c>
      <c r="L1249" s="29" t="s">
        <v>30</v>
      </c>
      <c r="M1249" s="29" t="n">
        <v>1809</v>
      </c>
      <c r="N1249" s="29" t="n">
        <v>2090</v>
      </c>
      <c r="O1249" s="29"/>
      <c r="P1249" s="30" t="n">
        <f aca="false">(M1249*N1249/1000000)*(INDEX(AreaRate_Vals,MATCH(C1249,AreaRate_Keys,0))+IFERROR(INDEX(GlazingUpg_Vals,MATCH(H1249,GlazingUpg_Keys,0)),0))+INDEX(Hardware_Vals,MATCH("Doors",Hardware_Keys,0))</f>
        <v>9245.863</v>
      </c>
      <c r="Q1249" s="31" t="n">
        <f aca="false">INDEX(Markup_Vals,MATCH("Doors",MarkupCat_Keys,0))</f>
        <v>0.4</v>
      </c>
      <c r="R1249" s="32" t="n">
        <f aca="false">P1249*(1+Q1249)</f>
        <v>12944.2082</v>
      </c>
      <c r="S1249" s="32" t="n">
        <f aca="false">R1249*(1-TradeDiscount)</f>
        <v>11390.903216</v>
      </c>
      <c r="T1249" s="32" t="n">
        <f aca="false">R1249*(1-VolumeDiscount)</f>
        <v>10355.36656</v>
      </c>
    </row>
    <row r="1250" customFormat="false" ht="15" hidden="false" customHeight="false" outlineLevel="0" collapsed="false">
      <c r="A1250" s="25" t="s">
        <v>2746</v>
      </c>
      <c r="B1250" s="25" t="s">
        <v>97</v>
      </c>
      <c r="C1250" s="25" t="s">
        <v>51</v>
      </c>
      <c r="D1250" s="25" t="s">
        <v>2747</v>
      </c>
      <c r="E1250" s="25" t="s">
        <v>2695</v>
      </c>
      <c r="F1250" s="25" t="s">
        <v>1796</v>
      </c>
      <c r="G1250" s="25" t="s">
        <v>36</v>
      </c>
      <c r="H1250" s="25" t="s">
        <v>65</v>
      </c>
      <c r="I1250" s="25" t="s">
        <v>190</v>
      </c>
      <c r="J1250" s="25" t="s">
        <v>685</v>
      </c>
      <c r="K1250" s="25" t="s">
        <v>192</v>
      </c>
      <c r="L1250" s="25" t="s">
        <v>30</v>
      </c>
      <c r="M1250" s="25" t="n">
        <v>1809</v>
      </c>
      <c r="N1250" s="25" t="n">
        <v>2090</v>
      </c>
      <c r="O1250" s="25"/>
      <c r="P1250" s="26" t="n">
        <f aca="false">(M1250*N1250/1000000)*(INDEX(AreaRate_Vals,MATCH(C1250,AreaRate_Keys,0))+IFERROR(INDEX(GlazingUpg_Vals,MATCH(H1250,GlazingUpg_Keys,0)),0))+INDEX(Hardware_Vals,MATCH("Doors",Hardware_Keys,0))</f>
        <v>9245.863</v>
      </c>
      <c r="Q1250" s="27" t="n">
        <f aca="false">INDEX(Markup_Vals,MATCH("Doors",MarkupCat_Keys,0))</f>
        <v>0.4</v>
      </c>
      <c r="R1250" s="28" t="n">
        <f aca="false">P1250*(1+Q1250)</f>
        <v>12944.2082</v>
      </c>
      <c r="S1250" s="28" t="n">
        <f aca="false">R1250*(1-TradeDiscount)</f>
        <v>11390.903216</v>
      </c>
      <c r="T1250" s="28" t="n">
        <f aca="false">R1250*(1-VolumeDiscount)</f>
        <v>10355.36656</v>
      </c>
    </row>
    <row r="1251" customFormat="false" ht="15" hidden="false" customHeight="false" outlineLevel="0" collapsed="false">
      <c r="A1251" s="29" t="s">
        <v>2748</v>
      </c>
      <c r="B1251" s="29" t="s">
        <v>97</v>
      </c>
      <c r="C1251" s="29" t="s">
        <v>51</v>
      </c>
      <c r="D1251" s="29" t="s">
        <v>2749</v>
      </c>
      <c r="E1251" s="29" t="s">
        <v>2695</v>
      </c>
      <c r="F1251" s="29" t="s">
        <v>1796</v>
      </c>
      <c r="G1251" s="29" t="s">
        <v>37</v>
      </c>
      <c r="H1251" s="29" t="s">
        <v>65</v>
      </c>
      <c r="I1251" s="29" t="s">
        <v>190</v>
      </c>
      <c r="J1251" s="29" t="s">
        <v>685</v>
      </c>
      <c r="K1251" s="29" t="s">
        <v>192</v>
      </c>
      <c r="L1251" s="29" t="s">
        <v>30</v>
      </c>
      <c r="M1251" s="29" t="n">
        <v>1809</v>
      </c>
      <c r="N1251" s="29" t="n">
        <v>2090</v>
      </c>
      <c r="O1251" s="29"/>
      <c r="P1251" s="30" t="n">
        <f aca="false">(M1251*N1251/1000000)*(INDEX(AreaRate_Vals,MATCH(C1251,AreaRate_Keys,0))+IFERROR(INDEX(GlazingUpg_Vals,MATCH(H1251,GlazingUpg_Keys,0)),0))+INDEX(Hardware_Vals,MATCH("Doors",Hardware_Keys,0))</f>
        <v>9245.863</v>
      </c>
      <c r="Q1251" s="31" t="n">
        <f aca="false">INDEX(Markup_Vals,MATCH("Doors",MarkupCat_Keys,0))</f>
        <v>0.4</v>
      </c>
      <c r="R1251" s="32" t="n">
        <f aca="false">P1251*(1+Q1251)</f>
        <v>12944.2082</v>
      </c>
      <c r="S1251" s="32" t="n">
        <f aca="false">R1251*(1-TradeDiscount)</f>
        <v>11390.903216</v>
      </c>
      <c r="T1251" s="32" t="n">
        <f aca="false">R1251*(1-VolumeDiscount)</f>
        <v>10355.36656</v>
      </c>
    </row>
    <row r="1252" customFormat="false" ht="15" hidden="false" customHeight="false" outlineLevel="0" collapsed="false">
      <c r="A1252" s="25" t="s">
        <v>2750</v>
      </c>
      <c r="B1252" s="25" t="s">
        <v>97</v>
      </c>
      <c r="C1252" s="25" t="s">
        <v>51</v>
      </c>
      <c r="D1252" s="25" t="s">
        <v>2751</v>
      </c>
      <c r="E1252" s="25" t="s">
        <v>2695</v>
      </c>
      <c r="F1252" s="25" t="s">
        <v>1796</v>
      </c>
      <c r="G1252" s="25" t="s">
        <v>39</v>
      </c>
      <c r="H1252" s="25" t="s">
        <v>65</v>
      </c>
      <c r="I1252" s="25" t="s">
        <v>190</v>
      </c>
      <c r="J1252" s="25" t="s">
        <v>685</v>
      </c>
      <c r="K1252" s="25" t="s">
        <v>192</v>
      </c>
      <c r="L1252" s="25" t="s">
        <v>30</v>
      </c>
      <c r="M1252" s="25" t="n">
        <v>1809</v>
      </c>
      <c r="N1252" s="25" t="n">
        <v>2090</v>
      </c>
      <c r="O1252" s="25"/>
      <c r="P1252" s="26" t="n">
        <f aca="false">(M1252*N1252/1000000)*(INDEX(AreaRate_Vals,MATCH(C1252,AreaRate_Keys,0))+IFERROR(INDEX(GlazingUpg_Vals,MATCH(H1252,GlazingUpg_Keys,0)),0))+INDEX(Hardware_Vals,MATCH("Doors",Hardware_Keys,0))</f>
        <v>9245.863</v>
      </c>
      <c r="Q1252" s="27" t="n">
        <f aca="false">INDEX(Markup_Vals,MATCH("Doors",MarkupCat_Keys,0))</f>
        <v>0.4</v>
      </c>
      <c r="R1252" s="28" t="n">
        <f aca="false">P1252*(1+Q1252)</f>
        <v>12944.2082</v>
      </c>
      <c r="S1252" s="28" t="n">
        <f aca="false">R1252*(1-TradeDiscount)</f>
        <v>11390.903216</v>
      </c>
      <c r="T1252" s="28" t="n">
        <f aca="false">R1252*(1-VolumeDiscount)</f>
        <v>10355.36656</v>
      </c>
    </row>
    <row r="1253" customFormat="false" ht="15" hidden="false" customHeight="false" outlineLevel="0" collapsed="false">
      <c r="A1253" s="29" t="s">
        <v>2752</v>
      </c>
      <c r="B1253" s="29" t="s">
        <v>97</v>
      </c>
      <c r="C1253" s="29" t="s">
        <v>51</v>
      </c>
      <c r="D1253" s="29" t="s">
        <v>2753</v>
      </c>
      <c r="E1253" s="29" t="s">
        <v>2695</v>
      </c>
      <c r="F1253" s="29" t="s">
        <v>1796</v>
      </c>
      <c r="G1253" s="29" t="s">
        <v>38</v>
      </c>
      <c r="H1253" s="29" t="s">
        <v>65</v>
      </c>
      <c r="I1253" s="29" t="s">
        <v>190</v>
      </c>
      <c r="J1253" s="29" t="s">
        <v>685</v>
      </c>
      <c r="K1253" s="29" t="s">
        <v>192</v>
      </c>
      <c r="L1253" s="29" t="s">
        <v>30</v>
      </c>
      <c r="M1253" s="29" t="n">
        <v>1809</v>
      </c>
      <c r="N1253" s="29" t="n">
        <v>2090</v>
      </c>
      <c r="O1253" s="29"/>
      <c r="P1253" s="30" t="n">
        <f aca="false">(M1253*N1253/1000000)*(INDEX(AreaRate_Vals,MATCH(C1253,AreaRate_Keys,0))+IFERROR(INDEX(GlazingUpg_Vals,MATCH(H1253,GlazingUpg_Keys,0)),0))+INDEX(Hardware_Vals,MATCH("Doors",Hardware_Keys,0))</f>
        <v>9245.863</v>
      </c>
      <c r="Q1253" s="31" t="n">
        <f aca="false">INDEX(Markup_Vals,MATCH("Doors",MarkupCat_Keys,0))</f>
        <v>0.4</v>
      </c>
      <c r="R1253" s="32" t="n">
        <f aca="false">P1253*(1+Q1253)</f>
        <v>12944.2082</v>
      </c>
      <c r="S1253" s="32" t="n">
        <f aca="false">R1253*(1-TradeDiscount)</f>
        <v>11390.903216</v>
      </c>
      <c r="T1253" s="32" t="n">
        <f aca="false">R1253*(1-VolumeDiscount)</f>
        <v>10355.36656</v>
      </c>
    </row>
    <row r="1254" customFormat="false" ht="15" hidden="false" customHeight="false" outlineLevel="0" collapsed="false">
      <c r="A1254" s="25" t="s">
        <v>2754</v>
      </c>
      <c r="B1254" s="25" t="s">
        <v>97</v>
      </c>
      <c r="C1254" s="25" t="s">
        <v>51</v>
      </c>
      <c r="D1254" s="25" t="s">
        <v>2755</v>
      </c>
      <c r="E1254" s="25" t="s">
        <v>2695</v>
      </c>
      <c r="F1254" s="25" t="s">
        <v>2674</v>
      </c>
      <c r="G1254" s="25" t="s">
        <v>35</v>
      </c>
      <c r="H1254" s="25" t="s">
        <v>65</v>
      </c>
      <c r="I1254" s="25" t="s">
        <v>190</v>
      </c>
      <c r="J1254" s="25" t="s">
        <v>685</v>
      </c>
      <c r="K1254" s="25" t="s">
        <v>298</v>
      </c>
      <c r="L1254" s="25" t="s">
        <v>30</v>
      </c>
      <c r="M1254" s="25" t="n">
        <v>2109</v>
      </c>
      <c r="N1254" s="25" t="n">
        <v>2090</v>
      </c>
      <c r="O1254" s="25"/>
      <c r="P1254" s="26" t="n">
        <f aca="false">(M1254*N1254/1000000)*(INDEX(AreaRate_Vals,MATCH(C1254,AreaRate_Keys,0))+IFERROR(INDEX(GlazingUpg_Vals,MATCH(H1254,GlazingUpg_Keys,0)),0))+INDEX(Hardware_Vals,MATCH("Doors",Hardware_Keys,0))</f>
        <v>10687.963</v>
      </c>
      <c r="Q1254" s="27" t="n">
        <f aca="false">INDEX(Markup_Vals,MATCH("Doors",MarkupCat_Keys,0))</f>
        <v>0.4</v>
      </c>
      <c r="R1254" s="28" t="n">
        <f aca="false">P1254*(1+Q1254)</f>
        <v>14963.1482</v>
      </c>
      <c r="S1254" s="28" t="n">
        <f aca="false">R1254*(1-TradeDiscount)</f>
        <v>13167.570416</v>
      </c>
      <c r="T1254" s="28" t="n">
        <f aca="false">R1254*(1-VolumeDiscount)</f>
        <v>11970.51856</v>
      </c>
    </row>
    <row r="1255" customFormat="false" ht="15" hidden="false" customHeight="false" outlineLevel="0" collapsed="false">
      <c r="A1255" s="29" t="s">
        <v>2756</v>
      </c>
      <c r="B1255" s="29" t="s">
        <v>97</v>
      </c>
      <c r="C1255" s="29" t="s">
        <v>51</v>
      </c>
      <c r="D1255" s="29" t="s">
        <v>2757</v>
      </c>
      <c r="E1255" s="29" t="s">
        <v>2695</v>
      </c>
      <c r="F1255" s="29" t="s">
        <v>2674</v>
      </c>
      <c r="G1255" s="29" t="s">
        <v>36</v>
      </c>
      <c r="H1255" s="29" t="s">
        <v>65</v>
      </c>
      <c r="I1255" s="29" t="s">
        <v>190</v>
      </c>
      <c r="J1255" s="29" t="s">
        <v>685</v>
      </c>
      <c r="K1255" s="29" t="s">
        <v>298</v>
      </c>
      <c r="L1255" s="29" t="s">
        <v>30</v>
      </c>
      <c r="M1255" s="29" t="n">
        <v>2109</v>
      </c>
      <c r="N1255" s="29" t="n">
        <v>2090</v>
      </c>
      <c r="O1255" s="29"/>
      <c r="P1255" s="30" t="n">
        <f aca="false">(M1255*N1255/1000000)*(INDEX(AreaRate_Vals,MATCH(C1255,AreaRate_Keys,0))+IFERROR(INDEX(GlazingUpg_Vals,MATCH(H1255,GlazingUpg_Keys,0)),0))+INDEX(Hardware_Vals,MATCH("Doors",Hardware_Keys,0))</f>
        <v>10687.963</v>
      </c>
      <c r="Q1255" s="31" t="n">
        <f aca="false">INDEX(Markup_Vals,MATCH("Doors",MarkupCat_Keys,0))</f>
        <v>0.4</v>
      </c>
      <c r="R1255" s="32" t="n">
        <f aca="false">P1255*(1+Q1255)</f>
        <v>14963.1482</v>
      </c>
      <c r="S1255" s="32" t="n">
        <f aca="false">R1255*(1-TradeDiscount)</f>
        <v>13167.570416</v>
      </c>
      <c r="T1255" s="32" t="n">
        <f aca="false">R1255*(1-VolumeDiscount)</f>
        <v>11970.51856</v>
      </c>
    </row>
    <row r="1256" customFormat="false" ht="15" hidden="false" customHeight="false" outlineLevel="0" collapsed="false">
      <c r="A1256" s="25" t="s">
        <v>2758</v>
      </c>
      <c r="B1256" s="25" t="s">
        <v>97</v>
      </c>
      <c r="C1256" s="25" t="s">
        <v>51</v>
      </c>
      <c r="D1256" s="25" t="s">
        <v>2759</v>
      </c>
      <c r="E1256" s="25" t="s">
        <v>2695</v>
      </c>
      <c r="F1256" s="25" t="s">
        <v>2674</v>
      </c>
      <c r="G1256" s="25" t="s">
        <v>37</v>
      </c>
      <c r="H1256" s="25" t="s">
        <v>65</v>
      </c>
      <c r="I1256" s="25" t="s">
        <v>190</v>
      </c>
      <c r="J1256" s="25" t="s">
        <v>685</v>
      </c>
      <c r="K1256" s="25" t="s">
        <v>298</v>
      </c>
      <c r="L1256" s="25" t="s">
        <v>30</v>
      </c>
      <c r="M1256" s="25" t="n">
        <v>2109</v>
      </c>
      <c r="N1256" s="25" t="n">
        <v>2090</v>
      </c>
      <c r="O1256" s="25"/>
      <c r="P1256" s="26" t="n">
        <f aca="false">(M1256*N1256/1000000)*(INDEX(AreaRate_Vals,MATCH(C1256,AreaRate_Keys,0))+IFERROR(INDEX(GlazingUpg_Vals,MATCH(H1256,GlazingUpg_Keys,0)),0))+INDEX(Hardware_Vals,MATCH("Doors",Hardware_Keys,0))</f>
        <v>10687.963</v>
      </c>
      <c r="Q1256" s="27" t="n">
        <f aca="false">INDEX(Markup_Vals,MATCH("Doors",MarkupCat_Keys,0))</f>
        <v>0.4</v>
      </c>
      <c r="R1256" s="28" t="n">
        <f aca="false">P1256*(1+Q1256)</f>
        <v>14963.1482</v>
      </c>
      <c r="S1256" s="28" t="n">
        <f aca="false">R1256*(1-TradeDiscount)</f>
        <v>13167.570416</v>
      </c>
      <c r="T1256" s="28" t="n">
        <f aca="false">R1256*(1-VolumeDiscount)</f>
        <v>11970.51856</v>
      </c>
    </row>
    <row r="1257" customFormat="false" ht="15" hidden="false" customHeight="false" outlineLevel="0" collapsed="false">
      <c r="A1257" s="29" t="s">
        <v>2760</v>
      </c>
      <c r="B1257" s="29" t="s">
        <v>97</v>
      </c>
      <c r="C1257" s="29" t="s">
        <v>51</v>
      </c>
      <c r="D1257" s="29" t="s">
        <v>2761</v>
      </c>
      <c r="E1257" s="29" t="s">
        <v>2695</v>
      </c>
      <c r="F1257" s="29" t="s">
        <v>2674</v>
      </c>
      <c r="G1257" s="29" t="s">
        <v>39</v>
      </c>
      <c r="H1257" s="29" t="s">
        <v>65</v>
      </c>
      <c r="I1257" s="29" t="s">
        <v>190</v>
      </c>
      <c r="J1257" s="29" t="s">
        <v>685</v>
      </c>
      <c r="K1257" s="29" t="s">
        <v>298</v>
      </c>
      <c r="L1257" s="29" t="s">
        <v>30</v>
      </c>
      <c r="M1257" s="29" t="n">
        <v>2109</v>
      </c>
      <c r="N1257" s="29" t="n">
        <v>2090</v>
      </c>
      <c r="O1257" s="29"/>
      <c r="P1257" s="30" t="n">
        <f aca="false">(M1257*N1257/1000000)*(INDEX(AreaRate_Vals,MATCH(C1257,AreaRate_Keys,0))+IFERROR(INDEX(GlazingUpg_Vals,MATCH(H1257,GlazingUpg_Keys,0)),0))+INDEX(Hardware_Vals,MATCH("Doors",Hardware_Keys,0))</f>
        <v>10687.963</v>
      </c>
      <c r="Q1257" s="31" t="n">
        <f aca="false">INDEX(Markup_Vals,MATCH("Doors",MarkupCat_Keys,0))</f>
        <v>0.4</v>
      </c>
      <c r="R1257" s="32" t="n">
        <f aca="false">P1257*(1+Q1257)</f>
        <v>14963.1482</v>
      </c>
      <c r="S1257" s="32" t="n">
        <f aca="false">R1257*(1-TradeDiscount)</f>
        <v>13167.570416</v>
      </c>
      <c r="T1257" s="32" t="n">
        <f aca="false">R1257*(1-VolumeDiscount)</f>
        <v>11970.51856</v>
      </c>
    </row>
    <row r="1258" customFormat="false" ht="15" hidden="false" customHeight="false" outlineLevel="0" collapsed="false">
      <c r="A1258" s="25" t="s">
        <v>2762</v>
      </c>
      <c r="B1258" s="25" t="s">
        <v>97</v>
      </c>
      <c r="C1258" s="25" t="s">
        <v>51</v>
      </c>
      <c r="D1258" s="25" t="s">
        <v>2763</v>
      </c>
      <c r="E1258" s="25" t="s">
        <v>2695</v>
      </c>
      <c r="F1258" s="25" t="s">
        <v>2674</v>
      </c>
      <c r="G1258" s="25" t="s">
        <v>38</v>
      </c>
      <c r="H1258" s="25" t="s">
        <v>65</v>
      </c>
      <c r="I1258" s="25" t="s">
        <v>190</v>
      </c>
      <c r="J1258" s="25" t="s">
        <v>685</v>
      </c>
      <c r="K1258" s="25" t="s">
        <v>298</v>
      </c>
      <c r="L1258" s="25" t="s">
        <v>30</v>
      </c>
      <c r="M1258" s="25" t="n">
        <v>2109</v>
      </c>
      <c r="N1258" s="25" t="n">
        <v>2090</v>
      </c>
      <c r="O1258" s="25"/>
      <c r="P1258" s="26" t="n">
        <f aca="false">(M1258*N1258/1000000)*(INDEX(AreaRate_Vals,MATCH(C1258,AreaRate_Keys,0))+IFERROR(INDEX(GlazingUpg_Vals,MATCH(H1258,GlazingUpg_Keys,0)),0))+INDEX(Hardware_Vals,MATCH("Doors",Hardware_Keys,0))</f>
        <v>10687.963</v>
      </c>
      <c r="Q1258" s="27" t="n">
        <f aca="false">INDEX(Markup_Vals,MATCH("Doors",MarkupCat_Keys,0))</f>
        <v>0.4</v>
      </c>
      <c r="R1258" s="28" t="n">
        <f aca="false">P1258*(1+Q1258)</f>
        <v>14963.1482</v>
      </c>
      <c r="S1258" s="28" t="n">
        <f aca="false">R1258*(1-TradeDiscount)</f>
        <v>13167.570416</v>
      </c>
      <c r="T1258" s="28" t="n">
        <f aca="false">R1258*(1-VolumeDiscount)</f>
        <v>11970.51856</v>
      </c>
    </row>
    <row r="1259" customFormat="false" ht="15" hidden="false" customHeight="false" outlineLevel="0" collapsed="false">
      <c r="A1259" s="29" t="s">
        <v>2764</v>
      </c>
      <c r="B1259" s="29" t="s">
        <v>97</v>
      </c>
      <c r="C1259" s="29" t="s">
        <v>51</v>
      </c>
      <c r="D1259" s="29" t="s">
        <v>2765</v>
      </c>
      <c r="E1259" s="29" t="s">
        <v>2695</v>
      </c>
      <c r="F1259" s="29" t="s">
        <v>1817</v>
      </c>
      <c r="G1259" s="29" t="s">
        <v>35</v>
      </c>
      <c r="H1259" s="29" t="s">
        <v>65</v>
      </c>
      <c r="I1259" s="29" t="s">
        <v>190</v>
      </c>
      <c r="J1259" s="29" t="s">
        <v>685</v>
      </c>
      <c r="K1259" s="29" t="s">
        <v>298</v>
      </c>
      <c r="L1259" s="29" t="s">
        <v>30</v>
      </c>
      <c r="M1259" s="29" t="n">
        <v>2409</v>
      </c>
      <c r="N1259" s="29" t="n">
        <v>2090</v>
      </c>
      <c r="O1259" s="29"/>
      <c r="P1259" s="30" t="n">
        <f aca="false">(M1259*N1259/1000000)*(INDEX(AreaRate_Vals,MATCH(C1259,AreaRate_Keys,0))+IFERROR(INDEX(GlazingUpg_Vals,MATCH(H1259,GlazingUpg_Keys,0)),0))+INDEX(Hardware_Vals,MATCH("Doors",Hardware_Keys,0))</f>
        <v>12130.063</v>
      </c>
      <c r="Q1259" s="31" t="n">
        <f aca="false">INDEX(Markup_Vals,MATCH("Doors",MarkupCat_Keys,0))</f>
        <v>0.4</v>
      </c>
      <c r="R1259" s="32" t="n">
        <f aca="false">P1259*(1+Q1259)</f>
        <v>16982.0882</v>
      </c>
      <c r="S1259" s="32" t="n">
        <f aca="false">R1259*(1-TradeDiscount)</f>
        <v>14944.237616</v>
      </c>
      <c r="T1259" s="32" t="n">
        <f aca="false">R1259*(1-VolumeDiscount)</f>
        <v>13585.67056</v>
      </c>
    </row>
    <row r="1260" customFormat="false" ht="15" hidden="false" customHeight="false" outlineLevel="0" collapsed="false">
      <c r="A1260" s="25" t="s">
        <v>2766</v>
      </c>
      <c r="B1260" s="25" t="s">
        <v>97</v>
      </c>
      <c r="C1260" s="25" t="s">
        <v>51</v>
      </c>
      <c r="D1260" s="25" t="s">
        <v>2767</v>
      </c>
      <c r="E1260" s="25" t="s">
        <v>2695</v>
      </c>
      <c r="F1260" s="25" t="s">
        <v>1817</v>
      </c>
      <c r="G1260" s="25" t="s">
        <v>36</v>
      </c>
      <c r="H1260" s="25" t="s">
        <v>65</v>
      </c>
      <c r="I1260" s="25" t="s">
        <v>190</v>
      </c>
      <c r="J1260" s="25" t="s">
        <v>685</v>
      </c>
      <c r="K1260" s="25" t="s">
        <v>298</v>
      </c>
      <c r="L1260" s="25" t="s">
        <v>30</v>
      </c>
      <c r="M1260" s="25" t="n">
        <v>2409</v>
      </c>
      <c r="N1260" s="25" t="n">
        <v>2090</v>
      </c>
      <c r="O1260" s="25"/>
      <c r="P1260" s="26" t="n">
        <f aca="false">(M1260*N1260/1000000)*(INDEX(AreaRate_Vals,MATCH(C1260,AreaRate_Keys,0))+IFERROR(INDEX(GlazingUpg_Vals,MATCH(H1260,GlazingUpg_Keys,0)),0))+INDEX(Hardware_Vals,MATCH("Doors",Hardware_Keys,0))</f>
        <v>12130.063</v>
      </c>
      <c r="Q1260" s="27" t="n">
        <f aca="false">INDEX(Markup_Vals,MATCH("Doors",MarkupCat_Keys,0))</f>
        <v>0.4</v>
      </c>
      <c r="R1260" s="28" t="n">
        <f aca="false">P1260*(1+Q1260)</f>
        <v>16982.0882</v>
      </c>
      <c r="S1260" s="28" t="n">
        <f aca="false">R1260*(1-TradeDiscount)</f>
        <v>14944.237616</v>
      </c>
      <c r="T1260" s="28" t="n">
        <f aca="false">R1260*(1-VolumeDiscount)</f>
        <v>13585.67056</v>
      </c>
    </row>
    <row r="1261" customFormat="false" ht="15" hidden="false" customHeight="false" outlineLevel="0" collapsed="false">
      <c r="A1261" s="29" t="s">
        <v>2768</v>
      </c>
      <c r="B1261" s="29" t="s">
        <v>97</v>
      </c>
      <c r="C1261" s="29" t="s">
        <v>51</v>
      </c>
      <c r="D1261" s="29" t="s">
        <v>2769</v>
      </c>
      <c r="E1261" s="29" t="s">
        <v>2695</v>
      </c>
      <c r="F1261" s="29" t="s">
        <v>1817</v>
      </c>
      <c r="G1261" s="29" t="s">
        <v>37</v>
      </c>
      <c r="H1261" s="29" t="s">
        <v>65</v>
      </c>
      <c r="I1261" s="29" t="s">
        <v>190</v>
      </c>
      <c r="J1261" s="29" t="s">
        <v>685</v>
      </c>
      <c r="K1261" s="29" t="s">
        <v>298</v>
      </c>
      <c r="L1261" s="29" t="s">
        <v>30</v>
      </c>
      <c r="M1261" s="29" t="n">
        <v>2409</v>
      </c>
      <c r="N1261" s="29" t="n">
        <v>2090</v>
      </c>
      <c r="O1261" s="29"/>
      <c r="P1261" s="30" t="n">
        <f aca="false">(M1261*N1261/1000000)*(INDEX(AreaRate_Vals,MATCH(C1261,AreaRate_Keys,0))+IFERROR(INDEX(GlazingUpg_Vals,MATCH(H1261,GlazingUpg_Keys,0)),0))+INDEX(Hardware_Vals,MATCH("Doors",Hardware_Keys,0))</f>
        <v>12130.063</v>
      </c>
      <c r="Q1261" s="31" t="n">
        <f aca="false">INDEX(Markup_Vals,MATCH("Doors",MarkupCat_Keys,0))</f>
        <v>0.4</v>
      </c>
      <c r="R1261" s="32" t="n">
        <f aca="false">P1261*(1+Q1261)</f>
        <v>16982.0882</v>
      </c>
      <c r="S1261" s="32" t="n">
        <f aca="false">R1261*(1-TradeDiscount)</f>
        <v>14944.237616</v>
      </c>
      <c r="T1261" s="32" t="n">
        <f aca="false">R1261*(1-VolumeDiscount)</f>
        <v>13585.67056</v>
      </c>
    </row>
    <row r="1262" customFormat="false" ht="15" hidden="false" customHeight="false" outlineLevel="0" collapsed="false">
      <c r="A1262" s="25" t="s">
        <v>2770</v>
      </c>
      <c r="B1262" s="25" t="s">
        <v>97</v>
      </c>
      <c r="C1262" s="25" t="s">
        <v>51</v>
      </c>
      <c r="D1262" s="25" t="s">
        <v>2771</v>
      </c>
      <c r="E1262" s="25" t="s">
        <v>2695</v>
      </c>
      <c r="F1262" s="25" t="s">
        <v>1817</v>
      </c>
      <c r="G1262" s="25" t="s">
        <v>39</v>
      </c>
      <c r="H1262" s="25" t="s">
        <v>65</v>
      </c>
      <c r="I1262" s="25" t="s">
        <v>190</v>
      </c>
      <c r="J1262" s="25" t="s">
        <v>685</v>
      </c>
      <c r="K1262" s="25" t="s">
        <v>298</v>
      </c>
      <c r="L1262" s="25" t="s">
        <v>30</v>
      </c>
      <c r="M1262" s="25" t="n">
        <v>2409</v>
      </c>
      <c r="N1262" s="25" t="n">
        <v>2090</v>
      </c>
      <c r="O1262" s="25"/>
      <c r="P1262" s="26" t="n">
        <f aca="false">(M1262*N1262/1000000)*(INDEX(AreaRate_Vals,MATCH(C1262,AreaRate_Keys,0))+IFERROR(INDEX(GlazingUpg_Vals,MATCH(H1262,GlazingUpg_Keys,0)),0))+INDEX(Hardware_Vals,MATCH("Doors",Hardware_Keys,0))</f>
        <v>12130.063</v>
      </c>
      <c r="Q1262" s="27" t="n">
        <f aca="false">INDEX(Markup_Vals,MATCH("Doors",MarkupCat_Keys,0))</f>
        <v>0.4</v>
      </c>
      <c r="R1262" s="28" t="n">
        <f aca="false">P1262*(1+Q1262)</f>
        <v>16982.0882</v>
      </c>
      <c r="S1262" s="28" t="n">
        <f aca="false">R1262*(1-TradeDiscount)</f>
        <v>14944.237616</v>
      </c>
      <c r="T1262" s="28" t="n">
        <f aca="false">R1262*(1-VolumeDiscount)</f>
        <v>13585.67056</v>
      </c>
    </row>
    <row r="1263" customFormat="false" ht="15" hidden="false" customHeight="false" outlineLevel="0" collapsed="false">
      <c r="A1263" s="29" t="s">
        <v>2772</v>
      </c>
      <c r="B1263" s="29" t="s">
        <v>97</v>
      </c>
      <c r="C1263" s="29" t="s">
        <v>51</v>
      </c>
      <c r="D1263" s="29" t="s">
        <v>2773</v>
      </c>
      <c r="E1263" s="29" t="s">
        <v>2695</v>
      </c>
      <c r="F1263" s="29" t="s">
        <v>1817</v>
      </c>
      <c r="G1263" s="29" t="s">
        <v>38</v>
      </c>
      <c r="H1263" s="29" t="s">
        <v>65</v>
      </c>
      <c r="I1263" s="29" t="s">
        <v>190</v>
      </c>
      <c r="J1263" s="29" t="s">
        <v>685</v>
      </c>
      <c r="K1263" s="29" t="s">
        <v>298</v>
      </c>
      <c r="L1263" s="29" t="s">
        <v>30</v>
      </c>
      <c r="M1263" s="29" t="n">
        <v>2409</v>
      </c>
      <c r="N1263" s="29" t="n">
        <v>2090</v>
      </c>
      <c r="O1263" s="29"/>
      <c r="P1263" s="30" t="n">
        <f aca="false">(M1263*N1263/1000000)*(INDEX(AreaRate_Vals,MATCH(C1263,AreaRate_Keys,0))+IFERROR(INDEX(GlazingUpg_Vals,MATCH(H1263,GlazingUpg_Keys,0)),0))+INDEX(Hardware_Vals,MATCH("Doors",Hardware_Keys,0))</f>
        <v>12130.063</v>
      </c>
      <c r="Q1263" s="31" t="n">
        <f aca="false">INDEX(Markup_Vals,MATCH("Doors",MarkupCat_Keys,0))</f>
        <v>0.4</v>
      </c>
      <c r="R1263" s="32" t="n">
        <f aca="false">P1263*(1+Q1263)</f>
        <v>16982.0882</v>
      </c>
      <c r="S1263" s="32" t="n">
        <f aca="false">R1263*(1-TradeDiscount)</f>
        <v>14944.237616</v>
      </c>
      <c r="T1263" s="32" t="n">
        <f aca="false">R1263*(1-VolumeDiscount)</f>
        <v>13585.67056</v>
      </c>
    </row>
    <row r="1264" customFormat="false" ht="15" hidden="false" customHeight="false" outlineLevel="0" collapsed="false">
      <c r="A1264" s="25" t="s">
        <v>2774</v>
      </c>
      <c r="B1264" s="25" t="s">
        <v>97</v>
      </c>
      <c r="C1264" s="25" t="s">
        <v>52</v>
      </c>
      <c r="D1264" s="25" t="s">
        <v>2775</v>
      </c>
      <c r="E1264" s="25" t="s">
        <v>2776</v>
      </c>
      <c r="F1264" s="25" t="s">
        <v>2777</v>
      </c>
      <c r="G1264" s="25" t="s">
        <v>35</v>
      </c>
      <c r="H1264" s="25" t="s">
        <v>67</v>
      </c>
      <c r="I1264" s="25" t="s">
        <v>190</v>
      </c>
      <c r="J1264" s="25" t="s">
        <v>1654</v>
      </c>
      <c r="K1264" s="25" t="s">
        <v>298</v>
      </c>
      <c r="L1264" s="25" t="s">
        <v>30</v>
      </c>
      <c r="M1264" s="25" t="n">
        <v>1209</v>
      </c>
      <c r="N1264" s="25" t="n">
        <v>2009</v>
      </c>
      <c r="O1264" s="25"/>
      <c r="P1264" s="26" t="n">
        <f aca="false">(M1264*N1264/1000000)*(INDEX(AreaRate_Vals,MATCH(C1264,AreaRate_Keys,0))+IFERROR(INDEX(GlazingUpg_Vals,MATCH(H1264,GlazingUpg_Keys,0)),0))+INDEX(Hardware_Vals,MATCH("Doors",Hardware_Keys,0))</f>
        <v>6379.3144</v>
      </c>
      <c r="Q1264" s="27" t="n">
        <f aca="false">INDEX(Markup_Vals,MATCH("Doors",MarkupCat_Keys,0))</f>
        <v>0.4</v>
      </c>
      <c r="R1264" s="28" t="n">
        <f aca="false">P1264*(1+Q1264)</f>
        <v>8931.04016</v>
      </c>
      <c r="S1264" s="28" t="n">
        <f aca="false">R1264*(1-TradeDiscount)</f>
        <v>7859.3153408</v>
      </c>
      <c r="T1264" s="28" t="n">
        <f aca="false">R1264*(1-VolumeDiscount)</f>
        <v>7144.832128</v>
      </c>
    </row>
    <row r="1265" customFormat="false" ht="15" hidden="false" customHeight="false" outlineLevel="0" collapsed="false">
      <c r="A1265" s="29" t="s">
        <v>2778</v>
      </c>
      <c r="B1265" s="29" t="s">
        <v>97</v>
      </c>
      <c r="C1265" s="29" t="s">
        <v>52</v>
      </c>
      <c r="D1265" s="29" t="s">
        <v>2779</v>
      </c>
      <c r="E1265" s="29" t="s">
        <v>2776</v>
      </c>
      <c r="F1265" s="29" t="s">
        <v>2777</v>
      </c>
      <c r="G1265" s="29" t="s">
        <v>36</v>
      </c>
      <c r="H1265" s="29" t="s">
        <v>67</v>
      </c>
      <c r="I1265" s="29" t="s">
        <v>190</v>
      </c>
      <c r="J1265" s="29" t="s">
        <v>1654</v>
      </c>
      <c r="K1265" s="29" t="s">
        <v>298</v>
      </c>
      <c r="L1265" s="29" t="s">
        <v>30</v>
      </c>
      <c r="M1265" s="29" t="n">
        <v>1209</v>
      </c>
      <c r="N1265" s="29" t="n">
        <v>2009</v>
      </c>
      <c r="O1265" s="29"/>
      <c r="P1265" s="30" t="n">
        <f aca="false">(M1265*N1265/1000000)*(INDEX(AreaRate_Vals,MATCH(C1265,AreaRate_Keys,0))+IFERROR(INDEX(GlazingUpg_Vals,MATCH(H1265,GlazingUpg_Keys,0)),0))+INDEX(Hardware_Vals,MATCH("Doors",Hardware_Keys,0))</f>
        <v>6379.3144</v>
      </c>
      <c r="Q1265" s="31" t="n">
        <f aca="false">INDEX(Markup_Vals,MATCH("Doors",MarkupCat_Keys,0))</f>
        <v>0.4</v>
      </c>
      <c r="R1265" s="32" t="n">
        <f aca="false">P1265*(1+Q1265)</f>
        <v>8931.04016</v>
      </c>
      <c r="S1265" s="32" t="n">
        <f aca="false">R1265*(1-TradeDiscount)</f>
        <v>7859.3153408</v>
      </c>
      <c r="T1265" s="32" t="n">
        <f aca="false">R1265*(1-VolumeDiscount)</f>
        <v>7144.832128</v>
      </c>
    </row>
    <row r="1266" customFormat="false" ht="15" hidden="false" customHeight="false" outlineLevel="0" collapsed="false">
      <c r="A1266" s="25" t="s">
        <v>2780</v>
      </c>
      <c r="B1266" s="25" t="s">
        <v>97</v>
      </c>
      <c r="C1266" s="25" t="s">
        <v>52</v>
      </c>
      <c r="D1266" s="25" t="s">
        <v>2781</v>
      </c>
      <c r="E1266" s="25" t="s">
        <v>2776</v>
      </c>
      <c r="F1266" s="25" t="s">
        <v>2777</v>
      </c>
      <c r="G1266" s="25" t="s">
        <v>37</v>
      </c>
      <c r="H1266" s="25" t="s">
        <v>67</v>
      </c>
      <c r="I1266" s="25" t="s">
        <v>190</v>
      </c>
      <c r="J1266" s="25" t="s">
        <v>1654</v>
      </c>
      <c r="K1266" s="25" t="s">
        <v>298</v>
      </c>
      <c r="L1266" s="25" t="s">
        <v>30</v>
      </c>
      <c r="M1266" s="25" t="n">
        <v>1209</v>
      </c>
      <c r="N1266" s="25" t="n">
        <v>2009</v>
      </c>
      <c r="O1266" s="25"/>
      <c r="P1266" s="26" t="n">
        <f aca="false">(M1266*N1266/1000000)*(INDEX(AreaRate_Vals,MATCH(C1266,AreaRate_Keys,0))+IFERROR(INDEX(GlazingUpg_Vals,MATCH(H1266,GlazingUpg_Keys,0)),0))+INDEX(Hardware_Vals,MATCH("Doors",Hardware_Keys,0))</f>
        <v>6379.3144</v>
      </c>
      <c r="Q1266" s="27" t="n">
        <f aca="false">INDEX(Markup_Vals,MATCH("Doors",MarkupCat_Keys,0))</f>
        <v>0.4</v>
      </c>
      <c r="R1266" s="28" t="n">
        <f aca="false">P1266*(1+Q1266)</f>
        <v>8931.04016</v>
      </c>
      <c r="S1266" s="28" t="n">
        <f aca="false">R1266*(1-TradeDiscount)</f>
        <v>7859.3153408</v>
      </c>
      <c r="T1266" s="28" t="n">
        <f aca="false">R1266*(1-VolumeDiscount)</f>
        <v>7144.832128</v>
      </c>
    </row>
    <row r="1267" customFormat="false" ht="15" hidden="false" customHeight="false" outlineLevel="0" collapsed="false">
      <c r="A1267" s="29" t="s">
        <v>2782</v>
      </c>
      <c r="B1267" s="29" t="s">
        <v>97</v>
      </c>
      <c r="C1267" s="29" t="s">
        <v>52</v>
      </c>
      <c r="D1267" s="29" t="s">
        <v>2783</v>
      </c>
      <c r="E1267" s="29" t="s">
        <v>2776</v>
      </c>
      <c r="F1267" s="29" t="s">
        <v>2777</v>
      </c>
      <c r="G1267" s="29" t="s">
        <v>39</v>
      </c>
      <c r="H1267" s="29" t="s">
        <v>67</v>
      </c>
      <c r="I1267" s="29" t="s">
        <v>190</v>
      </c>
      <c r="J1267" s="29" t="s">
        <v>1654</v>
      </c>
      <c r="K1267" s="29" t="s">
        <v>298</v>
      </c>
      <c r="L1267" s="29" t="s">
        <v>30</v>
      </c>
      <c r="M1267" s="29" t="n">
        <v>1209</v>
      </c>
      <c r="N1267" s="29" t="n">
        <v>2009</v>
      </c>
      <c r="O1267" s="29"/>
      <c r="P1267" s="30" t="n">
        <f aca="false">(M1267*N1267/1000000)*(INDEX(AreaRate_Vals,MATCH(C1267,AreaRate_Keys,0))+IFERROR(INDEX(GlazingUpg_Vals,MATCH(H1267,GlazingUpg_Keys,0)),0))+INDEX(Hardware_Vals,MATCH("Doors",Hardware_Keys,0))</f>
        <v>6379.3144</v>
      </c>
      <c r="Q1267" s="31" t="n">
        <f aca="false">INDEX(Markup_Vals,MATCH("Doors",MarkupCat_Keys,0))</f>
        <v>0.4</v>
      </c>
      <c r="R1267" s="32" t="n">
        <f aca="false">P1267*(1+Q1267)</f>
        <v>8931.04016</v>
      </c>
      <c r="S1267" s="32" t="n">
        <f aca="false">R1267*(1-TradeDiscount)</f>
        <v>7859.3153408</v>
      </c>
      <c r="T1267" s="32" t="n">
        <f aca="false">R1267*(1-VolumeDiscount)</f>
        <v>7144.832128</v>
      </c>
    </row>
    <row r="1268" customFormat="false" ht="15" hidden="false" customHeight="false" outlineLevel="0" collapsed="false">
      <c r="A1268" s="25" t="s">
        <v>2784</v>
      </c>
      <c r="B1268" s="25" t="s">
        <v>97</v>
      </c>
      <c r="C1268" s="25" t="s">
        <v>52</v>
      </c>
      <c r="D1268" s="25" t="s">
        <v>2785</v>
      </c>
      <c r="E1268" s="25" t="s">
        <v>2776</v>
      </c>
      <c r="F1268" s="25" t="s">
        <v>2777</v>
      </c>
      <c r="G1268" s="25" t="s">
        <v>38</v>
      </c>
      <c r="H1268" s="25" t="s">
        <v>67</v>
      </c>
      <c r="I1268" s="25" t="s">
        <v>190</v>
      </c>
      <c r="J1268" s="25" t="s">
        <v>1654</v>
      </c>
      <c r="K1268" s="25" t="s">
        <v>298</v>
      </c>
      <c r="L1268" s="25" t="s">
        <v>30</v>
      </c>
      <c r="M1268" s="25" t="n">
        <v>1209</v>
      </c>
      <c r="N1268" s="25" t="n">
        <v>2009</v>
      </c>
      <c r="O1268" s="25"/>
      <c r="P1268" s="26" t="n">
        <f aca="false">(M1268*N1268/1000000)*(INDEX(AreaRate_Vals,MATCH(C1268,AreaRate_Keys,0))+IFERROR(INDEX(GlazingUpg_Vals,MATCH(H1268,GlazingUpg_Keys,0)),0))+INDEX(Hardware_Vals,MATCH("Doors",Hardware_Keys,0))</f>
        <v>6379.3144</v>
      </c>
      <c r="Q1268" s="27" t="n">
        <f aca="false">INDEX(Markup_Vals,MATCH("Doors",MarkupCat_Keys,0))</f>
        <v>0.4</v>
      </c>
      <c r="R1268" s="28" t="n">
        <f aca="false">P1268*(1+Q1268)</f>
        <v>8931.04016</v>
      </c>
      <c r="S1268" s="28" t="n">
        <f aca="false">R1268*(1-TradeDiscount)</f>
        <v>7859.3153408</v>
      </c>
      <c r="T1268" s="28" t="n">
        <f aca="false">R1268*(1-VolumeDiscount)</f>
        <v>7144.832128</v>
      </c>
    </row>
    <row r="1269" customFormat="false" ht="15" hidden="false" customHeight="false" outlineLevel="0" collapsed="false">
      <c r="A1269" s="29" t="s">
        <v>2786</v>
      </c>
      <c r="B1269" s="29" t="s">
        <v>97</v>
      </c>
      <c r="C1269" s="29" t="s">
        <v>52</v>
      </c>
      <c r="D1269" s="29" t="s">
        <v>2787</v>
      </c>
      <c r="E1269" s="29" t="s">
        <v>2776</v>
      </c>
      <c r="F1269" s="29" t="s">
        <v>2788</v>
      </c>
      <c r="G1269" s="29" t="s">
        <v>35</v>
      </c>
      <c r="H1269" s="29" t="s">
        <v>67</v>
      </c>
      <c r="I1269" s="29" t="s">
        <v>190</v>
      </c>
      <c r="J1269" s="29" t="s">
        <v>1654</v>
      </c>
      <c r="K1269" s="29" t="s">
        <v>298</v>
      </c>
      <c r="L1269" s="29" t="s">
        <v>30</v>
      </c>
      <c r="M1269" s="29" t="n">
        <v>1509</v>
      </c>
      <c r="N1269" s="29" t="n">
        <v>2009</v>
      </c>
      <c r="O1269" s="29"/>
      <c r="P1269" s="30" t="n">
        <f aca="false">(M1269*N1269/1000000)*(INDEX(AreaRate_Vals,MATCH(C1269,AreaRate_Keys,0))+IFERROR(INDEX(GlazingUpg_Vals,MATCH(H1269,GlazingUpg_Keys,0)),0))+INDEX(Hardware_Vals,MATCH("Doors",Hardware_Keys,0))</f>
        <v>7825.7944</v>
      </c>
      <c r="Q1269" s="31" t="n">
        <f aca="false">INDEX(Markup_Vals,MATCH("Doors",MarkupCat_Keys,0))</f>
        <v>0.4</v>
      </c>
      <c r="R1269" s="32" t="n">
        <f aca="false">P1269*(1+Q1269)</f>
        <v>10956.11216</v>
      </c>
      <c r="S1269" s="32" t="n">
        <f aca="false">R1269*(1-TradeDiscount)</f>
        <v>9641.3787008</v>
      </c>
      <c r="T1269" s="32" t="n">
        <f aca="false">R1269*(1-VolumeDiscount)</f>
        <v>8764.889728</v>
      </c>
    </row>
    <row r="1270" customFormat="false" ht="15" hidden="false" customHeight="false" outlineLevel="0" collapsed="false">
      <c r="A1270" s="25" t="s">
        <v>2789</v>
      </c>
      <c r="B1270" s="25" t="s">
        <v>97</v>
      </c>
      <c r="C1270" s="25" t="s">
        <v>52</v>
      </c>
      <c r="D1270" s="25" t="s">
        <v>2790</v>
      </c>
      <c r="E1270" s="25" t="s">
        <v>2776</v>
      </c>
      <c r="F1270" s="25" t="s">
        <v>2788</v>
      </c>
      <c r="G1270" s="25" t="s">
        <v>36</v>
      </c>
      <c r="H1270" s="25" t="s">
        <v>67</v>
      </c>
      <c r="I1270" s="25" t="s">
        <v>190</v>
      </c>
      <c r="J1270" s="25" t="s">
        <v>1654</v>
      </c>
      <c r="K1270" s="25" t="s">
        <v>298</v>
      </c>
      <c r="L1270" s="25" t="s">
        <v>30</v>
      </c>
      <c r="M1270" s="25" t="n">
        <v>1509</v>
      </c>
      <c r="N1270" s="25" t="n">
        <v>2009</v>
      </c>
      <c r="O1270" s="25"/>
      <c r="P1270" s="26" t="n">
        <f aca="false">(M1270*N1270/1000000)*(INDEX(AreaRate_Vals,MATCH(C1270,AreaRate_Keys,0))+IFERROR(INDEX(GlazingUpg_Vals,MATCH(H1270,GlazingUpg_Keys,0)),0))+INDEX(Hardware_Vals,MATCH("Doors",Hardware_Keys,0))</f>
        <v>7825.7944</v>
      </c>
      <c r="Q1270" s="27" t="n">
        <f aca="false">INDEX(Markup_Vals,MATCH("Doors",MarkupCat_Keys,0))</f>
        <v>0.4</v>
      </c>
      <c r="R1270" s="28" t="n">
        <f aca="false">P1270*(1+Q1270)</f>
        <v>10956.11216</v>
      </c>
      <c r="S1270" s="28" t="n">
        <f aca="false">R1270*(1-TradeDiscount)</f>
        <v>9641.3787008</v>
      </c>
      <c r="T1270" s="28" t="n">
        <f aca="false">R1270*(1-VolumeDiscount)</f>
        <v>8764.889728</v>
      </c>
    </row>
    <row r="1271" customFormat="false" ht="15" hidden="false" customHeight="false" outlineLevel="0" collapsed="false">
      <c r="A1271" s="29" t="s">
        <v>2791</v>
      </c>
      <c r="B1271" s="29" t="s">
        <v>97</v>
      </c>
      <c r="C1271" s="29" t="s">
        <v>52</v>
      </c>
      <c r="D1271" s="29" t="s">
        <v>2792</v>
      </c>
      <c r="E1271" s="29" t="s">
        <v>2776</v>
      </c>
      <c r="F1271" s="29" t="s">
        <v>2788</v>
      </c>
      <c r="G1271" s="29" t="s">
        <v>37</v>
      </c>
      <c r="H1271" s="29" t="s">
        <v>67</v>
      </c>
      <c r="I1271" s="29" t="s">
        <v>190</v>
      </c>
      <c r="J1271" s="29" t="s">
        <v>1654</v>
      </c>
      <c r="K1271" s="29" t="s">
        <v>298</v>
      </c>
      <c r="L1271" s="29" t="s">
        <v>30</v>
      </c>
      <c r="M1271" s="29" t="n">
        <v>1509</v>
      </c>
      <c r="N1271" s="29" t="n">
        <v>2009</v>
      </c>
      <c r="O1271" s="29"/>
      <c r="P1271" s="30" t="n">
        <f aca="false">(M1271*N1271/1000000)*(INDEX(AreaRate_Vals,MATCH(C1271,AreaRate_Keys,0))+IFERROR(INDEX(GlazingUpg_Vals,MATCH(H1271,GlazingUpg_Keys,0)),0))+INDEX(Hardware_Vals,MATCH("Doors",Hardware_Keys,0))</f>
        <v>7825.7944</v>
      </c>
      <c r="Q1271" s="31" t="n">
        <f aca="false">INDEX(Markup_Vals,MATCH("Doors",MarkupCat_Keys,0))</f>
        <v>0.4</v>
      </c>
      <c r="R1271" s="32" t="n">
        <f aca="false">P1271*(1+Q1271)</f>
        <v>10956.11216</v>
      </c>
      <c r="S1271" s="32" t="n">
        <f aca="false">R1271*(1-TradeDiscount)</f>
        <v>9641.3787008</v>
      </c>
      <c r="T1271" s="32" t="n">
        <f aca="false">R1271*(1-VolumeDiscount)</f>
        <v>8764.889728</v>
      </c>
    </row>
    <row r="1272" customFormat="false" ht="15" hidden="false" customHeight="false" outlineLevel="0" collapsed="false">
      <c r="A1272" s="25" t="s">
        <v>2793</v>
      </c>
      <c r="B1272" s="25" t="s">
        <v>97</v>
      </c>
      <c r="C1272" s="25" t="s">
        <v>52</v>
      </c>
      <c r="D1272" s="25" t="s">
        <v>2794</v>
      </c>
      <c r="E1272" s="25" t="s">
        <v>2776</v>
      </c>
      <c r="F1272" s="25" t="s">
        <v>2788</v>
      </c>
      <c r="G1272" s="25" t="s">
        <v>39</v>
      </c>
      <c r="H1272" s="25" t="s">
        <v>67</v>
      </c>
      <c r="I1272" s="25" t="s">
        <v>190</v>
      </c>
      <c r="J1272" s="25" t="s">
        <v>1654</v>
      </c>
      <c r="K1272" s="25" t="s">
        <v>298</v>
      </c>
      <c r="L1272" s="25" t="s">
        <v>30</v>
      </c>
      <c r="M1272" s="25" t="n">
        <v>1509</v>
      </c>
      <c r="N1272" s="25" t="n">
        <v>2009</v>
      </c>
      <c r="O1272" s="25"/>
      <c r="P1272" s="26" t="n">
        <f aca="false">(M1272*N1272/1000000)*(INDEX(AreaRate_Vals,MATCH(C1272,AreaRate_Keys,0))+IFERROR(INDEX(GlazingUpg_Vals,MATCH(H1272,GlazingUpg_Keys,0)),0))+INDEX(Hardware_Vals,MATCH("Doors",Hardware_Keys,0))</f>
        <v>7825.7944</v>
      </c>
      <c r="Q1272" s="27" t="n">
        <f aca="false">INDEX(Markup_Vals,MATCH("Doors",MarkupCat_Keys,0))</f>
        <v>0.4</v>
      </c>
      <c r="R1272" s="28" t="n">
        <f aca="false">P1272*(1+Q1272)</f>
        <v>10956.11216</v>
      </c>
      <c r="S1272" s="28" t="n">
        <f aca="false">R1272*(1-TradeDiscount)</f>
        <v>9641.3787008</v>
      </c>
      <c r="T1272" s="28" t="n">
        <f aca="false">R1272*(1-VolumeDiscount)</f>
        <v>8764.889728</v>
      </c>
    </row>
    <row r="1273" customFormat="false" ht="15" hidden="false" customHeight="false" outlineLevel="0" collapsed="false">
      <c r="A1273" s="29" t="s">
        <v>2795</v>
      </c>
      <c r="B1273" s="29" t="s">
        <v>97</v>
      </c>
      <c r="C1273" s="29" t="s">
        <v>52</v>
      </c>
      <c r="D1273" s="29" t="s">
        <v>2796</v>
      </c>
      <c r="E1273" s="29" t="s">
        <v>2776</v>
      </c>
      <c r="F1273" s="29" t="s">
        <v>2788</v>
      </c>
      <c r="G1273" s="29" t="s">
        <v>38</v>
      </c>
      <c r="H1273" s="29" t="s">
        <v>67</v>
      </c>
      <c r="I1273" s="29" t="s">
        <v>190</v>
      </c>
      <c r="J1273" s="29" t="s">
        <v>1654</v>
      </c>
      <c r="K1273" s="29" t="s">
        <v>298</v>
      </c>
      <c r="L1273" s="29" t="s">
        <v>30</v>
      </c>
      <c r="M1273" s="29" t="n">
        <v>1509</v>
      </c>
      <c r="N1273" s="29" t="n">
        <v>2009</v>
      </c>
      <c r="O1273" s="29"/>
      <c r="P1273" s="30" t="n">
        <f aca="false">(M1273*N1273/1000000)*(INDEX(AreaRate_Vals,MATCH(C1273,AreaRate_Keys,0))+IFERROR(INDEX(GlazingUpg_Vals,MATCH(H1273,GlazingUpg_Keys,0)),0))+INDEX(Hardware_Vals,MATCH("Doors",Hardware_Keys,0))</f>
        <v>7825.7944</v>
      </c>
      <c r="Q1273" s="31" t="n">
        <f aca="false">INDEX(Markup_Vals,MATCH("Doors",MarkupCat_Keys,0))</f>
        <v>0.4</v>
      </c>
      <c r="R1273" s="32" t="n">
        <f aca="false">P1273*(1+Q1273)</f>
        <v>10956.11216</v>
      </c>
      <c r="S1273" s="32" t="n">
        <f aca="false">R1273*(1-TradeDiscount)</f>
        <v>9641.3787008</v>
      </c>
      <c r="T1273" s="32" t="n">
        <f aca="false">R1273*(1-VolumeDiscount)</f>
        <v>8764.889728</v>
      </c>
    </row>
    <row r="1274" customFormat="false" ht="15" hidden="false" customHeight="false" outlineLevel="0" collapsed="false">
      <c r="A1274" s="25" t="s">
        <v>2797</v>
      </c>
      <c r="B1274" s="25" t="s">
        <v>97</v>
      </c>
      <c r="C1274" s="25" t="s">
        <v>52</v>
      </c>
      <c r="D1274" s="25" t="s">
        <v>2798</v>
      </c>
      <c r="E1274" s="25" t="s">
        <v>2776</v>
      </c>
      <c r="F1274" s="25" t="s">
        <v>1796</v>
      </c>
      <c r="G1274" s="25" t="s">
        <v>35</v>
      </c>
      <c r="H1274" s="25" t="s">
        <v>67</v>
      </c>
      <c r="I1274" s="25" t="s">
        <v>190</v>
      </c>
      <c r="J1274" s="25" t="s">
        <v>1654</v>
      </c>
      <c r="K1274" s="25" t="s">
        <v>298</v>
      </c>
      <c r="L1274" s="25" t="s">
        <v>30</v>
      </c>
      <c r="M1274" s="25" t="n">
        <v>1809</v>
      </c>
      <c r="N1274" s="25" t="n">
        <v>2090</v>
      </c>
      <c r="O1274" s="25"/>
      <c r="P1274" s="26" t="n">
        <f aca="false">(M1274*N1274/1000000)*(INDEX(AreaRate_Vals,MATCH(C1274,AreaRate_Keys,0))+IFERROR(INDEX(GlazingUpg_Vals,MATCH(H1274,GlazingUpg_Keys,0)),0))+INDEX(Hardware_Vals,MATCH("Doors",Hardware_Keys,0))</f>
        <v>9623.944</v>
      </c>
      <c r="Q1274" s="27" t="n">
        <f aca="false">INDEX(Markup_Vals,MATCH("Doors",MarkupCat_Keys,0))</f>
        <v>0.4</v>
      </c>
      <c r="R1274" s="28" t="n">
        <f aca="false">P1274*(1+Q1274)</f>
        <v>13473.5216</v>
      </c>
      <c r="S1274" s="28" t="n">
        <f aca="false">R1274*(1-TradeDiscount)</f>
        <v>11856.699008</v>
      </c>
      <c r="T1274" s="28" t="n">
        <f aca="false">R1274*(1-VolumeDiscount)</f>
        <v>10778.81728</v>
      </c>
    </row>
    <row r="1275" customFormat="false" ht="15" hidden="false" customHeight="false" outlineLevel="0" collapsed="false">
      <c r="A1275" s="29" t="s">
        <v>2799</v>
      </c>
      <c r="B1275" s="29" t="s">
        <v>97</v>
      </c>
      <c r="C1275" s="29" t="s">
        <v>52</v>
      </c>
      <c r="D1275" s="29" t="s">
        <v>2800</v>
      </c>
      <c r="E1275" s="29" t="s">
        <v>2776</v>
      </c>
      <c r="F1275" s="29" t="s">
        <v>1796</v>
      </c>
      <c r="G1275" s="29" t="s">
        <v>36</v>
      </c>
      <c r="H1275" s="29" t="s">
        <v>67</v>
      </c>
      <c r="I1275" s="29" t="s">
        <v>190</v>
      </c>
      <c r="J1275" s="29" t="s">
        <v>1654</v>
      </c>
      <c r="K1275" s="29" t="s">
        <v>298</v>
      </c>
      <c r="L1275" s="29" t="s">
        <v>30</v>
      </c>
      <c r="M1275" s="29" t="n">
        <v>1809</v>
      </c>
      <c r="N1275" s="29" t="n">
        <v>2090</v>
      </c>
      <c r="O1275" s="29"/>
      <c r="P1275" s="30" t="n">
        <f aca="false">(M1275*N1275/1000000)*(INDEX(AreaRate_Vals,MATCH(C1275,AreaRate_Keys,0))+IFERROR(INDEX(GlazingUpg_Vals,MATCH(H1275,GlazingUpg_Keys,0)),0))+INDEX(Hardware_Vals,MATCH("Doors",Hardware_Keys,0))</f>
        <v>9623.944</v>
      </c>
      <c r="Q1275" s="31" t="n">
        <f aca="false">INDEX(Markup_Vals,MATCH("Doors",MarkupCat_Keys,0))</f>
        <v>0.4</v>
      </c>
      <c r="R1275" s="32" t="n">
        <f aca="false">P1275*(1+Q1275)</f>
        <v>13473.5216</v>
      </c>
      <c r="S1275" s="32" t="n">
        <f aca="false">R1275*(1-TradeDiscount)</f>
        <v>11856.699008</v>
      </c>
      <c r="T1275" s="32" t="n">
        <f aca="false">R1275*(1-VolumeDiscount)</f>
        <v>10778.81728</v>
      </c>
    </row>
    <row r="1276" customFormat="false" ht="15" hidden="false" customHeight="false" outlineLevel="0" collapsed="false">
      <c r="A1276" s="25" t="s">
        <v>2801</v>
      </c>
      <c r="B1276" s="25" t="s">
        <v>97</v>
      </c>
      <c r="C1276" s="25" t="s">
        <v>52</v>
      </c>
      <c r="D1276" s="25" t="s">
        <v>2802</v>
      </c>
      <c r="E1276" s="25" t="s">
        <v>2776</v>
      </c>
      <c r="F1276" s="25" t="s">
        <v>1796</v>
      </c>
      <c r="G1276" s="25" t="s">
        <v>37</v>
      </c>
      <c r="H1276" s="25" t="s">
        <v>67</v>
      </c>
      <c r="I1276" s="25" t="s">
        <v>190</v>
      </c>
      <c r="J1276" s="25" t="s">
        <v>1654</v>
      </c>
      <c r="K1276" s="25" t="s">
        <v>298</v>
      </c>
      <c r="L1276" s="25" t="s">
        <v>30</v>
      </c>
      <c r="M1276" s="25" t="n">
        <v>1809</v>
      </c>
      <c r="N1276" s="25" t="n">
        <v>2090</v>
      </c>
      <c r="O1276" s="25"/>
      <c r="P1276" s="26" t="n">
        <f aca="false">(M1276*N1276/1000000)*(INDEX(AreaRate_Vals,MATCH(C1276,AreaRate_Keys,0))+IFERROR(INDEX(GlazingUpg_Vals,MATCH(H1276,GlazingUpg_Keys,0)),0))+INDEX(Hardware_Vals,MATCH("Doors",Hardware_Keys,0))</f>
        <v>9623.944</v>
      </c>
      <c r="Q1276" s="27" t="n">
        <f aca="false">INDEX(Markup_Vals,MATCH("Doors",MarkupCat_Keys,0))</f>
        <v>0.4</v>
      </c>
      <c r="R1276" s="28" t="n">
        <f aca="false">P1276*(1+Q1276)</f>
        <v>13473.5216</v>
      </c>
      <c r="S1276" s="28" t="n">
        <f aca="false">R1276*(1-TradeDiscount)</f>
        <v>11856.699008</v>
      </c>
      <c r="T1276" s="28" t="n">
        <f aca="false">R1276*(1-VolumeDiscount)</f>
        <v>10778.81728</v>
      </c>
    </row>
    <row r="1277" customFormat="false" ht="15" hidden="false" customHeight="false" outlineLevel="0" collapsed="false">
      <c r="A1277" s="29" t="s">
        <v>2803</v>
      </c>
      <c r="B1277" s="29" t="s">
        <v>97</v>
      </c>
      <c r="C1277" s="29" t="s">
        <v>52</v>
      </c>
      <c r="D1277" s="29" t="s">
        <v>2804</v>
      </c>
      <c r="E1277" s="29" t="s">
        <v>2776</v>
      </c>
      <c r="F1277" s="29" t="s">
        <v>1796</v>
      </c>
      <c r="G1277" s="29" t="s">
        <v>39</v>
      </c>
      <c r="H1277" s="29" t="s">
        <v>67</v>
      </c>
      <c r="I1277" s="29" t="s">
        <v>190</v>
      </c>
      <c r="J1277" s="29" t="s">
        <v>1654</v>
      </c>
      <c r="K1277" s="29" t="s">
        <v>298</v>
      </c>
      <c r="L1277" s="29" t="s">
        <v>30</v>
      </c>
      <c r="M1277" s="29" t="n">
        <v>1809</v>
      </c>
      <c r="N1277" s="29" t="n">
        <v>2090</v>
      </c>
      <c r="O1277" s="29"/>
      <c r="P1277" s="30" t="n">
        <f aca="false">(M1277*N1277/1000000)*(INDEX(AreaRate_Vals,MATCH(C1277,AreaRate_Keys,0))+IFERROR(INDEX(GlazingUpg_Vals,MATCH(H1277,GlazingUpg_Keys,0)),0))+INDEX(Hardware_Vals,MATCH("Doors",Hardware_Keys,0))</f>
        <v>9623.944</v>
      </c>
      <c r="Q1277" s="31" t="n">
        <f aca="false">INDEX(Markup_Vals,MATCH("Doors",MarkupCat_Keys,0))</f>
        <v>0.4</v>
      </c>
      <c r="R1277" s="32" t="n">
        <f aca="false">P1277*(1+Q1277)</f>
        <v>13473.5216</v>
      </c>
      <c r="S1277" s="32" t="n">
        <f aca="false">R1277*(1-TradeDiscount)</f>
        <v>11856.699008</v>
      </c>
      <c r="T1277" s="32" t="n">
        <f aca="false">R1277*(1-VolumeDiscount)</f>
        <v>10778.81728</v>
      </c>
    </row>
    <row r="1278" customFormat="false" ht="15" hidden="false" customHeight="false" outlineLevel="0" collapsed="false">
      <c r="A1278" s="25" t="s">
        <v>2805</v>
      </c>
      <c r="B1278" s="25" t="s">
        <v>97</v>
      </c>
      <c r="C1278" s="25" t="s">
        <v>52</v>
      </c>
      <c r="D1278" s="25" t="s">
        <v>2806</v>
      </c>
      <c r="E1278" s="25" t="s">
        <v>2776</v>
      </c>
      <c r="F1278" s="25" t="s">
        <v>1796</v>
      </c>
      <c r="G1278" s="25" t="s">
        <v>38</v>
      </c>
      <c r="H1278" s="25" t="s">
        <v>67</v>
      </c>
      <c r="I1278" s="25" t="s">
        <v>190</v>
      </c>
      <c r="J1278" s="25" t="s">
        <v>1654</v>
      </c>
      <c r="K1278" s="25" t="s">
        <v>298</v>
      </c>
      <c r="L1278" s="25" t="s">
        <v>30</v>
      </c>
      <c r="M1278" s="25" t="n">
        <v>1809</v>
      </c>
      <c r="N1278" s="25" t="n">
        <v>2090</v>
      </c>
      <c r="O1278" s="25"/>
      <c r="P1278" s="26" t="n">
        <f aca="false">(M1278*N1278/1000000)*(INDEX(AreaRate_Vals,MATCH(C1278,AreaRate_Keys,0))+IFERROR(INDEX(GlazingUpg_Vals,MATCH(H1278,GlazingUpg_Keys,0)),0))+INDEX(Hardware_Vals,MATCH("Doors",Hardware_Keys,0))</f>
        <v>9623.944</v>
      </c>
      <c r="Q1278" s="27" t="n">
        <f aca="false">INDEX(Markup_Vals,MATCH("Doors",MarkupCat_Keys,0))</f>
        <v>0.4</v>
      </c>
      <c r="R1278" s="28" t="n">
        <f aca="false">P1278*(1+Q1278)</f>
        <v>13473.5216</v>
      </c>
      <c r="S1278" s="28" t="n">
        <f aca="false">R1278*(1-TradeDiscount)</f>
        <v>11856.699008</v>
      </c>
      <c r="T1278" s="28" t="n">
        <f aca="false">R1278*(1-VolumeDiscount)</f>
        <v>10778.81728</v>
      </c>
    </row>
    <row r="1279" customFormat="false" ht="15" hidden="false" customHeight="false" outlineLevel="0" collapsed="false">
      <c r="A1279" s="29" t="s">
        <v>2807</v>
      </c>
      <c r="B1279" s="29" t="s">
        <v>97</v>
      </c>
      <c r="C1279" s="29" t="s">
        <v>52</v>
      </c>
      <c r="D1279" s="29" t="s">
        <v>2808</v>
      </c>
      <c r="E1279" s="29" t="s">
        <v>2776</v>
      </c>
      <c r="F1279" s="29" t="s">
        <v>2674</v>
      </c>
      <c r="G1279" s="29" t="s">
        <v>35</v>
      </c>
      <c r="H1279" s="29" t="s">
        <v>67</v>
      </c>
      <c r="I1279" s="29" t="s">
        <v>190</v>
      </c>
      <c r="J1279" s="29" t="s">
        <v>1654</v>
      </c>
      <c r="K1279" s="29" t="s">
        <v>298</v>
      </c>
      <c r="L1279" s="29" t="s">
        <v>30</v>
      </c>
      <c r="M1279" s="29" t="n">
        <v>2109</v>
      </c>
      <c r="N1279" s="29" t="n">
        <v>2090</v>
      </c>
      <c r="O1279" s="29"/>
      <c r="P1279" s="30" t="n">
        <f aca="false">(M1279*N1279/1000000)*(INDEX(AreaRate_Vals,MATCH(C1279,AreaRate_Keys,0))+IFERROR(INDEX(GlazingUpg_Vals,MATCH(H1279,GlazingUpg_Keys,0)),0))+INDEX(Hardware_Vals,MATCH("Doors",Hardware_Keys,0))</f>
        <v>11128.744</v>
      </c>
      <c r="Q1279" s="31" t="n">
        <f aca="false">INDEX(Markup_Vals,MATCH("Doors",MarkupCat_Keys,0))</f>
        <v>0.4</v>
      </c>
      <c r="R1279" s="32" t="n">
        <f aca="false">P1279*(1+Q1279)</f>
        <v>15580.2416</v>
      </c>
      <c r="S1279" s="32" t="n">
        <f aca="false">R1279*(1-TradeDiscount)</f>
        <v>13710.612608</v>
      </c>
      <c r="T1279" s="32" t="n">
        <f aca="false">R1279*(1-VolumeDiscount)</f>
        <v>12464.19328</v>
      </c>
    </row>
    <row r="1280" customFormat="false" ht="15" hidden="false" customHeight="false" outlineLevel="0" collapsed="false">
      <c r="A1280" s="25" t="s">
        <v>2809</v>
      </c>
      <c r="B1280" s="25" t="s">
        <v>97</v>
      </c>
      <c r="C1280" s="25" t="s">
        <v>52</v>
      </c>
      <c r="D1280" s="25" t="s">
        <v>2810</v>
      </c>
      <c r="E1280" s="25" t="s">
        <v>2776</v>
      </c>
      <c r="F1280" s="25" t="s">
        <v>2674</v>
      </c>
      <c r="G1280" s="25" t="s">
        <v>36</v>
      </c>
      <c r="H1280" s="25" t="s">
        <v>67</v>
      </c>
      <c r="I1280" s="25" t="s">
        <v>190</v>
      </c>
      <c r="J1280" s="25" t="s">
        <v>1654</v>
      </c>
      <c r="K1280" s="25" t="s">
        <v>298</v>
      </c>
      <c r="L1280" s="25" t="s">
        <v>30</v>
      </c>
      <c r="M1280" s="25" t="n">
        <v>2109</v>
      </c>
      <c r="N1280" s="25" t="n">
        <v>2090</v>
      </c>
      <c r="O1280" s="25"/>
      <c r="P1280" s="26" t="n">
        <f aca="false">(M1280*N1280/1000000)*(INDEX(AreaRate_Vals,MATCH(C1280,AreaRate_Keys,0))+IFERROR(INDEX(GlazingUpg_Vals,MATCH(H1280,GlazingUpg_Keys,0)),0))+INDEX(Hardware_Vals,MATCH("Doors",Hardware_Keys,0))</f>
        <v>11128.744</v>
      </c>
      <c r="Q1280" s="27" t="n">
        <f aca="false">INDEX(Markup_Vals,MATCH("Doors",MarkupCat_Keys,0))</f>
        <v>0.4</v>
      </c>
      <c r="R1280" s="28" t="n">
        <f aca="false">P1280*(1+Q1280)</f>
        <v>15580.2416</v>
      </c>
      <c r="S1280" s="28" t="n">
        <f aca="false">R1280*(1-TradeDiscount)</f>
        <v>13710.612608</v>
      </c>
      <c r="T1280" s="28" t="n">
        <f aca="false">R1280*(1-VolumeDiscount)</f>
        <v>12464.19328</v>
      </c>
    </row>
    <row r="1281" customFormat="false" ht="15" hidden="false" customHeight="false" outlineLevel="0" collapsed="false">
      <c r="A1281" s="29" t="s">
        <v>2811</v>
      </c>
      <c r="B1281" s="29" t="s">
        <v>97</v>
      </c>
      <c r="C1281" s="29" t="s">
        <v>52</v>
      </c>
      <c r="D1281" s="29" t="s">
        <v>2812</v>
      </c>
      <c r="E1281" s="29" t="s">
        <v>2776</v>
      </c>
      <c r="F1281" s="29" t="s">
        <v>2674</v>
      </c>
      <c r="G1281" s="29" t="s">
        <v>37</v>
      </c>
      <c r="H1281" s="29" t="s">
        <v>67</v>
      </c>
      <c r="I1281" s="29" t="s">
        <v>190</v>
      </c>
      <c r="J1281" s="29" t="s">
        <v>1654</v>
      </c>
      <c r="K1281" s="29" t="s">
        <v>298</v>
      </c>
      <c r="L1281" s="29" t="s">
        <v>30</v>
      </c>
      <c r="M1281" s="29" t="n">
        <v>2109</v>
      </c>
      <c r="N1281" s="29" t="n">
        <v>2090</v>
      </c>
      <c r="O1281" s="29"/>
      <c r="P1281" s="30" t="n">
        <f aca="false">(M1281*N1281/1000000)*(INDEX(AreaRate_Vals,MATCH(C1281,AreaRate_Keys,0))+IFERROR(INDEX(GlazingUpg_Vals,MATCH(H1281,GlazingUpg_Keys,0)),0))+INDEX(Hardware_Vals,MATCH("Doors",Hardware_Keys,0))</f>
        <v>11128.744</v>
      </c>
      <c r="Q1281" s="31" t="n">
        <f aca="false">INDEX(Markup_Vals,MATCH("Doors",MarkupCat_Keys,0))</f>
        <v>0.4</v>
      </c>
      <c r="R1281" s="32" t="n">
        <f aca="false">P1281*(1+Q1281)</f>
        <v>15580.2416</v>
      </c>
      <c r="S1281" s="32" t="n">
        <f aca="false">R1281*(1-TradeDiscount)</f>
        <v>13710.612608</v>
      </c>
      <c r="T1281" s="32" t="n">
        <f aca="false">R1281*(1-VolumeDiscount)</f>
        <v>12464.19328</v>
      </c>
    </row>
    <row r="1282" customFormat="false" ht="15" hidden="false" customHeight="false" outlineLevel="0" collapsed="false">
      <c r="A1282" s="25" t="s">
        <v>2813</v>
      </c>
      <c r="B1282" s="25" t="s">
        <v>97</v>
      </c>
      <c r="C1282" s="25" t="s">
        <v>52</v>
      </c>
      <c r="D1282" s="25" t="s">
        <v>2814</v>
      </c>
      <c r="E1282" s="25" t="s">
        <v>2776</v>
      </c>
      <c r="F1282" s="25" t="s">
        <v>2674</v>
      </c>
      <c r="G1282" s="25" t="s">
        <v>39</v>
      </c>
      <c r="H1282" s="25" t="s">
        <v>67</v>
      </c>
      <c r="I1282" s="25" t="s">
        <v>190</v>
      </c>
      <c r="J1282" s="25" t="s">
        <v>1654</v>
      </c>
      <c r="K1282" s="25" t="s">
        <v>298</v>
      </c>
      <c r="L1282" s="25" t="s">
        <v>30</v>
      </c>
      <c r="M1282" s="25" t="n">
        <v>2109</v>
      </c>
      <c r="N1282" s="25" t="n">
        <v>2090</v>
      </c>
      <c r="O1282" s="25"/>
      <c r="P1282" s="26" t="n">
        <f aca="false">(M1282*N1282/1000000)*(INDEX(AreaRate_Vals,MATCH(C1282,AreaRate_Keys,0))+IFERROR(INDEX(GlazingUpg_Vals,MATCH(H1282,GlazingUpg_Keys,0)),0))+INDEX(Hardware_Vals,MATCH("Doors",Hardware_Keys,0))</f>
        <v>11128.744</v>
      </c>
      <c r="Q1282" s="27" t="n">
        <f aca="false">INDEX(Markup_Vals,MATCH("Doors",MarkupCat_Keys,0))</f>
        <v>0.4</v>
      </c>
      <c r="R1282" s="28" t="n">
        <f aca="false">P1282*(1+Q1282)</f>
        <v>15580.2416</v>
      </c>
      <c r="S1282" s="28" t="n">
        <f aca="false">R1282*(1-TradeDiscount)</f>
        <v>13710.612608</v>
      </c>
      <c r="T1282" s="28" t="n">
        <f aca="false">R1282*(1-VolumeDiscount)</f>
        <v>12464.19328</v>
      </c>
    </row>
    <row r="1283" customFormat="false" ht="15" hidden="false" customHeight="false" outlineLevel="0" collapsed="false">
      <c r="A1283" s="29" t="s">
        <v>2815</v>
      </c>
      <c r="B1283" s="29" t="s">
        <v>97</v>
      </c>
      <c r="C1283" s="29" t="s">
        <v>52</v>
      </c>
      <c r="D1283" s="29" t="s">
        <v>2816</v>
      </c>
      <c r="E1283" s="29" t="s">
        <v>2776</v>
      </c>
      <c r="F1283" s="29" t="s">
        <v>2674</v>
      </c>
      <c r="G1283" s="29" t="s">
        <v>38</v>
      </c>
      <c r="H1283" s="29" t="s">
        <v>67</v>
      </c>
      <c r="I1283" s="29" t="s">
        <v>190</v>
      </c>
      <c r="J1283" s="29" t="s">
        <v>1654</v>
      </c>
      <c r="K1283" s="29" t="s">
        <v>298</v>
      </c>
      <c r="L1283" s="29" t="s">
        <v>30</v>
      </c>
      <c r="M1283" s="29" t="n">
        <v>2109</v>
      </c>
      <c r="N1283" s="29" t="n">
        <v>2090</v>
      </c>
      <c r="O1283" s="29"/>
      <c r="P1283" s="30" t="n">
        <f aca="false">(M1283*N1283/1000000)*(INDEX(AreaRate_Vals,MATCH(C1283,AreaRate_Keys,0))+IFERROR(INDEX(GlazingUpg_Vals,MATCH(H1283,GlazingUpg_Keys,0)),0))+INDEX(Hardware_Vals,MATCH("Doors",Hardware_Keys,0))</f>
        <v>11128.744</v>
      </c>
      <c r="Q1283" s="31" t="n">
        <f aca="false">INDEX(Markup_Vals,MATCH("Doors",MarkupCat_Keys,0))</f>
        <v>0.4</v>
      </c>
      <c r="R1283" s="32" t="n">
        <f aca="false">P1283*(1+Q1283)</f>
        <v>15580.2416</v>
      </c>
      <c r="S1283" s="32" t="n">
        <f aca="false">R1283*(1-TradeDiscount)</f>
        <v>13710.612608</v>
      </c>
      <c r="T1283" s="32" t="n">
        <f aca="false">R1283*(1-VolumeDiscount)</f>
        <v>12464.19328</v>
      </c>
    </row>
    <row r="1284" customFormat="false" ht="15" hidden="false" customHeight="false" outlineLevel="0" collapsed="false">
      <c r="A1284" s="25" t="s">
        <v>2817</v>
      </c>
      <c r="B1284" s="25" t="s">
        <v>97</v>
      </c>
      <c r="C1284" s="25" t="s">
        <v>52</v>
      </c>
      <c r="D1284" s="25" t="s">
        <v>2818</v>
      </c>
      <c r="E1284" s="25" t="s">
        <v>2776</v>
      </c>
      <c r="F1284" s="25" t="s">
        <v>1817</v>
      </c>
      <c r="G1284" s="25" t="s">
        <v>35</v>
      </c>
      <c r="H1284" s="25" t="s">
        <v>67</v>
      </c>
      <c r="I1284" s="25" t="s">
        <v>190</v>
      </c>
      <c r="J1284" s="25" t="s">
        <v>1654</v>
      </c>
      <c r="K1284" s="25" t="s">
        <v>298</v>
      </c>
      <c r="L1284" s="25" t="s">
        <v>30</v>
      </c>
      <c r="M1284" s="25" t="n">
        <v>2409</v>
      </c>
      <c r="N1284" s="25" t="n">
        <v>2090</v>
      </c>
      <c r="O1284" s="25"/>
      <c r="P1284" s="26" t="n">
        <f aca="false">(M1284*N1284/1000000)*(INDEX(AreaRate_Vals,MATCH(C1284,AreaRate_Keys,0))+IFERROR(INDEX(GlazingUpg_Vals,MATCH(H1284,GlazingUpg_Keys,0)),0))+INDEX(Hardware_Vals,MATCH("Doors",Hardware_Keys,0))</f>
        <v>12633.544</v>
      </c>
      <c r="Q1284" s="27" t="n">
        <f aca="false">INDEX(Markup_Vals,MATCH("Doors",MarkupCat_Keys,0))</f>
        <v>0.4</v>
      </c>
      <c r="R1284" s="28" t="n">
        <f aca="false">P1284*(1+Q1284)</f>
        <v>17686.9616</v>
      </c>
      <c r="S1284" s="28" t="n">
        <f aca="false">R1284*(1-TradeDiscount)</f>
        <v>15564.526208</v>
      </c>
      <c r="T1284" s="28" t="n">
        <f aca="false">R1284*(1-VolumeDiscount)</f>
        <v>14149.56928</v>
      </c>
    </row>
    <row r="1285" customFormat="false" ht="15" hidden="false" customHeight="false" outlineLevel="0" collapsed="false">
      <c r="A1285" s="29" t="s">
        <v>2819</v>
      </c>
      <c r="B1285" s="29" t="s">
        <v>97</v>
      </c>
      <c r="C1285" s="29" t="s">
        <v>52</v>
      </c>
      <c r="D1285" s="29" t="s">
        <v>2820</v>
      </c>
      <c r="E1285" s="29" t="s">
        <v>2776</v>
      </c>
      <c r="F1285" s="29" t="s">
        <v>1817</v>
      </c>
      <c r="G1285" s="29" t="s">
        <v>36</v>
      </c>
      <c r="H1285" s="29" t="s">
        <v>67</v>
      </c>
      <c r="I1285" s="29" t="s">
        <v>190</v>
      </c>
      <c r="J1285" s="29" t="s">
        <v>1654</v>
      </c>
      <c r="K1285" s="29" t="s">
        <v>298</v>
      </c>
      <c r="L1285" s="29" t="s">
        <v>30</v>
      </c>
      <c r="M1285" s="29" t="n">
        <v>2409</v>
      </c>
      <c r="N1285" s="29" t="n">
        <v>2090</v>
      </c>
      <c r="O1285" s="29"/>
      <c r="P1285" s="30" t="n">
        <f aca="false">(M1285*N1285/1000000)*(INDEX(AreaRate_Vals,MATCH(C1285,AreaRate_Keys,0))+IFERROR(INDEX(GlazingUpg_Vals,MATCH(H1285,GlazingUpg_Keys,0)),0))+INDEX(Hardware_Vals,MATCH("Doors",Hardware_Keys,0))</f>
        <v>12633.544</v>
      </c>
      <c r="Q1285" s="31" t="n">
        <f aca="false">INDEX(Markup_Vals,MATCH("Doors",MarkupCat_Keys,0))</f>
        <v>0.4</v>
      </c>
      <c r="R1285" s="32" t="n">
        <f aca="false">P1285*(1+Q1285)</f>
        <v>17686.9616</v>
      </c>
      <c r="S1285" s="32" t="n">
        <f aca="false">R1285*(1-TradeDiscount)</f>
        <v>15564.526208</v>
      </c>
      <c r="T1285" s="32" t="n">
        <f aca="false">R1285*(1-VolumeDiscount)</f>
        <v>14149.56928</v>
      </c>
    </row>
    <row r="1286" customFormat="false" ht="15" hidden="false" customHeight="false" outlineLevel="0" collapsed="false">
      <c r="A1286" s="25" t="s">
        <v>2821</v>
      </c>
      <c r="B1286" s="25" t="s">
        <v>97</v>
      </c>
      <c r="C1286" s="25" t="s">
        <v>52</v>
      </c>
      <c r="D1286" s="25" t="s">
        <v>2822</v>
      </c>
      <c r="E1286" s="25" t="s">
        <v>2776</v>
      </c>
      <c r="F1286" s="25" t="s">
        <v>1817</v>
      </c>
      <c r="G1286" s="25" t="s">
        <v>37</v>
      </c>
      <c r="H1286" s="25" t="s">
        <v>67</v>
      </c>
      <c r="I1286" s="25" t="s">
        <v>190</v>
      </c>
      <c r="J1286" s="25" t="s">
        <v>1654</v>
      </c>
      <c r="K1286" s="25" t="s">
        <v>298</v>
      </c>
      <c r="L1286" s="25" t="s">
        <v>30</v>
      </c>
      <c r="M1286" s="25" t="n">
        <v>2409</v>
      </c>
      <c r="N1286" s="25" t="n">
        <v>2090</v>
      </c>
      <c r="O1286" s="25"/>
      <c r="P1286" s="26" t="n">
        <f aca="false">(M1286*N1286/1000000)*(INDEX(AreaRate_Vals,MATCH(C1286,AreaRate_Keys,0))+IFERROR(INDEX(GlazingUpg_Vals,MATCH(H1286,GlazingUpg_Keys,0)),0))+INDEX(Hardware_Vals,MATCH("Doors",Hardware_Keys,0))</f>
        <v>12633.544</v>
      </c>
      <c r="Q1286" s="27" t="n">
        <f aca="false">INDEX(Markup_Vals,MATCH("Doors",MarkupCat_Keys,0))</f>
        <v>0.4</v>
      </c>
      <c r="R1286" s="28" t="n">
        <f aca="false">P1286*(1+Q1286)</f>
        <v>17686.9616</v>
      </c>
      <c r="S1286" s="28" t="n">
        <f aca="false">R1286*(1-TradeDiscount)</f>
        <v>15564.526208</v>
      </c>
      <c r="T1286" s="28" t="n">
        <f aca="false">R1286*(1-VolumeDiscount)</f>
        <v>14149.56928</v>
      </c>
    </row>
    <row r="1287" customFormat="false" ht="15" hidden="false" customHeight="false" outlineLevel="0" collapsed="false">
      <c r="A1287" s="29" t="s">
        <v>2823</v>
      </c>
      <c r="B1287" s="29" t="s">
        <v>97</v>
      </c>
      <c r="C1287" s="29" t="s">
        <v>52</v>
      </c>
      <c r="D1287" s="29" t="s">
        <v>2824</v>
      </c>
      <c r="E1287" s="29" t="s">
        <v>2776</v>
      </c>
      <c r="F1287" s="29" t="s">
        <v>1817</v>
      </c>
      <c r="G1287" s="29" t="s">
        <v>39</v>
      </c>
      <c r="H1287" s="29" t="s">
        <v>67</v>
      </c>
      <c r="I1287" s="29" t="s">
        <v>190</v>
      </c>
      <c r="J1287" s="29" t="s">
        <v>1654</v>
      </c>
      <c r="K1287" s="29" t="s">
        <v>298</v>
      </c>
      <c r="L1287" s="29" t="s">
        <v>30</v>
      </c>
      <c r="M1287" s="29" t="n">
        <v>2409</v>
      </c>
      <c r="N1287" s="29" t="n">
        <v>2090</v>
      </c>
      <c r="O1287" s="29"/>
      <c r="P1287" s="30" t="n">
        <f aca="false">(M1287*N1287/1000000)*(INDEX(AreaRate_Vals,MATCH(C1287,AreaRate_Keys,0))+IFERROR(INDEX(GlazingUpg_Vals,MATCH(H1287,GlazingUpg_Keys,0)),0))+INDEX(Hardware_Vals,MATCH("Doors",Hardware_Keys,0))</f>
        <v>12633.544</v>
      </c>
      <c r="Q1287" s="31" t="n">
        <f aca="false">INDEX(Markup_Vals,MATCH("Doors",MarkupCat_Keys,0))</f>
        <v>0.4</v>
      </c>
      <c r="R1287" s="32" t="n">
        <f aca="false">P1287*(1+Q1287)</f>
        <v>17686.9616</v>
      </c>
      <c r="S1287" s="32" t="n">
        <f aca="false">R1287*(1-TradeDiscount)</f>
        <v>15564.526208</v>
      </c>
      <c r="T1287" s="32" t="n">
        <f aca="false">R1287*(1-VolumeDiscount)</f>
        <v>14149.56928</v>
      </c>
    </row>
    <row r="1288" customFormat="false" ht="15" hidden="false" customHeight="false" outlineLevel="0" collapsed="false">
      <c r="A1288" s="25" t="s">
        <v>2825</v>
      </c>
      <c r="B1288" s="25" t="s">
        <v>97</v>
      </c>
      <c r="C1288" s="25" t="s">
        <v>52</v>
      </c>
      <c r="D1288" s="25" t="s">
        <v>2826</v>
      </c>
      <c r="E1288" s="25" t="s">
        <v>2776</v>
      </c>
      <c r="F1288" s="25" t="s">
        <v>1817</v>
      </c>
      <c r="G1288" s="25" t="s">
        <v>38</v>
      </c>
      <c r="H1288" s="25" t="s">
        <v>67</v>
      </c>
      <c r="I1288" s="25" t="s">
        <v>190</v>
      </c>
      <c r="J1288" s="25" t="s">
        <v>1654</v>
      </c>
      <c r="K1288" s="25" t="s">
        <v>298</v>
      </c>
      <c r="L1288" s="25" t="s">
        <v>30</v>
      </c>
      <c r="M1288" s="25" t="n">
        <v>2409</v>
      </c>
      <c r="N1288" s="25" t="n">
        <v>2090</v>
      </c>
      <c r="O1288" s="25"/>
      <c r="P1288" s="26" t="n">
        <f aca="false">(M1288*N1288/1000000)*(INDEX(AreaRate_Vals,MATCH(C1288,AreaRate_Keys,0))+IFERROR(INDEX(GlazingUpg_Vals,MATCH(H1288,GlazingUpg_Keys,0)),0))+INDEX(Hardware_Vals,MATCH("Doors",Hardware_Keys,0))</f>
        <v>12633.544</v>
      </c>
      <c r="Q1288" s="27" t="n">
        <f aca="false">INDEX(Markup_Vals,MATCH("Doors",MarkupCat_Keys,0))</f>
        <v>0.4</v>
      </c>
      <c r="R1288" s="28" t="n">
        <f aca="false">P1288*(1+Q1288)</f>
        <v>17686.9616</v>
      </c>
      <c r="S1288" s="28" t="n">
        <f aca="false">R1288*(1-TradeDiscount)</f>
        <v>15564.526208</v>
      </c>
      <c r="T1288" s="28" t="n">
        <f aca="false">R1288*(1-VolumeDiscount)</f>
        <v>14149.56928</v>
      </c>
    </row>
    <row r="1289" customFormat="false" ht="15" hidden="false" customHeight="false" outlineLevel="0" collapsed="false">
      <c r="A1289" s="29" t="s">
        <v>2827</v>
      </c>
      <c r="B1289" s="29" t="s">
        <v>97</v>
      </c>
      <c r="C1289" s="29" t="s">
        <v>52</v>
      </c>
      <c r="D1289" s="29" t="s">
        <v>2828</v>
      </c>
      <c r="E1289" s="29" t="s">
        <v>2776</v>
      </c>
      <c r="F1289" s="29" t="s">
        <v>2829</v>
      </c>
      <c r="G1289" s="29" t="s">
        <v>35</v>
      </c>
      <c r="H1289" s="29" t="s">
        <v>67</v>
      </c>
      <c r="I1289" s="29" t="s">
        <v>190</v>
      </c>
      <c r="J1289" s="29" t="s">
        <v>1654</v>
      </c>
      <c r="K1289" s="29" t="s">
        <v>298</v>
      </c>
      <c r="L1289" s="29" t="s">
        <v>30</v>
      </c>
      <c r="M1289" s="29" t="n">
        <v>2709</v>
      </c>
      <c r="N1289" s="29" t="n">
        <v>2090</v>
      </c>
      <c r="O1289" s="29"/>
      <c r="P1289" s="30" t="n">
        <f aca="false">(M1289*N1289/1000000)*(INDEX(AreaRate_Vals,MATCH(C1289,AreaRate_Keys,0))+IFERROR(INDEX(GlazingUpg_Vals,MATCH(H1289,GlazingUpg_Keys,0)),0))+INDEX(Hardware_Vals,MATCH("Doors",Hardware_Keys,0))</f>
        <v>14138.344</v>
      </c>
      <c r="Q1289" s="31" t="n">
        <f aca="false">INDEX(Markup_Vals,MATCH("Doors",MarkupCat_Keys,0))</f>
        <v>0.4</v>
      </c>
      <c r="R1289" s="32" t="n">
        <f aca="false">P1289*(1+Q1289)</f>
        <v>19793.6816</v>
      </c>
      <c r="S1289" s="32" t="n">
        <f aca="false">R1289*(1-TradeDiscount)</f>
        <v>17418.439808</v>
      </c>
      <c r="T1289" s="32" t="n">
        <f aca="false">R1289*(1-VolumeDiscount)</f>
        <v>15834.94528</v>
      </c>
    </row>
    <row r="1290" customFormat="false" ht="15" hidden="false" customHeight="false" outlineLevel="0" collapsed="false">
      <c r="A1290" s="25" t="s">
        <v>2830</v>
      </c>
      <c r="B1290" s="25" t="s">
        <v>97</v>
      </c>
      <c r="C1290" s="25" t="s">
        <v>52</v>
      </c>
      <c r="D1290" s="25" t="s">
        <v>2831</v>
      </c>
      <c r="E1290" s="25" t="s">
        <v>2776</v>
      </c>
      <c r="F1290" s="25" t="s">
        <v>2829</v>
      </c>
      <c r="G1290" s="25" t="s">
        <v>36</v>
      </c>
      <c r="H1290" s="25" t="s">
        <v>67</v>
      </c>
      <c r="I1290" s="25" t="s">
        <v>190</v>
      </c>
      <c r="J1290" s="25" t="s">
        <v>1654</v>
      </c>
      <c r="K1290" s="25" t="s">
        <v>298</v>
      </c>
      <c r="L1290" s="25" t="s">
        <v>30</v>
      </c>
      <c r="M1290" s="25" t="n">
        <v>2709</v>
      </c>
      <c r="N1290" s="25" t="n">
        <v>2090</v>
      </c>
      <c r="O1290" s="25"/>
      <c r="P1290" s="26" t="n">
        <f aca="false">(M1290*N1290/1000000)*(INDEX(AreaRate_Vals,MATCH(C1290,AreaRate_Keys,0))+IFERROR(INDEX(GlazingUpg_Vals,MATCH(H1290,GlazingUpg_Keys,0)),0))+INDEX(Hardware_Vals,MATCH("Doors",Hardware_Keys,0))</f>
        <v>14138.344</v>
      </c>
      <c r="Q1290" s="27" t="n">
        <f aca="false">INDEX(Markup_Vals,MATCH("Doors",MarkupCat_Keys,0))</f>
        <v>0.4</v>
      </c>
      <c r="R1290" s="28" t="n">
        <f aca="false">P1290*(1+Q1290)</f>
        <v>19793.6816</v>
      </c>
      <c r="S1290" s="28" t="n">
        <f aca="false">R1290*(1-TradeDiscount)</f>
        <v>17418.439808</v>
      </c>
      <c r="T1290" s="28" t="n">
        <f aca="false">R1290*(1-VolumeDiscount)</f>
        <v>15834.94528</v>
      </c>
    </row>
    <row r="1291" customFormat="false" ht="15" hidden="false" customHeight="false" outlineLevel="0" collapsed="false">
      <c r="A1291" s="29" t="s">
        <v>2832</v>
      </c>
      <c r="B1291" s="29" t="s">
        <v>97</v>
      </c>
      <c r="C1291" s="29" t="s">
        <v>52</v>
      </c>
      <c r="D1291" s="29" t="s">
        <v>2833</v>
      </c>
      <c r="E1291" s="29" t="s">
        <v>2776</v>
      </c>
      <c r="F1291" s="29" t="s">
        <v>2829</v>
      </c>
      <c r="G1291" s="29" t="s">
        <v>37</v>
      </c>
      <c r="H1291" s="29" t="s">
        <v>67</v>
      </c>
      <c r="I1291" s="29" t="s">
        <v>190</v>
      </c>
      <c r="J1291" s="29" t="s">
        <v>1654</v>
      </c>
      <c r="K1291" s="29" t="s">
        <v>298</v>
      </c>
      <c r="L1291" s="29" t="s">
        <v>30</v>
      </c>
      <c r="M1291" s="29" t="n">
        <v>2709</v>
      </c>
      <c r="N1291" s="29" t="n">
        <v>2090</v>
      </c>
      <c r="O1291" s="29"/>
      <c r="P1291" s="30" t="n">
        <f aca="false">(M1291*N1291/1000000)*(INDEX(AreaRate_Vals,MATCH(C1291,AreaRate_Keys,0))+IFERROR(INDEX(GlazingUpg_Vals,MATCH(H1291,GlazingUpg_Keys,0)),0))+INDEX(Hardware_Vals,MATCH("Doors",Hardware_Keys,0))</f>
        <v>14138.344</v>
      </c>
      <c r="Q1291" s="31" t="n">
        <f aca="false">INDEX(Markup_Vals,MATCH("Doors",MarkupCat_Keys,0))</f>
        <v>0.4</v>
      </c>
      <c r="R1291" s="32" t="n">
        <f aca="false">P1291*(1+Q1291)</f>
        <v>19793.6816</v>
      </c>
      <c r="S1291" s="32" t="n">
        <f aca="false">R1291*(1-TradeDiscount)</f>
        <v>17418.439808</v>
      </c>
      <c r="T1291" s="32" t="n">
        <f aca="false">R1291*(1-VolumeDiscount)</f>
        <v>15834.94528</v>
      </c>
    </row>
    <row r="1292" customFormat="false" ht="15" hidden="false" customHeight="false" outlineLevel="0" collapsed="false">
      <c r="A1292" s="25" t="s">
        <v>2834</v>
      </c>
      <c r="B1292" s="25" t="s">
        <v>97</v>
      </c>
      <c r="C1292" s="25" t="s">
        <v>52</v>
      </c>
      <c r="D1292" s="25" t="s">
        <v>2835</v>
      </c>
      <c r="E1292" s="25" t="s">
        <v>2776</v>
      </c>
      <c r="F1292" s="25" t="s">
        <v>2829</v>
      </c>
      <c r="G1292" s="25" t="s">
        <v>39</v>
      </c>
      <c r="H1292" s="25" t="s">
        <v>67</v>
      </c>
      <c r="I1292" s="25" t="s">
        <v>190</v>
      </c>
      <c r="J1292" s="25" t="s">
        <v>1654</v>
      </c>
      <c r="K1292" s="25" t="s">
        <v>298</v>
      </c>
      <c r="L1292" s="25" t="s">
        <v>30</v>
      </c>
      <c r="M1292" s="25" t="n">
        <v>2709</v>
      </c>
      <c r="N1292" s="25" t="n">
        <v>2090</v>
      </c>
      <c r="O1292" s="25"/>
      <c r="P1292" s="26" t="n">
        <f aca="false">(M1292*N1292/1000000)*(INDEX(AreaRate_Vals,MATCH(C1292,AreaRate_Keys,0))+IFERROR(INDEX(GlazingUpg_Vals,MATCH(H1292,GlazingUpg_Keys,0)),0))+INDEX(Hardware_Vals,MATCH("Doors",Hardware_Keys,0))</f>
        <v>14138.344</v>
      </c>
      <c r="Q1292" s="27" t="n">
        <f aca="false">INDEX(Markup_Vals,MATCH("Doors",MarkupCat_Keys,0))</f>
        <v>0.4</v>
      </c>
      <c r="R1292" s="28" t="n">
        <f aca="false">P1292*(1+Q1292)</f>
        <v>19793.6816</v>
      </c>
      <c r="S1292" s="28" t="n">
        <f aca="false">R1292*(1-TradeDiscount)</f>
        <v>17418.439808</v>
      </c>
      <c r="T1292" s="28" t="n">
        <f aca="false">R1292*(1-VolumeDiscount)</f>
        <v>15834.94528</v>
      </c>
    </row>
    <row r="1293" customFormat="false" ht="15" hidden="false" customHeight="false" outlineLevel="0" collapsed="false">
      <c r="A1293" s="29" t="s">
        <v>2836</v>
      </c>
      <c r="B1293" s="29" t="s">
        <v>97</v>
      </c>
      <c r="C1293" s="29" t="s">
        <v>52</v>
      </c>
      <c r="D1293" s="29" t="s">
        <v>2837</v>
      </c>
      <c r="E1293" s="29" t="s">
        <v>2776</v>
      </c>
      <c r="F1293" s="29" t="s">
        <v>2829</v>
      </c>
      <c r="G1293" s="29" t="s">
        <v>38</v>
      </c>
      <c r="H1293" s="29" t="s">
        <v>67</v>
      </c>
      <c r="I1293" s="29" t="s">
        <v>190</v>
      </c>
      <c r="J1293" s="29" t="s">
        <v>1654</v>
      </c>
      <c r="K1293" s="29" t="s">
        <v>298</v>
      </c>
      <c r="L1293" s="29" t="s">
        <v>30</v>
      </c>
      <c r="M1293" s="29" t="n">
        <v>2709</v>
      </c>
      <c r="N1293" s="29" t="n">
        <v>2090</v>
      </c>
      <c r="O1293" s="29"/>
      <c r="P1293" s="30" t="n">
        <f aca="false">(M1293*N1293/1000000)*(INDEX(AreaRate_Vals,MATCH(C1293,AreaRate_Keys,0))+IFERROR(INDEX(GlazingUpg_Vals,MATCH(H1293,GlazingUpg_Keys,0)),0))+INDEX(Hardware_Vals,MATCH("Doors",Hardware_Keys,0))</f>
        <v>14138.344</v>
      </c>
      <c r="Q1293" s="31" t="n">
        <f aca="false">INDEX(Markup_Vals,MATCH("Doors",MarkupCat_Keys,0))</f>
        <v>0.4</v>
      </c>
      <c r="R1293" s="32" t="n">
        <f aca="false">P1293*(1+Q1293)</f>
        <v>19793.6816</v>
      </c>
      <c r="S1293" s="32" t="n">
        <f aca="false">R1293*(1-TradeDiscount)</f>
        <v>17418.439808</v>
      </c>
      <c r="T1293" s="32" t="n">
        <f aca="false">R1293*(1-VolumeDiscount)</f>
        <v>15834.94528</v>
      </c>
    </row>
    <row r="1294" customFormat="false" ht="15" hidden="false" customHeight="false" outlineLevel="0" collapsed="false">
      <c r="A1294" s="25" t="s">
        <v>2838</v>
      </c>
      <c r="B1294" s="25" t="s">
        <v>97</v>
      </c>
      <c r="C1294" s="25" t="s">
        <v>53</v>
      </c>
      <c r="D1294" s="25" t="s">
        <v>2839</v>
      </c>
      <c r="E1294" s="25" t="s">
        <v>2840</v>
      </c>
      <c r="F1294" s="25" t="s">
        <v>2631</v>
      </c>
      <c r="G1294" s="25" t="s">
        <v>35</v>
      </c>
      <c r="H1294" s="25" t="s">
        <v>65</v>
      </c>
      <c r="I1294" s="25" t="s">
        <v>190</v>
      </c>
      <c r="J1294" s="25" t="s">
        <v>2841</v>
      </c>
      <c r="K1294" s="25" t="s">
        <v>298</v>
      </c>
      <c r="L1294" s="25" t="s">
        <v>30</v>
      </c>
      <c r="M1294" s="25" t="n">
        <v>909</v>
      </c>
      <c r="N1294" s="25" t="n">
        <v>2090</v>
      </c>
      <c r="O1294" s="25"/>
      <c r="P1294" s="26" t="n">
        <f aca="false">(M1294*N1294/1000000)*(INDEX(AreaRate_Vals,MATCH(C1294,AreaRate_Keys,0))+IFERROR(INDEX(GlazingUpg_Vals,MATCH(H1294,GlazingUpg_Keys,0)),0))+INDEX(Hardware_Vals,MATCH("Doors",Hardware_Keys,0))</f>
        <v>7199.335</v>
      </c>
      <c r="Q1294" s="27" t="n">
        <f aca="false">INDEX(Markup_Vals,MATCH("Doors",MarkupCat_Keys,0))</f>
        <v>0.4</v>
      </c>
      <c r="R1294" s="28" t="n">
        <f aca="false">P1294*(1+Q1294)</f>
        <v>10079.069</v>
      </c>
      <c r="S1294" s="28" t="n">
        <f aca="false">R1294*(1-TradeDiscount)</f>
        <v>8869.58072</v>
      </c>
      <c r="T1294" s="28" t="n">
        <f aca="false">R1294*(1-VolumeDiscount)</f>
        <v>8063.2552</v>
      </c>
    </row>
    <row r="1295" customFormat="false" ht="15" hidden="false" customHeight="false" outlineLevel="0" collapsed="false">
      <c r="A1295" s="29" t="s">
        <v>2842</v>
      </c>
      <c r="B1295" s="29" t="s">
        <v>97</v>
      </c>
      <c r="C1295" s="29" t="s">
        <v>53</v>
      </c>
      <c r="D1295" s="29" t="s">
        <v>2843</v>
      </c>
      <c r="E1295" s="29" t="s">
        <v>2840</v>
      </c>
      <c r="F1295" s="29" t="s">
        <v>2631</v>
      </c>
      <c r="G1295" s="29" t="s">
        <v>36</v>
      </c>
      <c r="H1295" s="29" t="s">
        <v>65</v>
      </c>
      <c r="I1295" s="29" t="s">
        <v>190</v>
      </c>
      <c r="J1295" s="29" t="s">
        <v>2841</v>
      </c>
      <c r="K1295" s="29" t="s">
        <v>298</v>
      </c>
      <c r="L1295" s="29" t="s">
        <v>30</v>
      </c>
      <c r="M1295" s="29" t="n">
        <v>909</v>
      </c>
      <c r="N1295" s="29" t="n">
        <v>2090</v>
      </c>
      <c r="O1295" s="29"/>
      <c r="P1295" s="30" t="n">
        <f aca="false">(M1295*N1295/1000000)*(INDEX(AreaRate_Vals,MATCH(C1295,AreaRate_Keys,0))+IFERROR(INDEX(GlazingUpg_Vals,MATCH(H1295,GlazingUpg_Keys,0)),0))+INDEX(Hardware_Vals,MATCH("Doors",Hardware_Keys,0))</f>
        <v>7199.335</v>
      </c>
      <c r="Q1295" s="31" t="n">
        <f aca="false">INDEX(Markup_Vals,MATCH("Doors",MarkupCat_Keys,0))</f>
        <v>0.4</v>
      </c>
      <c r="R1295" s="32" t="n">
        <f aca="false">P1295*(1+Q1295)</f>
        <v>10079.069</v>
      </c>
      <c r="S1295" s="32" t="n">
        <f aca="false">R1295*(1-TradeDiscount)</f>
        <v>8869.58072</v>
      </c>
      <c r="T1295" s="32" t="n">
        <f aca="false">R1295*(1-VolumeDiscount)</f>
        <v>8063.2552</v>
      </c>
    </row>
    <row r="1296" customFormat="false" ht="15" hidden="false" customHeight="false" outlineLevel="0" collapsed="false">
      <c r="A1296" s="25" t="s">
        <v>2844</v>
      </c>
      <c r="B1296" s="25" t="s">
        <v>97</v>
      </c>
      <c r="C1296" s="25" t="s">
        <v>53</v>
      </c>
      <c r="D1296" s="25" t="s">
        <v>2845</v>
      </c>
      <c r="E1296" s="25" t="s">
        <v>2840</v>
      </c>
      <c r="F1296" s="25" t="s">
        <v>2631</v>
      </c>
      <c r="G1296" s="25" t="s">
        <v>37</v>
      </c>
      <c r="H1296" s="25" t="s">
        <v>65</v>
      </c>
      <c r="I1296" s="25" t="s">
        <v>190</v>
      </c>
      <c r="J1296" s="25" t="s">
        <v>2841</v>
      </c>
      <c r="K1296" s="25" t="s">
        <v>298</v>
      </c>
      <c r="L1296" s="25" t="s">
        <v>30</v>
      </c>
      <c r="M1296" s="25" t="n">
        <v>909</v>
      </c>
      <c r="N1296" s="25" t="n">
        <v>2090</v>
      </c>
      <c r="O1296" s="25"/>
      <c r="P1296" s="26" t="n">
        <f aca="false">(M1296*N1296/1000000)*(INDEX(AreaRate_Vals,MATCH(C1296,AreaRate_Keys,0))+IFERROR(INDEX(GlazingUpg_Vals,MATCH(H1296,GlazingUpg_Keys,0)),0))+INDEX(Hardware_Vals,MATCH("Doors",Hardware_Keys,0))</f>
        <v>7199.335</v>
      </c>
      <c r="Q1296" s="27" t="n">
        <f aca="false">INDEX(Markup_Vals,MATCH("Doors",MarkupCat_Keys,0))</f>
        <v>0.4</v>
      </c>
      <c r="R1296" s="28" t="n">
        <f aca="false">P1296*(1+Q1296)</f>
        <v>10079.069</v>
      </c>
      <c r="S1296" s="28" t="n">
        <f aca="false">R1296*(1-TradeDiscount)</f>
        <v>8869.58072</v>
      </c>
      <c r="T1296" s="28" t="n">
        <f aca="false">R1296*(1-VolumeDiscount)</f>
        <v>8063.2552</v>
      </c>
    </row>
    <row r="1297" customFormat="false" ht="15" hidden="false" customHeight="false" outlineLevel="0" collapsed="false">
      <c r="A1297" s="29" t="s">
        <v>2846</v>
      </c>
      <c r="B1297" s="29" t="s">
        <v>97</v>
      </c>
      <c r="C1297" s="29" t="s">
        <v>53</v>
      </c>
      <c r="D1297" s="29" t="s">
        <v>2847</v>
      </c>
      <c r="E1297" s="29" t="s">
        <v>2840</v>
      </c>
      <c r="F1297" s="29" t="s">
        <v>2631</v>
      </c>
      <c r="G1297" s="29" t="s">
        <v>39</v>
      </c>
      <c r="H1297" s="29" t="s">
        <v>65</v>
      </c>
      <c r="I1297" s="29" t="s">
        <v>190</v>
      </c>
      <c r="J1297" s="29" t="s">
        <v>2841</v>
      </c>
      <c r="K1297" s="29" t="s">
        <v>298</v>
      </c>
      <c r="L1297" s="29" t="s">
        <v>30</v>
      </c>
      <c r="M1297" s="29" t="n">
        <v>909</v>
      </c>
      <c r="N1297" s="29" t="n">
        <v>2090</v>
      </c>
      <c r="O1297" s="29"/>
      <c r="P1297" s="30" t="n">
        <f aca="false">(M1297*N1297/1000000)*(INDEX(AreaRate_Vals,MATCH(C1297,AreaRate_Keys,0))+IFERROR(INDEX(GlazingUpg_Vals,MATCH(H1297,GlazingUpg_Keys,0)),0))+INDEX(Hardware_Vals,MATCH("Doors",Hardware_Keys,0))</f>
        <v>7199.335</v>
      </c>
      <c r="Q1297" s="31" t="n">
        <f aca="false">INDEX(Markup_Vals,MATCH("Doors",MarkupCat_Keys,0))</f>
        <v>0.4</v>
      </c>
      <c r="R1297" s="32" t="n">
        <f aca="false">P1297*(1+Q1297)</f>
        <v>10079.069</v>
      </c>
      <c r="S1297" s="32" t="n">
        <f aca="false">R1297*(1-TradeDiscount)</f>
        <v>8869.58072</v>
      </c>
      <c r="T1297" s="32" t="n">
        <f aca="false">R1297*(1-VolumeDiscount)</f>
        <v>8063.2552</v>
      </c>
    </row>
    <row r="1298" customFormat="false" ht="15" hidden="false" customHeight="false" outlineLevel="0" collapsed="false">
      <c r="A1298" s="25" t="s">
        <v>2848</v>
      </c>
      <c r="B1298" s="25" t="s">
        <v>97</v>
      </c>
      <c r="C1298" s="25" t="s">
        <v>53</v>
      </c>
      <c r="D1298" s="25" t="s">
        <v>2849</v>
      </c>
      <c r="E1298" s="25" t="s">
        <v>2840</v>
      </c>
      <c r="F1298" s="25" t="s">
        <v>2850</v>
      </c>
      <c r="G1298" s="25" t="s">
        <v>35</v>
      </c>
      <c r="H1298" s="25" t="s">
        <v>65</v>
      </c>
      <c r="I1298" s="25" t="s">
        <v>190</v>
      </c>
      <c r="J1298" s="25" t="s">
        <v>2841</v>
      </c>
      <c r="K1298" s="25" t="s">
        <v>298</v>
      </c>
      <c r="L1298" s="25" t="s">
        <v>30</v>
      </c>
      <c r="M1298" s="25" t="n">
        <v>1009</v>
      </c>
      <c r="N1298" s="25" t="n">
        <v>2400</v>
      </c>
      <c r="O1298" s="25"/>
      <c r="P1298" s="26" t="n">
        <f aca="false">(M1298*N1298/1000000)*(INDEX(AreaRate_Vals,MATCH(C1298,AreaRate_Keys,0))+IFERROR(INDEX(GlazingUpg_Vals,MATCH(H1298,GlazingUpg_Keys,0)),0))+INDEX(Hardware_Vals,MATCH("Doors",Hardware_Keys,0))</f>
        <v>9025.6</v>
      </c>
      <c r="Q1298" s="27" t="n">
        <f aca="false">INDEX(Markup_Vals,MATCH("Doors",MarkupCat_Keys,0))</f>
        <v>0.4</v>
      </c>
      <c r="R1298" s="28" t="n">
        <f aca="false">P1298*(1+Q1298)</f>
        <v>12635.84</v>
      </c>
      <c r="S1298" s="28" t="n">
        <f aca="false">R1298*(1-TradeDiscount)</f>
        <v>11119.5392</v>
      </c>
      <c r="T1298" s="28" t="n">
        <f aca="false">R1298*(1-VolumeDiscount)</f>
        <v>10108.672</v>
      </c>
    </row>
    <row r="1299" customFormat="false" ht="15" hidden="false" customHeight="false" outlineLevel="0" collapsed="false">
      <c r="A1299" s="29" t="s">
        <v>2851</v>
      </c>
      <c r="B1299" s="29" t="s">
        <v>97</v>
      </c>
      <c r="C1299" s="29" t="s">
        <v>53</v>
      </c>
      <c r="D1299" s="29" t="s">
        <v>2852</v>
      </c>
      <c r="E1299" s="29" t="s">
        <v>2840</v>
      </c>
      <c r="F1299" s="29" t="s">
        <v>2850</v>
      </c>
      <c r="G1299" s="29" t="s">
        <v>36</v>
      </c>
      <c r="H1299" s="29" t="s">
        <v>65</v>
      </c>
      <c r="I1299" s="29" t="s">
        <v>190</v>
      </c>
      <c r="J1299" s="29" t="s">
        <v>2841</v>
      </c>
      <c r="K1299" s="29" t="s">
        <v>298</v>
      </c>
      <c r="L1299" s="29" t="s">
        <v>30</v>
      </c>
      <c r="M1299" s="29" t="n">
        <v>1009</v>
      </c>
      <c r="N1299" s="29" t="n">
        <v>2400</v>
      </c>
      <c r="O1299" s="29"/>
      <c r="P1299" s="30" t="n">
        <f aca="false">(M1299*N1299/1000000)*(INDEX(AreaRate_Vals,MATCH(C1299,AreaRate_Keys,0))+IFERROR(INDEX(GlazingUpg_Vals,MATCH(H1299,GlazingUpg_Keys,0)),0))+INDEX(Hardware_Vals,MATCH("Doors",Hardware_Keys,0))</f>
        <v>9025.6</v>
      </c>
      <c r="Q1299" s="31" t="n">
        <f aca="false">INDEX(Markup_Vals,MATCH("Doors",MarkupCat_Keys,0))</f>
        <v>0.4</v>
      </c>
      <c r="R1299" s="32" t="n">
        <f aca="false">P1299*(1+Q1299)</f>
        <v>12635.84</v>
      </c>
      <c r="S1299" s="32" t="n">
        <f aca="false">R1299*(1-TradeDiscount)</f>
        <v>11119.5392</v>
      </c>
      <c r="T1299" s="32" t="n">
        <f aca="false">R1299*(1-VolumeDiscount)</f>
        <v>10108.672</v>
      </c>
    </row>
    <row r="1300" customFormat="false" ht="15" hidden="false" customHeight="false" outlineLevel="0" collapsed="false">
      <c r="A1300" s="25" t="s">
        <v>2853</v>
      </c>
      <c r="B1300" s="25" t="s">
        <v>97</v>
      </c>
      <c r="C1300" s="25" t="s">
        <v>53</v>
      </c>
      <c r="D1300" s="25" t="s">
        <v>2854</v>
      </c>
      <c r="E1300" s="25" t="s">
        <v>2840</v>
      </c>
      <c r="F1300" s="25" t="s">
        <v>2850</v>
      </c>
      <c r="G1300" s="25" t="s">
        <v>37</v>
      </c>
      <c r="H1300" s="25" t="s">
        <v>65</v>
      </c>
      <c r="I1300" s="25" t="s">
        <v>190</v>
      </c>
      <c r="J1300" s="25" t="s">
        <v>2841</v>
      </c>
      <c r="K1300" s="25" t="s">
        <v>298</v>
      </c>
      <c r="L1300" s="25" t="s">
        <v>30</v>
      </c>
      <c r="M1300" s="25" t="n">
        <v>1009</v>
      </c>
      <c r="N1300" s="25" t="n">
        <v>2400</v>
      </c>
      <c r="O1300" s="25"/>
      <c r="P1300" s="26" t="n">
        <f aca="false">(M1300*N1300/1000000)*(INDEX(AreaRate_Vals,MATCH(C1300,AreaRate_Keys,0))+IFERROR(INDEX(GlazingUpg_Vals,MATCH(H1300,GlazingUpg_Keys,0)),0))+INDEX(Hardware_Vals,MATCH("Doors",Hardware_Keys,0))</f>
        <v>9025.6</v>
      </c>
      <c r="Q1300" s="27" t="n">
        <f aca="false">INDEX(Markup_Vals,MATCH("Doors",MarkupCat_Keys,0))</f>
        <v>0.4</v>
      </c>
      <c r="R1300" s="28" t="n">
        <f aca="false">P1300*(1+Q1300)</f>
        <v>12635.84</v>
      </c>
      <c r="S1300" s="28" t="n">
        <f aca="false">R1300*(1-TradeDiscount)</f>
        <v>11119.5392</v>
      </c>
      <c r="T1300" s="28" t="n">
        <f aca="false">R1300*(1-VolumeDiscount)</f>
        <v>10108.672</v>
      </c>
    </row>
    <row r="1301" customFormat="false" ht="15" hidden="false" customHeight="false" outlineLevel="0" collapsed="false">
      <c r="A1301" s="29" t="s">
        <v>2855</v>
      </c>
      <c r="B1301" s="29" t="s">
        <v>97</v>
      </c>
      <c r="C1301" s="29" t="s">
        <v>53</v>
      </c>
      <c r="D1301" s="29" t="s">
        <v>2856</v>
      </c>
      <c r="E1301" s="29" t="s">
        <v>2840</v>
      </c>
      <c r="F1301" s="29" t="s">
        <v>2850</v>
      </c>
      <c r="G1301" s="29" t="s">
        <v>39</v>
      </c>
      <c r="H1301" s="29" t="s">
        <v>65</v>
      </c>
      <c r="I1301" s="29" t="s">
        <v>190</v>
      </c>
      <c r="J1301" s="29" t="s">
        <v>2841</v>
      </c>
      <c r="K1301" s="29" t="s">
        <v>298</v>
      </c>
      <c r="L1301" s="29" t="s">
        <v>30</v>
      </c>
      <c r="M1301" s="29" t="n">
        <v>1009</v>
      </c>
      <c r="N1301" s="29" t="n">
        <v>2400</v>
      </c>
      <c r="O1301" s="29"/>
      <c r="P1301" s="30" t="n">
        <f aca="false">(M1301*N1301/1000000)*(INDEX(AreaRate_Vals,MATCH(C1301,AreaRate_Keys,0))+IFERROR(INDEX(GlazingUpg_Vals,MATCH(H1301,GlazingUpg_Keys,0)),0))+INDEX(Hardware_Vals,MATCH("Doors",Hardware_Keys,0))</f>
        <v>9025.6</v>
      </c>
      <c r="Q1301" s="31" t="n">
        <f aca="false">INDEX(Markup_Vals,MATCH("Doors",MarkupCat_Keys,0))</f>
        <v>0.4</v>
      </c>
      <c r="R1301" s="32" t="n">
        <f aca="false">P1301*(1+Q1301)</f>
        <v>12635.84</v>
      </c>
      <c r="S1301" s="32" t="n">
        <f aca="false">R1301*(1-TradeDiscount)</f>
        <v>11119.5392</v>
      </c>
      <c r="T1301" s="32" t="n">
        <f aca="false">R1301*(1-VolumeDiscount)</f>
        <v>10108.672</v>
      </c>
    </row>
    <row r="1302" customFormat="false" ht="15" hidden="false" customHeight="false" outlineLevel="0" collapsed="false">
      <c r="A1302" s="25" t="s">
        <v>2857</v>
      </c>
      <c r="B1302" s="25" t="s">
        <v>97</v>
      </c>
      <c r="C1302" s="25" t="s">
        <v>53</v>
      </c>
      <c r="D1302" s="25" t="s">
        <v>2858</v>
      </c>
      <c r="E1302" s="25" t="s">
        <v>2840</v>
      </c>
      <c r="F1302" s="25" t="s">
        <v>2859</v>
      </c>
      <c r="G1302" s="25" t="s">
        <v>35</v>
      </c>
      <c r="H1302" s="25" t="s">
        <v>65</v>
      </c>
      <c r="I1302" s="25" t="s">
        <v>190</v>
      </c>
      <c r="J1302" s="25" t="s">
        <v>2841</v>
      </c>
      <c r="K1302" s="25" t="s">
        <v>298</v>
      </c>
      <c r="L1302" s="25" t="s">
        <v>30</v>
      </c>
      <c r="M1302" s="25" t="n">
        <v>1209</v>
      </c>
      <c r="N1302" s="25" t="n">
        <v>2400</v>
      </c>
      <c r="O1302" s="25"/>
      <c r="P1302" s="26" t="n">
        <f aca="false">(M1302*N1302/1000000)*(INDEX(AreaRate_Vals,MATCH(C1302,AreaRate_Keys,0))+IFERROR(INDEX(GlazingUpg_Vals,MATCH(H1302,GlazingUpg_Keys,0)),0))+INDEX(Hardware_Vals,MATCH("Doors",Hardware_Keys,0))</f>
        <v>10705.6</v>
      </c>
      <c r="Q1302" s="27" t="n">
        <f aca="false">INDEX(Markup_Vals,MATCH("Doors",MarkupCat_Keys,0))</f>
        <v>0.4</v>
      </c>
      <c r="R1302" s="28" t="n">
        <f aca="false">P1302*(1+Q1302)</f>
        <v>14987.84</v>
      </c>
      <c r="S1302" s="28" t="n">
        <f aca="false">R1302*(1-TradeDiscount)</f>
        <v>13189.2992</v>
      </c>
      <c r="T1302" s="28" t="n">
        <f aca="false">R1302*(1-VolumeDiscount)</f>
        <v>11990.272</v>
      </c>
    </row>
    <row r="1303" customFormat="false" ht="15" hidden="false" customHeight="false" outlineLevel="0" collapsed="false">
      <c r="A1303" s="29" t="s">
        <v>2860</v>
      </c>
      <c r="B1303" s="29" t="s">
        <v>97</v>
      </c>
      <c r="C1303" s="29" t="s">
        <v>53</v>
      </c>
      <c r="D1303" s="29" t="s">
        <v>2861</v>
      </c>
      <c r="E1303" s="29" t="s">
        <v>2840</v>
      </c>
      <c r="F1303" s="29" t="s">
        <v>2859</v>
      </c>
      <c r="G1303" s="29" t="s">
        <v>36</v>
      </c>
      <c r="H1303" s="29" t="s">
        <v>65</v>
      </c>
      <c r="I1303" s="29" t="s">
        <v>190</v>
      </c>
      <c r="J1303" s="29" t="s">
        <v>2841</v>
      </c>
      <c r="K1303" s="29" t="s">
        <v>298</v>
      </c>
      <c r="L1303" s="29" t="s">
        <v>30</v>
      </c>
      <c r="M1303" s="29" t="n">
        <v>1209</v>
      </c>
      <c r="N1303" s="29" t="n">
        <v>2400</v>
      </c>
      <c r="O1303" s="29"/>
      <c r="P1303" s="30" t="n">
        <f aca="false">(M1303*N1303/1000000)*(INDEX(AreaRate_Vals,MATCH(C1303,AreaRate_Keys,0))+IFERROR(INDEX(GlazingUpg_Vals,MATCH(H1303,GlazingUpg_Keys,0)),0))+INDEX(Hardware_Vals,MATCH("Doors",Hardware_Keys,0))</f>
        <v>10705.6</v>
      </c>
      <c r="Q1303" s="31" t="n">
        <f aca="false">INDEX(Markup_Vals,MATCH("Doors",MarkupCat_Keys,0))</f>
        <v>0.4</v>
      </c>
      <c r="R1303" s="32" t="n">
        <f aca="false">P1303*(1+Q1303)</f>
        <v>14987.84</v>
      </c>
      <c r="S1303" s="32" t="n">
        <f aca="false">R1303*(1-TradeDiscount)</f>
        <v>13189.2992</v>
      </c>
      <c r="T1303" s="32" t="n">
        <f aca="false">R1303*(1-VolumeDiscount)</f>
        <v>11990.272</v>
      </c>
    </row>
    <row r="1304" customFormat="false" ht="15" hidden="false" customHeight="false" outlineLevel="0" collapsed="false">
      <c r="A1304" s="25" t="s">
        <v>2862</v>
      </c>
      <c r="B1304" s="25" t="s">
        <v>97</v>
      </c>
      <c r="C1304" s="25" t="s">
        <v>53</v>
      </c>
      <c r="D1304" s="25" t="s">
        <v>2863</v>
      </c>
      <c r="E1304" s="25" t="s">
        <v>2840</v>
      </c>
      <c r="F1304" s="25" t="s">
        <v>2859</v>
      </c>
      <c r="G1304" s="25" t="s">
        <v>37</v>
      </c>
      <c r="H1304" s="25" t="s">
        <v>65</v>
      </c>
      <c r="I1304" s="25" t="s">
        <v>190</v>
      </c>
      <c r="J1304" s="25" t="s">
        <v>2841</v>
      </c>
      <c r="K1304" s="25" t="s">
        <v>298</v>
      </c>
      <c r="L1304" s="25" t="s">
        <v>30</v>
      </c>
      <c r="M1304" s="25" t="n">
        <v>1209</v>
      </c>
      <c r="N1304" s="25" t="n">
        <v>2400</v>
      </c>
      <c r="O1304" s="25"/>
      <c r="P1304" s="26" t="n">
        <f aca="false">(M1304*N1304/1000000)*(INDEX(AreaRate_Vals,MATCH(C1304,AreaRate_Keys,0))+IFERROR(INDEX(GlazingUpg_Vals,MATCH(H1304,GlazingUpg_Keys,0)),0))+INDEX(Hardware_Vals,MATCH("Doors",Hardware_Keys,0))</f>
        <v>10705.6</v>
      </c>
      <c r="Q1304" s="27" t="n">
        <f aca="false">INDEX(Markup_Vals,MATCH("Doors",MarkupCat_Keys,0))</f>
        <v>0.4</v>
      </c>
      <c r="R1304" s="28" t="n">
        <f aca="false">P1304*(1+Q1304)</f>
        <v>14987.84</v>
      </c>
      <c r="S1304" s="28" t="n">
        <f aca="false">R1304*(1-TradeDiscount)</f>
        <v>13189.2992</v>
      </c>
      <c r="T1304" s="28" t="n">
        <f aca="false">R1304*(1-VolumeDiscount)</f>
        <v>11990.272</v>
      </c>
    </row>
    <row r="1305" customFormat="false" ht="15" hidden="false" customHeight="false" outlineLevel="0" collapsed="false">
      <c r="A1305" s="29" t="s">
        <v>2864</v>
      </c>
      <c r="B1305" s="29" t="s">
        <v>97</v>
      </c>
      <c r="C1305" s="29" t="s">
        <v>53</v>
      </c>
      <c r="D1305" s="29" t="s">
        <v>2865</v>
      </c>
      <c r="E1305" s="29" t="s">
        <v>2840</v>
      </c>
      <c r="F1305" s="29" t="s">
        <v>2859</v>
      </c>
      <c r="G1305" s="29" t="s">
        <v>39</v>
      </c>
      <c r="H1305" s="29" t="s">
        <v>65</v>
      </c>
      <c r="I1305" s="29" t="s">
        <v>190</v>
      </c>
      <c r="J1305" s="29" t="s">
        <v>2841</v>
      </c>
      <c r="K1305" s="29" t="s">
        <v>298</v>
      </c>
      <c r="L1305" s="29" t="s">
        <v>30</v>
      </c>
      <c r="M1305" s="29" t="n">
        <v>1209</v>
      </c>
      <c r="N1305" s="29" t="n">
        <v>2400</v>
      </c>
      <c r="O1305" s="29"/>
      <c r="P1305" s="30" t="n">
        <f aca="false">(M1305*N1305/1000000)*(INDEX(AreaRate_Vals,MATCH(C1305,AreaRate_Keys,0))+IFERROR(INDEX(GlazingUpg_Vals,MATCH(H1305,GlazingUpg_Keys,0)),0))+INDEX(Hardware_Vals,MATCH("Doors",Hardware_Keys,0))</f>
        <v>10705.6</v>
      </c>
      <c r="Q1305" s="31" t="n">
        <f aca="false">INDEX(Markup_Vals,MATCH("Doors",MarkupCat_Keys,0))</f>
        <v>0.4</v>
      </c>
      <c r="R1305" s="32" t="n">
        <f aca="false">P1305*(1+Q1305)</f>
        <v>14987.84</v>
      </c>
      <c r="S1305" s="32" t="n">
        <f aca="false">R1305*(1-TradeDiscount)</f>
        <v>13189.2992</v>
      </c>
      <c r="T1305" s="32" t="n">
        <f aca="false">R1305*(1-VolumeDiscount)</f>
        <v>11990.272</v>
      </c>
    </row>
    <row r="1306" customFormat="false" ht="15" hidden="false" customHeight="false" outlineLevel="0" collapsed="false">
      <c r="A1306" s="25" t="s">
        <v>2866</v>
      </c>
      <c r="B1306" s="25" t="s">
        <v>97</v>
      </c>
      <c r="C1306" s="25" t="s">
        <v>53</v>
      </c>
      <c r="D1306" s="25" t="s">
        <v>2867</v>
      </c>
      <c r="E1306" s="25" t="s">
        <v>2840</v>
      </c>
      <c r="F1306" s="25" t="s">
        <v>2868</v>
      </c>
      <c r="G1306" s="25" t="s">
        <v>35</v>
      </c>
      <c r="H1306" s="25" t="s">
        <v>65</v>
      </c>
      <c r="I1306" s="25" t="s">
        <v>190</v>
      </c>
      <c r="J1306" s="25" t="s">
        <v>2841</v>
      </c>
      <c r="K1306" s="25" t="s">
        <v>298</v>
      </c>
      <c r="L1306" s="25" t="s">
        <v>30</v>
      </c>
      <c r="M1306" s="25" t="n">
        <v>1209</v>
      </c>
      <c r="N1306" s="25" t="n">
        <v>2700</v>
      </c>
      <c r="O1306" s="25"/>
      <c r="P1306" s="26" t="n">
        <f aca="false">(M1306*N1306/1000000)*(INDEX(AreaRate_Vals,MATCH(C1306,AreaRate_Keys,0))+IFERROR(INDEX(GlazingUpg_Vals,MATCH(H1306,GlazingUpg_Keys,0)),0))+INDEX(Hardware_Vals,MATCH("Doors",Hardware_Keys,0))</f>
        <v>11975.05</v>
      </c>
      <c r="Q1306" s="27" t="n">
        <f aca="false">INDEX(Markup_Vals,MATCH("Doors",MarkupCat_Keys,0))</f>
        <v>0.4</v>
      </c>
      <c r="R1306" s="28" t="n">
        <f aca="false">P1306*(1+Q1306)</f>
        <v>16765.07</v>
      </c>
      <c r="S1306" s="28" t="n">
        <f aca="false">R1306*(1-TradeDiscount)</f>
        <v>14753.2616</v>
      </c>
      <c r="T1306" s="28" t="n">
        <f aca="false">R1306*(1-VolumeDiscount)</f>
        <v>13412.056</v>
      </c>
    </row>
    <row r="1307" customFormat="false" ht="15" hidden="false" customHeight="false" outlineLevel="0" collapsed="false">
      <c r="A1307" s="29" t="s">
        <v>2869</v>
      </c>
      <c r="B1307" s="29" t="s">
        <v>97</v>
      </c>
      <c r="C1307" s="29" t="s">
        <v>53</v>
      </c>
      <c r="D1307" s="29" t="s">
        <v>2870</v>
      </c>
      <c r="E1307" s="29" t="s">
        <v>2840</v>
      </c>
      <c r="F1307" s="29" t="s">
        <v>2868</v>
      </c>
      <c r="G1307" s="29" t="s">
        <v>36</v>
      </c>
      <c r="H1307" s="29" t="s">
        <v>65</v>
      </c>
      <c r="I1307" s="29" t="s">
        <v>190</v>
      </c>
      <c r="J1307" s="29" t="s">
        <v>2841</v>
      </c>
      <c r="K1307" s="29" t="s">
        <v>298</v>
      </c>
      <c r="L1307" s="29" t="s">
        <v>30</v>
      </c>
      <c r="M1307" s="29" t="n">
        <v>1209</v>
      </c>
      <c r="N1307" s="29" t="n">
        <v>2700</v>
      </c>
      <c r="O1307" s="29"/>
      <c r="P1307" s="30" t="n">
        <f aca="false">(M1307*N1307/1000000)*(INDEX(AreaRate_Vals,MATCH(C1307,AreaRate_Keys,0))+IFERROR(INDEX(GlazingUpg_Vals,MATCH(H1307,GlazingUpg_Keys,0)),0))+INDEX(Hardware_Vals,MATCH("Doors",Hardware_Keys,0))</f>
        <v>11975.05</v>
      </c>
      <c r="Q1307" s="31" t="n">
        <f aca="false">INDEX(Markup_Vals,MATCH("Doors",MarkupCat_Keys,0))</f>
        <v>0.4</v>
      </c>
      <c r="R1307" s="32" t="n">
        <f aca="false">P1307*(1+Q1307)</f>
        <v>16765.07</v>
      </c>
      <c r="S1307" s="32" t="n">
        <f aca="false">R1307*(1-TradeDiscount)</f>
        <v>14753.2616</v>
      </c>
      <c r="T1307" s="32" t="n">
        <f aca="false">R1307*(1-VolumeDiscount)</f>
        <v>13412.056</v>
      </c>
    </row>
    <row r="1308" customFormat="false" ht="15" hidden="false" customHeight="false" outlineLevel="0" collapsed="false">
      <c r="A1308" s="25" t="s">
        <v>2871</v>
      </c>
      <c r="B1308" s="25" t="s">
        <v>97</v>
      </c>
      <c r="C1308" s="25" t="s">
        <v>53</v>
      </c>
      <c r="D1308" s="25" t="s">
        <v>2872</v>
      </c>
      <c r="E1308" s="25" t="s">
        <v>2840</v>
      </c>
      <c r="F1308" s="25" t="s">
        <v>2868</v>
      </c>
      <c r="G1308" s="25" t="s">
        <v>37</v>
      </c>
      <c r="H1308" s="25" t="s">
        <v>65</v>
      </c>
      <c r="I1308" s="25" t="s">
        <v>190</v>
      </c>
      <c r="J1308" s="25" t="s">
        <v>2841</v>
      </c>
      <c r="K1308" s="25" t="s">
        <v>298</v>
      </c>
      <c r="L1308" s="25" t="s">
        <v>30</v>
      </c>
      <c r="M1308" s="25" t="n">
        <v>1209</v>
      </c>
      <c r="N1308" s="25" t="n">
        <v>2700</v>
      </c>
      <c r="O1308" s="25"/>
      <c r="P1308" s="26" t="n">
        <f aca="false">(M1308*N1308/1000000)*(INDEX(AreaRate_Vals,MATCH(C1308,AreaRate_Keys,0))+IFERROR(INDEX(GlazingUpg_Vals,MATCH(H1308,GlazingUpg_Keys,0)),0))+INDEX(Hardware_Vals,MATCH("Doors",Hardware_Keys,0))</f>
        <v>11975.05</v>
      </c>
      <c r="Q1308" s="27" t="n">
        <f aca="false">INDEX(Markup_Vals,MATCH("Doors",MarkupCat_Keys,0))</f>
        <v>0.4</v>
      </c>
      <c r="R1308" s="28" t="n">
        <f aca="false">P1308*(1+Q1308)</f>
        <v>16765.07</v>
      </c>
      <c r="S1308" s="28" t="n">
        <f aca="false">R1308*(1-TradeDiscount)</f>
        <v>14753.2616</v>
      </c>
      <c r="T1308" s="28" t="n">
        <f aca="false">R1308*(1-VolumeDiscount)</f>
        <v>13412.056</v>
      </c>
    </row>
    <row r="1309" customFormat="false" ht="15" hidden="false" customHeight="false" outlineLevel="0" collapsed="false">
      <c r="A1309" s="29" t="s">
        <v>2873</v>
      </c>
      <c r="B1309" s="29" t="s">
        <v>97</v>
      </c>
      <c r="C1309" s="29" t="s">
        <v>53</v>
      </c>
      <c r="D1309" s="29" t="s">
        <v>2874</v>
      </c>
      <c r="E1309" s="29" t="s">
        <v>2840</v>
      </c>
      <c r="F1309" s="29" t="s">
        <v>2868</v>
      </c>
      <c r="G1309" s="29" t="s">
        <v>39</v>
      </c>
      <c r="H1309" s="29" t="s">
        <v>65</v>
      </c>
      <c r="I1309" s="29" t="s">
        <v>190</v>
      </c>
      <c r="J1309" s="29" t="s">
        <v>2841</v>
      </c>
      <c r="K1309" s="29" t="s">
        <v>298</v>
      </c>
      <c r="L1309" s="29" t="s">
        <v>30</v>
      </c>
      <c r="M1309" s="29" t="n">
        <v>1209</v>
      </c>
      <c r="N1309" s="29" t="n">
        <v>2700</v>
      </c>
      <c r="O1309" s="29"/>
      <c r="P1309" s="30" t="n">
        <f aca="false">(M1309*N1309/1000000)*(INDEX(AreaRate_Vals,MATCH(C1309,AreaRate_Keys,0))+IFERROR(INDEX(GlazingUpg_Vals,MATCH(H1309,GlazingUpg_Keys,0)),0))+INDEX(Hardware_Vals,MATCH("Doors",Hardware_Keys,0))</f>
        <v>11975.05</v>
      </c>
      <c r="Q1309" s="31" t="n">
        <f aca="false">INDEX(Markup_Vals,MATCH("Doors",MarkupCat_Keys,0))</f>
        <v>0.4</v>
      </c>
      <c r="R1309" s="32" t="n">
        <f aca="false">P1309*(1+Q1309)</f>
        <v>16765.07</v>
      </c>
      <c r="S1309" s="32" t="n">
        <f aca="false">R1309*(1-TradeDiscount)</f>
        <v>14753.2616</v>
      </c>
      <c r="T1309" s="32" t="n">
        <f aca="false">R1309*(1-VolumeDiscount)</f>
        <v>13412.056</v>
      </c>
    </row>
    <row r="1310" customFormat="false" ht="15" hidden="false" customHeight="false" outlineLevel="0" collapsed="false">
      <c r="A1310" s="25" t="s">
        <v>2875</v>
      </c>
      <c r="B1310" s="25" t="s">
        <v>97</v>
      </c>
      <c r="C1310" s="25" t="s">
        <v>53</v>
      </c>
      <c r="D1310" s="25" t="s">
        <v>2876</v>
      </c>
      <c r="E1310" s="25" t="s">
        <v>2840</v>
      </c>
      <c r="F1310" s="25" t="s">
        <v>2877</v>
      </c>
      <c r="G1310" s="25" t="s">
        <v>35</v>
      </c>
      <c r="H1310" s="25" t="s">
        <v>65</v>
      </c>
      <c r="I1310" s="25" t="s">
        <v>190</v>
      </c>
      <c r="J1310" s="25" t="s">
        <v>2841</v>
      </c>
      <c r="K1310" s="25" t="s">
        <v>298</v>
      </c>
      <c r="L1310" s="25" t="s">
        <v>30</v>
      </c>
      <c r="M1310" s="25" t="n">
        <v>1509</v>
      </c>
      <c r="N1310" s="25" t="n">
        <v>2700</v>
      </c>
      <c r="O1310" s="25"/>
      <c r="P1310" s="26" t="n">
        <f aca="false">(M1310*N1310/1000000)*(INDEX(AreaRate_Vals,MATCH(C1310,AreaRate_Keys,0))+IFERROR(INDEX(GlazingUpg_Vals,MATCH(H1310,GlazingUpg_Keys,0)),0))+INDEX(Hardware_Vals,MATCH("Doors",Hardware_Keys,0))</f>
        <v>14810.05</v>
      </c>
      <c r="Q1310" s="27" t="n">
        <f aca="false">INDEX(Markup_Vals,MATCH("Doors",MarkupCat_Keys,0))</f>
        <v>0.4</v>
      </c>
      <c r="R1310" s="28" t="n">
        <f aca="false">P1310*(1+Q1310)</f>
        <v>20734.07</v>
      </c>
      <c r="S1310" s="28" t="n">
        <f aca="false">R1310*(1-TradeDiscount)</f>
        <v>18245.9816</v>
      </c>
      <c r="T1310" s="28" t="n">
        <f aca="false">R1310*(1-VolumeDiscount)</f>
        <v>16587.256</v>
      </c>
    </row>
    <row r="1311" customFormat="false" ht="15" hidden="false" customHeight="false" outlineLevel="0" collapsed="false">
      <c r="A1311" s="29" t="s">
        <v>2878</v>
      </c>
      <c r="B1311" s="29" t="s">
        <v>97</v>
      </c>
      <c r="C1311" s="29" t="s">
        <v>53</v>
      </c>
      <c r="D1311" s="29" t="s">
        <v>2879</v>
      </c>
      <c r="E1311" s="29" t="s">
        <v>2840</v>
      </c>
      <c r="F1311" s="29" t="s">
        <v>2877</v>
      </c>
      <c r="G1311" s="29" t="s">
        <v>36</v>
      </c>
      <c r="H1311" s="29" t="s">
        <v>65</v>
      </c>
      <c r="I1311" s="29" t="s">
        <v>190</v>
      </c>
      <c r="J1311" s="29" t="s">
        <v>2841</v>
      </c>
      <c r="K1311" s="29" t="s">
        <v>298</v>
      </c>
      <c r="L1311" s="29" t="s">
        <v>30</v>
      </c>
      <c r="M1311" s="29" t="n">
        <v>1509</v>
      </c>
      <c r="N1311" s="29" t="n">
        <v>2700</v>
      </c>
      <c r="O1311" s="29"/>
      <c r="P1311" s="30" t="n">
        <f aca="false">(M1311*N1311/1000000)*(INDEX(AreaRate_Vals,MATCH(C1311,AreaRate_Keys,0))+IFERROR(INDEX(GlazingUpg_Vals,MATCH(H1311,GlazingUpg_Keys,0)),0))+INDEX(Hardware_Vals,MATCH("Doors",Hardware_Keys,0))</f>
        <v>14810.05</v>
      </c>
      <c r="Q1311" s="31" t="n">
        <f aca="false">INDEX(Markup_Vals,MATCH("Doors",MarkupCat_Keys,0))</f>
        <v>0.4</v>
      </c>
      <c r="R1311" s="32" t="n">
        <f aca="false">P1311*(1+Q1311)</f>
        <v>20734.07</v>
      </c>
      <c r="S1311" s="32" t="n">
        <f aca="false">R1311*(1-TradeDiscount)</f>
        <v>18245.9816</v>
      </c>
      <c r="T1311" s="32" t="n">
        <f aca="false">R1311*(1-VolumeDiscount)</f>
        <v>16587.256</v>
      </c>
    </row>
    <row r="1312" customFormat="false" ht="15" hidden="false" customHeight="false" outlineLevel="0" collapsed="false">
      <c r="A1312" s="25" t="s">
        <v>2880</v>
      </c>
      <c r="B1312" s="25" t="s">
        <v>97</v>
      </c>
      <c r="C1312" s="25" t="s">
        <v>53</v>
      </c>
      <c r="D1312" s="25" t="s">
        <v>2881</v>
      </c>
      <c r="E1312" s="25" t="s">
        <v>2840</v>
      </c>
      <c r="F1312" s="25" t="s">
        <v>2877</v>
      </c>
      <c r="G1312" s="25" t="s">
        <v>37</v>
      </c>
      <c r="H1312" s="25" t="s">
        <v>65</v>
      </c>
      <c r="I1312" s="25" t="s">
        <v>190</v>
      </c>
      <c r="J1312" s="25" t="s">
        <v>2841</v>
      </c>
      <c r="K1312" s="25" t="s">
        <v>298</v>
      </c>
      <c r="L1312" s="25" t="s">
        <v>30</v>
      </c>
      <c r="M1312" s="25" t="n">
        <v>1509</v>
      </c>
      <c r="N1312" s="25" t="n">
        <v>2700</v>
      </c>
      <c r="O1312" s="25"/>
      <c r="P1312" s="26" t="n">
        <f aca="false">(M1312*N1312/1000000)*(INDEX(AreaRate_Vals,MATCH(C1312,AreaRate_Keys,0))+IFERROR(INDEX(GlazingUpg_Vals,MATCH(H1312,GlazingUpg_Keys,0)),0))+INDEX(Hardware_Vals,MATCH("Doors",Hardware_Keys,0))</f>
        <v>14810.05</v>
      </c>
      <c r="Q1312" s="27" t="n">
        <f aca="false">INDEX(Markup_Vals,MATCH("Doors",MarkupCat_Keys,0))</f>
        <v>0.4</v>
      </c>
      <c r="R1312" s="28" t="n">
        <f aca="false">P1312*(1+Q1312)</f>
        <v>20734.07</v>
      </c>
      <c r="S1312" s="28" t="n">
        <f aca="false">R1312*(1-TradeDiscount)</f>
        <v>18245.9816</v>
      </c>
      <c r="T1312" s="28" t="n">
        <f aca="false">R1312*(1-VolumeDiscount)</f>
        <v>16587.256</v>
      </c>
    </row>
    <row r="1313" customFormat="false" ht="15" hidden="false" customHeight="false" outlineLevel="0" collapsed="false">
      <c r="A1313" s="29" t="s">
        <v>2882</v>
      </c>
      <c r="B1313" s="29" t="s">
        <v>97</v>
      </c>
      <c r="C1313" s="29" t="s">
        <v>53</v>
      </c>
      <c r="D1313" s="29" t="s">
        <v>2883</v>
      </c>
      <c r="E1313" s="29" t="s">
        <v>2840</v>
      </c>
      <c r="F1313" s="29" t="s">
        <v>2877</v>
      </c>
      <c r="G1313" s="29" t="s">
        <v>39</v>
      </c>
      <c r="H1313" s="29" t="s">
        <v>65</v>
      </c>
      <c r="I1313" s="29" t="s">
        <v>190</v>
      </c>
      <c r="J1313" s="29" t="s">
        <v>2841</v>
      </c>
      <c r="K1313" s="29" t="s">
        <v>298</v>
      </c>
      <c r="L1313" s="29" t="s">
        <v>30</v>
      </c>
      <c r="M1313" s="29" t="n">
        <v>1509</v>
      </c>
      <c r="N1313" s="29" t="n">
        <v>2700</v>
      </c>
      <c r="O1313" s="29"/>
      <c r="P1313" s="30" t="n">
        <f aca="false">(M1313*N1313/1000000)*(INDEX(AreaRate_Vals,MATCH(C1313,AreaRate_Keys,0))+IFERROR(INDEX(GlazingUpg_Vals,MATCH(H1313,GlazingUpg_Keys,0)),0))+INDEX(Hardware_Vals,MATCH("Doors",Hardware_Keys,0))</f>
        <v>14810.05</v>
      </c>
      <c r="Q1313" s="31" t="n">
        <f aca="false">INDEX(Markup_Vals,MATCH("Doors",MarkupCat_Keys,0))</f>
        <v>0.4</v>
      </c>
      <c r="R1313" s="32" t="n">
        <f aca="false">P1313*(1+Q1313)</f>
        <v>20734.07</v>
      </c>
      <c r="S1313" s="32" t="n">
        <f aca="false">R1313*(1-TradeDiscount)</f>
        <v>18245.9816</v>
      </c>
      <c r="T1313" s="32" t="n">
        <f aca="false">R1313*(1-VolumeDiscount)</f>
        <v>16587.256</v>
      </c>
    </row>
    <row r="1314" customFormat="false" ht="15" hidden="false" customHeight="false" outlineLevel="0" collapsed="false">
      <c r="A1314" s="25" t="s">
        <v>2884</v>
      </c>
      <c r="B1314" s="25" t="s">
        <v>97</v>
      </c>
      <c r="C1314" s="25" t="s">
        <v>54</v>
      </c>
      <c r="D1314" s="25" t="s">
        <v>2885</v>
      </c>
      <c r="E1314" s="25" t="s">
        <v>2886</v>
      </c>
      <c r="F1314" s="25" t="s">
        <v>2609</v>
      </c>
      <c r="G1314" s="25" t="s">
        <v>35</v>
      </c>
      <c r="H1314" s="25" t="s">
        <v>70</v>
      </c>
      <c r="I1314" s="25" t="s">
        <v>190</v>
      </c>
      <c r="J1314" s="25" t="s">
        <v>191</v>
      </c>
      <c r="K1314" s="25" t="s">
        <v>192</v>
      </c>
      <c r="L1314" s="25" t="s">
        <v>30</v>
      </c>
      <c r="M1314" s="25" t="n">
        <v>809</v>
      </c>
      <c r="N1314" s="25" t="n">
        <v>2009</v>
      </c>
      <c r="O1314" s="25"/>
      <c r="P1314" s="26" t="n">
        <f aca="false">(M1314*N1314/1000000)*INDEX(AreaRate_Vals,MATCH(C1314,AreaRate_Keys,0))+INDEX(Hardware_Vals,MATCH("Doors",Hardware_Keys,0))</f>
        <v>2825.3934</v>
      </c>
      <c r="Q1314" s="27" t="n">
        <f aca="false">INDEX(Markup_Vals,MATCH("Doors",MarkupCat_Keys,0))</f>
        <v>0.4</v>
      </c>
      <c r="R1314" s="28" t="n">
        <f aca="false">P1314*(1+Q1314)</f>
        <v>3955.55076</v>
      </c>
      <c r="S1314" s="28" t="n">
        <f aca="false">R1314*(1-TradeDiscount)</f>
        <v>3480.8846688</v>
      </c>
      <c r="T1314" s="28" t="n">
        <f aca="false">R1314*(1-VolumeDiscount)</f>
        <v>3164.440608</v>
      </c>
    </row>
    <row r="1315" customFormat="false" ht="15" hidden="false" customHeight="false" outlineLevel="0" collapsed="false">
      <c r="A1315" s="29" t="s">
        <v>2887</v>
      </c>
      <c r="B1315" s="29" t="s">
        <v>97</v>
      </c>
      <c r="C1315" s="29" t="s">
        <v>54</v>
      </c>
      <c r="D1315" s="29" t="s">
        <v>2888</v>
      </c>
      <c r="E1315" s="29" t="s">
        <v>2886</v>
      </c>
      <c r="F1315" s="29" t="s">
        <v>2609</v>
      </c>
      <c r="G1315" s="29" t="s">
        <v>36</v>
      </c>
      <c r="H1315" s="29" t="s">
        <v>70</v>
      </c>
      <c r="I1315" s="29" t="s">
        <v>190</v>
      </c>
      <c r="J1315" s="29" t="s">
        <v>191</v>
      </c>
      <c r="K1315" s="29" t="s">
        <v>192</v>
      </c>
      <c r="L1315" s="29" t="s">
        <v>30</v>
      </c>
      <c r="M1315" s="29" t="n">
        <v>809</v>
      </c>
      <c r="N1315" s="29" t="n">
        <v>2009</v>
      </c>
      <c r="O1315" s="29"/>
      <c r="P1315" s="30" t="n">
        <f aca="false">(M1315*N1315/1000000)*INDEX(AreaRate_Vals,MATCH(C1315,AreaRate_Keys,0))+INDEX(Hardware_Vals,MATCH("Doors",Hardware_Keys,0))</f>
        <v>2825.3934</v>
      </c>
      <c r="Q1315" s="31" t="n">
        <f aca="false">INDEX(Markup_Vals,MATCH("Doors",MarkupCat_Keys,0))</f>
        <v>0.4</v>
      </c>
      <c r="R1315" s="32" t="n">
        <f aca="false">P1315*(1+Q1315)</f>
        <v>3955.55076</v>
      </c>
      <c r="S1315" s="32" t="n">
        <f aca="false">R1315*(1-TradeDiscount)</f>
        <v>3480.8846688</v>
      </c>
      <c r="T1315" s="32" t="n">
        <f aca="false">R1315*(1-VolumeDiscount)</f>
        <v>3164.440608</v>
      </c>
    </row>
    <row r="1316" customFormat="false" ht="15" hidden="false" customHeight="false" outlineLevel="0" collapsed="false">
      <c r="A1316" s="25" t="s">
        <v>2889</v>
      </c>
      <c r="B1316" s="25" t="s">
        <v>97</v>
      </c>
      <c r="C1316" s="25" t="s">
        <v>54</v>
      </c>
      <c r="D1316" s="25" t="s">
        <v>2890</v>
      </c>
      <c r="E1316" s="25" t="s">
        <v>2886</v>
      </c>
      <c r="F1316" s="25" t="s">
        <v>2609</v>
      </c>
      <c r="G1316" s="25" t="s">
        <v>37</v>
      </c>
      <c r="H1316" s="25" t="s">
        <v>70</v>
      </c>
      <c r="I1316" s="25" t="s">
        <v>190</v>
      </c>
      <c r="J1316" s="25" t="s">
        <v>191</v>
      </c>
      <c r="K1316" s="25" t="s">
        <v>192</v>
      </c>
      <c r="L1316" s="25" t="s">
        <v>30</v>
      </c>
      <c r="M1316" s="25" t="n">
        <v>809</v>
      </c>
      <c r="N1316" s="25" t="n">
        <v>2009</v>
      </c>
      <c r="O1316" s="25"/>
      <c r="P1316" s="26" t="n">
        <f aca="false">(M1316*N1316/1000000)*INDEX(AreaRate_Vals,MATCH(C1316,AreaRate_Keys,0))+INDEX(Hardware_Vals,MATCH("Doors",Hardware_Keys,0))</f>
        <v>2825.3934</v>
      </c>
      <c r="Q1316" s="27" t="n">
        <f aca="false">INDEX(Markup_Vals,MATCH("Doors",MarkupCat_Keys,0))</f>
        <v>0.4</v>
      </c>
      <c r="R1316" s="28" t="n">
        <f aca="false">P1316*(1+Q1316)</f>
        <v>3955.55076</v>
      </c>
      <c r="S1316" s="28" t="n">
        <f aca="false">R1316*(1-TradeDiscount)</f>
        <v>3480.8846688</v>
      </c>
      <c r="T1316" s="28" t="n">
        <f aca="false">R1316*(1-VolumeDiscount)</f>
        <v>3164.440608</v>
      </c>
    </row>
    <row r="1317" customFormat="false" ht="15" hidden="false" customHeight="false" outlineLevel="0" collapsed="false">
      <c r="A1317" s="29" t="s">
        <v>2891</v>
      </c>
      <c r="B1317" s="29" t="s">
        <v>97</v>
      </c>
      <c r="C1317" s="29" t="s">
        <v>54</v>
      </c>
      <c r="D1317" s="29" t="s">
        <v>2892</v>
      </c>
      <c r="E1317" s="29" t="s">
        <v>2886</v>
      </c>
      <c r="F1317" s="29" t="s">
        <v>2620</v>
      </c>
      <c r="G1317" s="29" t="s">
        <v>35</v>
      </c>
      <c r="H1317" s="29" t="s">
        <v>70</v>
      </c>
      <c r="I1317" s="29" t="s">
        <v>190</v>
      </c>
      <c r="J1317" s="29" t="s">
        <v>191</v>
      </c>
      <c r="K1317" s="29" t="s">
        <v>192</v>
      </c>
      <c r="L1317" s="29" t="s">
        <v>30</v>
      </c>
      <c r="M1317" s="29" t="n">
        <v>909</v>
      </c>
      <c r="N1317" s="29" t="n">
        <v>2009</v>
      </c>
      <c r="O1317" s="29"/>
      <c r="P1317" s="30" t="n">
        <f aca="false">(M1317*N1317/1000000)*INDEX(AreaRate_Vals,MATCH(C1317,AreaRate_Keys,0))+INDEX(Hardware_Vals,MATCH("Doors",Hardware_Keys,0))</f>
        <v>3106.6534</v>
      </c>
      <c r="Q1317" s="31" t="n">
        <f aca="false">INDEX(Markup_Vals,MATCH("Doors",MarkupCat_Keys,0))</f>
        <v>0.4</v>
      </c>
      <c r="R1317" s="32" t="n">
        <f aca="false">P1317*(1+Q1317)</f>
        <v>4349.31476</v>
      </c>
      <c r="S1317" s="32" t="n">
        <f aca="false">R1317*(1-TradeDiscount)</f>
        <v>3827.3969888</v>
      </c>
      <c r="T1317" s="32" t="n">
        <f aca="false">R1317*(1-VolumeDiscount)</f>
        <v>3479.451808</v>
      </c>
    </row>
    <row r="1318" customFormat="false" ht="15" hidden="false" customHeight="false" outlineLevel="0" collapsed="false">
      <c r="A1318" s="25" t="s">
        <v>2893</v>
      </c>
      <c r="B1318" s="25" t="s">
        <v>97</v>
      </c>
      <c r="C1318" s="25" t="s">
        <v>54</v>
      </c>
      <c r="D1318" s="25" t="s">
        <v>2894</v>
      </c>
      <c r="E1318" s="25" t="s">
        <v>2886</v>
      </c>
      <c r="F1318" s="25" t="s">
        <v>2620</v>
      </c>
      <c r="G1318" s="25" t="s">
        <v>36</v>
      </c>
      <c r="H1318" s="25" t="s">
        <v>70</v>
      </c>
      <c r="I1318" s="25" t="s">
        <v>190</v>
      </c>
      <c r="J1318" s="25" t="s">
        <v>191</v>
      </c>
      <c r="K1318" s="25" t="s">
        <v>192</v>
      </c>
      <c r="L1318" s="25" t="s">
        <v>30</v>
      </c>
      <c r="M1318" s="25" t="n">
        <v>909</v>
      </c>
      <c r="N1318" s="25" t="n">
        <v>2009</v>
      </c>
      <c r="O1318" s="25"/>
      <c r="P1318" s="26" t="n">
        <f aca="false">(M1318*N1318/1000000)*INDEX(AreaRate_Vals,MATCH(C1318,AreaRate_Keys,0))+INDEX(Hardware_Vals,MATCH("Doors",Hardware_Keys,0))</f>
        <v>3106.6534</v>
      </c>
      <c r="Q1318" s="27" t="n">
        <f aca="false">INDEX(Markup_Vals,MATCH("Doors",MarkupCat_Keys,0))</f>
        <v>0.4</v>
      </c>
      <c r="R1318" s="28" t="n">
        <f aca="false">P1318*(1+Q1318)</f>
        <v>4349.31476</v>
      </c>
      <c r="S1318" s="28" t="n">
        <f aca="false">R1318*(1-TradeDiscount)</f>
        <v>3827.3969888</v>
      </c>
      <c r="T1318" s="28" t="n">
        <f aca="false">R1318*(1-VolumeDiscount)</f>
        <v>3479.451808</v>
      </c>
    </row>
    <row r="1319" customFormat="false" ht="15" hidden="false" customHeight="false" outlineLevel="0" collapsed="false">
      <c r="A1319" s="29" t="s">
        <v>2895</v>
      </c>
      <c r="B1319" s="29" t="s">
        <v>97</v>
      </c>
      <c r="C1319" s="29" t="s">
        <v>54</v>
      </c>
      <c r="D1319" s="29" t="s">
        <v>2896</v>
      </c>
      <c r="E1319" s="29" t="s">
        <v>2886</v>
      </c>
      <c r="F1319" s="29" t="s">
        <v>2620</v>
      </c>
      <c r="G1319" s="29" t="s">
        <v>37</v>
      </c>
      <c r="H1319" s="29" t="s">
        <v>70</v>
      </c>
      <c r="I1319" s="29" t="s">
        <v>190</v>
      </c>
      <c r="J1319" s="29" t="s">
        <v>191</v>
      </c>
      <c r="K1319" s="29" t="s">
        <v>192</v>
      </c>
      <c r="L1319" s="29" t="s">
        <v>30</v>
      </c>
      <c r="M1319" s="29" t="n">
        <v>909</v>
      </c>
      <c r="N1319" s="29" t="n">
        <v>2009</v>
      </c>
      <c r="O1319" s="29"/>
      <c r="P1319" s="30" t="n">
        <f aca="false">(M1319*N1319/1000000)*INDEX(AreaRate_Vals,MATCH(C1319,AreaRate_Keys,0))+INDEX(Hardware_Vals,MATCH("Doors",Hardware_Keys,0))</f>
        <v>3106.6534</v>
      </c>
      <c r="Q1319" s="31" t="n">
        <f aca="false">INDEX(Markup_Vals,MATCH("Doors",MarkupCat_Keys,0))</f>
        <v>0.4</v>
      </c>
      <c r="R1319" s="32" t="n">
        <f aca="false">P1319*(1+Q1319)</f>
        <v>4349.31476</v>
      </c>
      <c r="S1319" s="32" t="n">
        <f aca="false">R1319*(1-TradeDiscount)</f>
        <v>3827.3969888</v>
      </c>
      <c r="T1319" s="32" t="n">
        <f aca="false">R1319*(1-VolumeDiscount)</f>
        <v>3479.451808</v>
      </c>
    </row>
    <row r="1320" customFormat="false" ht="15" hidden="false" customHeight="false" outlineLevel="0" collapsed="false">
      <c r="A1320" s="25" t="s">
        <v>2897</v>
      </c>
      <c r="B1320" s="25" t="s">
        <v>97</v>
      </c>
      <c r="C1320" s="25" t="s">
        <v>54</v>
      </c>
      <c r="D1320" s="25" t="s">
        <v>2898</v>
      </c>
      <c r="E1320" s="25" t="s">
        <v>2886</v>
      </c>
      <c r="F1320" s="25" t="s">
        <v>2777</v>
      </c>
      <c r="G1320" s="25" t="s">
        <v>35</v>
      </c>
      <c r="H1320" s="25" t="s">
        <v>70</v>
      </c>
      <c r="I1320" s="25" t="s">
        <v>190</v>
      </c>
      <c r="J1320" s="25" t="s">
        <v>191</v>
      </c>
      <c r="K1320" s="25" t="s">
        <v>192</v>
      </c>
      <c r="L1320" s="25" t="s">
        <v>30</v>
      </c>
      <c r="M1320" s="25" t="n">
        <v>1209</v>
      </c>
      <c r="N1320" s="25" t="n">
        <v>2009</v>
      </c>
      <c r="O1320" s="25"/>
      <c r="P1320" s="26" t="n">
        <f aca="false">(M1320*N1320/1000000)*INDEX(AreaRate_Vals,MATCH(C1320,AreaRate_Keys,0))+INDEX(Hardware_Vals,MATCH("Doors",Hardware_Keys,0))</f>
        <v>3950.4334</v>
      </c>
      <c r="Q1320" s="27" t="n">
        <f aca="false">INDEX(Markup_Vals,MATCH("Doors",MarkupCat_Keys,0))</f>
        <v>0.4</v>
      </c>
      <c r="R1320" s="28" t="n">
        <f aca="false">P1320*(1+Q1320)</f>
        <v>5530.60676</v>
      </c>
      <c r="S1320" s="28" t="n">
        <f aca="false">R1320*(1-TradeDiscount)</f>
        <v>4866.9339488</v>
      </c>
      <c r="T1320" s="28" t="n">
        <f aca="false">R1320*(1-VolumeDiscount)</f>
        <v>4424.485408</v>
      </c>
    </row>
    <row r="1321" customFormat="false" ht="15" hidden="false" customHeight="false" outlineLevel="0" collapsed="false">
      <c r="A1321" s="29" t="s">
        <v>2899</v>
      </c>
      <c r="B1321" s="29" t="s">
        <v>97</v>
      </c>
      <c r="C1321" s="29" t="s">
        <v>54</v>
      </c>
      <c r="D1321" s="29" t="s">
        <v>2900</v>
      </c>
      <c r="E1321" s="29" t="s">
        <v>2886</v>
      </c>
      <c r="F1321" s="29" t="s">
        <v>2777</v>
      </c>
      <c r="G1321" s="29" t="s">
        <v>36</v>
      </c>
      <c r="H1321" s="29" t="s">
        <v>70</v>
      </c>
      <c r="I1321" s="29" t="s">
        <v>190</v>
      </c>
      <c r="J1321" s="29" t="s">
        <v>191</v>
      </c>
      <c r="K1321" s="29" t="s">
        <v>192</v>
      </c>
      <c r="L1321" s="29" t="s">
        <v>30</v>
      </c>
      <c r="M1321" s="29" t="n">
        <v>1209</v>
      </c>
      <c r="N1321" s="29" t="n">
        <v>2009</v>
      </c>
      <c r="O1321" s="29"/>
      <c r="P1321" s="30" t="n">
        <f aca="false">(M1321*N1321/1000000)*INDEX(AreaRate_Vals,MATCH(C1321,AreaRate_Keys,0))+INDEX(Hardware_Vals,MATCH("Doors",Hardware_Keys,0))</f>
        <v>3950.4334</v>
      </c>
      <c r="Q1321" s="31" t="n">
        <f aca="false">INDEX(Markup_Vals,MATCH("Doors",MarkupCat_Keys,0))</f>
        <v>0.4</v>
      </c>
      <c r="R1321" s="32" t="n">
        <f aca="false">P1321*(1+Q1321)</f>
        <v>5530.60676</v>
      </c>
      <c r="S1321" s="32" t="n">
        <f aca="false">R1321*(1-TradeDiscount)</f>
        <v>4866.9339488</v>
      </c>
      <c r="T1321" s="32" t="n">
        <f aca="false">R1321*(1-VolumeDiscount)</f>
        <v>4424.485408</v>
      </c>
    </row>
    <row r="1322" customFormat="false" ht="15" hidden="false" customHeight="false" outlineLevel="0" collapsed="false">
      <c r="A1322" s="25" t="s">
        <v>2901</v>
      </c>
      <c r="B1322" s="25" t="s">
        <v>97</v>
      </c>
      <c r="C1322" s="25" t="s">
        <v>54</v>
      </c>
      <c r="D1322" s="25" t="s">
        <v>2902</v>
      </c>
      <c r="E1322" s="25" t="s">
        <v>2886</v>
      </c>
      <c r="F1322" s="25" t="s">
        <v>2777</v>
      </c>
      <c r="G1322" s="25" t="s">
        <v>37</v>
      </c>
      <c r="H1322" s="25" t="s">
        <v>70</v>
      </c>
      <c r="I1322" s="25" t="s">
        <v>190</v>
      </c>
      <c r="J1322" s="25" t="s">
        <v>191</v>
      </c>
      <c r="K1322" s="25" t="s">
        <v>192</v>
      </c>
      <c r="L1322" s="25" t="s">
        <v>30</v>
      </c>
      <c r="M1322" s="25" t="n">
        <v>1209</v>
      </c>
      <c r="N1322" s="25" t="n">
        <v>2009</v>
      </c>
      <c r="O1322" s="25"/>
      <c r="P1322" s="26" t="n">
        <f aca="false">(M1322*N1322/1000000)*INDEX(AreaRate_Vals,MATCH(C1322,AreaRate_Keys,0))+INDEX(Hardware_Vals,MATCH("Doors",Hardware_Keys,0))</f>
        <v>3950.4334</v>
      </c>
      <c r="Q1322" s="27" t="n">
        <f aca="false">INDEX(Markup_Vals,MATCH("Doors",MarkupCat_Keys,0))</f>
        <v>0.4</v>
      </c>
      <c r="R1322" s="28" t="n">
        <f aca="false">P1322*(1+Q1322)</f>
        <v>5530.60676</v>
      </c>
      <c r="S1322" s="28" t="n">
        <f aca="false">R1322*(1-TradeDiscount)</f>
        <v>4866.9339488</v>
      </c>
      <c r="T1322" s="28" t="n">
        <f aca="false">R1322*(1-VolumeDiscount)</f>
        <v>4424.485408</v>
      </c>
    </row>
    <row r="1323" customFormat="false" ht="15" hidden="false" customHeight="false" outlineLevel="0" collapsed="false">
      <c r="A1323" s="29" t="s">
        <v>2903</v>
      </c>
      <c r="B1323" s="29" t="s">
        <v>97</v>
      </c>
      <c r="C1323" s="29" t="s">
        <v>54</v>
      </c>
      <c r="D1323" s="29" t="s">
        <v>2904</v>
      </c>
      <c r="E1323" s="29" t="s">
        <v>2886</v>
      </c>
      <c r="F1323" s="29" t="s">
        <v>1632</v>
      </c>
      <c r="G1323" s="29" t="s">
        <v>35</v>
      </c>
      <c r="H1323" s="29" t="s">
        <v>70</v>
      </c>
      <c r="I1323" s="29" t="s">
        <v>190</v>
      </c>
      <c r="J1323" s="29" t="s">
        <v>191</v>
      </c>
      <c r="K1323" s="29" t="s">
        <v>192</v>
      </c>
      <c r="L1323" s="29" t="s">
        <v>30</v>
      </c>
      <c r="M1323" s="29" t="n">
        <v>1809</v>
      </c>
      <c r="N1323" s="29" t="n">
        <v>2009</v>
      </c>
      <c r="O1323" s="29"/>
      <c r="P1323" s="30" t="n">
        <f aca="false">(M1323*N1323/1000000)*INDEX(AreaRate_Vals,MATCH(C1323,AreaRate_Keys,0))+INDEX(Hardware_Vals,MATCH("Doors",Hardware_Keys,0))</f>
        <v>5637.9934</v>
      </c>
      <c r="Q1323" s="31" t="n">
        <f aca="false">INDEX(Markup_Vals,MATCH("Doors",MarkupCat_Keys,0))</f>
        <v>0.4</v>
      </c>
      <c r="R1323" s="32" t="n">
        <f aca="false">P1323*(1+Q1323)</f>
        <v>7893.19076</v>
      </c>
      <c r="S1323" s="32" t="n">
        <f aca="false">R1323*(1-TradeDiscount)</f>
        <v>6946.0078688</v>
      </c>
      <c r="T1323" s="32" t="n">
        <f aca="false">R1323*(1-VolumeDiscount)</f>
        <v>6314.552608</v>
      </c>
    </row>
    <row r="1324" customFormat="false" ht="15" hidden="false" customHeight="false" outlineLevel="0" collapsed="false">
      <c r="A1324" s="25" t="s">
        <v>2905</v>
      </c>
      <c r="B1324" s="25" t="s">
        <v>97</v>
      </c>
      <c r="C1324" s="25" t="s">
        <v>54</v>
      </c>
      <c r="D1324" s="25" t="s">
        <v>2906</v>
      </c>
      <c r="E1324" s="25" t="s">
        <v>2886</v>
      </c>
      <c r="F1324" s="25" t="s">
        <v>1632</v>
      </c>
      <c r="G1324" s="25" t="s">
        <v>36</v>
      </c>
      <c r="H1324" s="25" t="s">
        <v>70</v>
      </c>
      <c r="I1324" s="25" t="s">
        <v>190</v>
      </c>
      <c r="J1324" s="25" t="s">
        <v>191</v>
      </c>
      <c r="K1324" s="25" t="s">
        <v>192</v>
      </c>
      <c r="L1324" s="25" t="s">
        <v>30</v>
      </c>
      <c r="M1324" s="25" t="n">
        <v>1809</v>
      </c>
      <c r="N1324" s="25" t="n">
        <v>2009</v>
      </c>
      <c r="O1324" s="25"/>
      <c r="P1324" s="26" t="n">
        <f aca="false">(M1324*N1324/1000000)*INDEX(AreaRate_Vals,MATCH(C1324,AreaRate_Keys,0))+INDEX(Hardware_Vals,MATCH("Doors",Hardware_Keys,0))</f>
        <v>5637.9934</v>
      </c>
      <c r="Q1324" s="27" t="n">
        <f aca="false">INDEX(Markup_Vals,MATCH("Doors",MarkupCat_Keys,0))</f>
        <v>0.4</v>
      </c>
      <c r="R1324" s="28" t="n">
        <f aca="false">P1324*(1+Q1324)</f>
        <v>7893.19076</v>
      </c>
      <c r="S1324" s="28" t="n">
        <f aca="false">R1324*(1-TradeDiscount)</f>
        <v>6946.0078688</v>
      </c>
      <c r="T1324" s="28" t="n">
        <f aca="false">R1324*(1-VolumeDiscount)</f>
        <v>6314.552608</v>
      </c>
    </row>
    <row r="1325" customFormat="false" ht="15" hidden="false" customHeight="false" outlineLevel="0" collapsed="false">
      <c r="A1325" s="29" t="s">
        <v>2907</v>
      </c>
      <c r="B1325" s="29" t="s">
        <v>97</v>
      </c>
      <c r="C1325" s="29" t="s">
        <v>54</v>
      </c>
      <c r="D1325" s="29" t="s">
        <v>2908</v>
      </c>
      <c r="E1325" s="29" t="s">
        <v>2886</v>
      </c>
      <c r="F1325" s="29" t="s">
        <v>1632</v>
      </c>
      <c r="G1325" s="29" t="s">
        <v>37</v>
      </c>
      <c r="H1325" s="29" t="s">
        <v>70</v>
      </c>
      <c r="I1325" s="29" t="s">
        <v>190</v>
      </c>
      <c r="J1325" s="29" t="s">
        <v>191</v>
      </c>
      <c r="K1325" s="29" t="s">
        <v>192</v>
      </c>
      <c r="L1325" s="29" t="s">
        <v>30</v>
      </c>
      <c r="M1325" s="29" t="n">
        <v>1809</v>
      </c>
      <c r="N1325" s="29" t="n">
        <v>2009</v>
      </c>
      <c r="O1325" s="29"/>
      <c r="P1325" s="30" t="n">
        <f aca="false">(M1325*N1325/1000000)*INDEX(AreaRate_Vals,MATCH(C1325,AreaRate_Keys,0))+INDEX(Hardware_Vals,MATCH("Doors",Hardware_Keys,0))</f>
        <v>5637.9934</v>
      </c>
      <c r="Q1325" s="31" t="n">
        <f aca="false">INDEX(Markup_Vals,MATCH("Doors",MarkupCat_Keys,0))</f>
        <v>0.4</v>
      </c>
      <c r="R1325" s="32" t="n">
        <f aca="false">P1325*(1+Q1325)</f>
        <v>7893.19076</v>
      </c>
      <c r="S1325" s="32" t="n">
        <f aca="false">R1325*(1-TradeDiscount)</f>
        <v>6946.0078688</v>
      </c>
      <c r="T1325" s="32" t="n">
        <f aca="false">R1325*(1-VolumeDiscount)</f>
        <v>6314.552608</v>
      </c>
    </row>
    <row r="1326" customFormat="false" ht="15" hidden="false" customHeight="false" outlineLevel="0" collapsed="false">
      <c r="A1326" s="25" t="s">
        <v>2909</v>
      </c>
      <c r="B1326" s="25" t="s">
        <v>97</v>
      </c>
      <c r="C1326" s="25" t="s">
        <v>54</v>
      </c>
      <c r="D1326" s="25" t="s">
        <v>2910</v>
      </c>
      <c r="E1326" s="25" t="s">
        <v>2886</v>
      </c>
      <c r="F1326" s="25" t="s">
        <v>1775</v>
      </c>
      <c r="G1326" s="25" t="s">
        <v>35</v>
      </c>
      <c r="H1326" s="25" t="s">
        <v>70</v>
      </c>
      <c r="I1326" s="25" t="s">
        <v>190</v>
      </c>
      <c r="J1326" s="25" t="s">
        <v>191</v>
      </c>
      <c r="K1326" s="25" t="s">
        <v>192</v>
      </c>
      <c r="L1326" s="25" t="s">
        <v>30</v>
      </c>
      <c r="M1326" s="25" t="n">
        <v>2409</v>
      </c>
      <c r="N1326" s="25" t="n">
        <v>2009</v>
      </c>
      <c r="O1326" s="25"/>
      <c r="P1326" s="26" t="n">
        <f aca="false">(M1326*N1326/1000000)*INDEX(AreaRate_Vals,MATCH(C1326,AreaRate_Keys,0))+INDEX(Hardware_Vals,MATCH("Doors",Hardware_Keys,0))</f>
        <v>7325.5534</v>
      </c>
      <c r="Q1326" s="27" t="n">
        <f aca="false">INDEX(Markup_Vals,MATCH("Doors",MarkupCat_Keys,0))</f>
        <v>0.4</v>
      </c>
      <c r="R1326" s="28" t="n">
        <f aca="false">P1326*(1+Q1326)</f>
        <v>10255.77476</v>
      </c>
      <c r="S1326" s="28" t="n">
        <f aca="false">R1326*(1-TradeDiscount)</f>
        <v>9025.0817888</v>
      </c>
      <c r="T1326" s="28" t="n">
        <f aca="false">R1326*(1-VolumeDiscount)</f>
        <v>8204.619808</v>
      </c>
    </row>
    <row r="1327" customFormat="false" ht="15" hidden="false" customHeight="false" outlineLevel="0" collapsed="false">
      <c r="A1327" s="29" t="s">
        <v>2911</v>
      </c>
      <c r="B1327" s="29" t="s">
        <v>97</v>
      </c>
      <c r="C1327" s="29" t="s">
        <v>54</v>
      </c>
      <c r="D1327" s="29" t="s">
        <v>2912</v>
      </c>
      <c r="E1327" s="29" t="s">
        <v>2886</v>
      </c>
      <c r="F1327" s="29" t="s">
        <v>1775</v>
      </c>
      <c r="G1327" s="29" t="s">
        <v>36</v>
      </c>
      <c r="H1327" s="29" t="s">
        <v>70</v>
      </c>
      <c r="I1327" s="29" t="s">
        <v>190</v>
      </c>
      <c r="J1327" s="29" t="s">
        <v>191</v>
      </c>
      <c r="K1327" s="29" t="s">
        <v>192</v>
      </c>
      <c r="L1327" s="29" t="s">
        <v>30</v>
      </c>
      <c r="M1327" s="29" t="n">
        <v>2409</v>
      </c>
      <c r="N1327" s="29" t="n">
        <v>2009</v>
      </c>
      <c r="O1327" s="29"/>
      <c r="P1327" s="30" t="n">
        <f aca="false">(M1327*N1327/1000000)*INDEX(AreaRate_Vals,MATCH(C1327,AreaRate_Keys,0))+INDEX(Hardware_Vals,MATCH("Doors",Hardware_Keys,0))</f>
        <v>7325.5534</v>
      </c>
      <c r="Q1327" s="31" t="n">
        <f aca="false">INDEX(Markup_Vals,MATCH("Doors",MarkupCat_Keys,0))</f>
        <v>0.4</v>
      </c>
      <c r="R1327" s="32" t="n">
        <f aca="false">P1327*(1+Q1327)</f>
        <v>10255.77476</v>
      </c>
      <c r="S1327" s="32" t="n">
        <f aca="false">R1327*(1-TradeDiscount)</f>
        <v>9025.0817888</v>
      </c>
      <c r="T1327" s="32" t="n">
        <f aca="false">R1327*(1-VolumeDiscount)</f>
        <v>8204.619808</v>
      </c>
    </row>
    <row r="1328" customFormat="false" ht="15" hidden="false" customHeight="false" outlineLevel="0" collapsed="false">
      <c r="A1328" s="25" t="s">
        <v>2913</v>
      </c>
      <c r="B1328" s="25" t="s">
        <v>97</v>
      </c>
      <c r="C1328" s="25" t="s">
        <v>54</v>
      </c>
      <c r="D1328" s="25" t="s">
        <v>2914</v>
      </c>
      <c r="E1328" s="25" t="s">
        <v>2886</v>
      </c>
      <c r="F1328" s="25" t="s">
        <v>1775</v>
      </c>
      <c r="G1328" s="25" t="s">
        <v>37</v>
      </c>
      <c r="H1328" s="25" t="s">
        <v>70</v>
      </c>
      <c r="I1328" s="25" t="s">
        <v>190</v>
      </c>
      <c r="J1328" s="25" t="s">
        <v>191</v>
      </c>
      <c r="K1328" s="25" t="s">
        <v>192</v>
      </c>
      <c r="L1328" s="25" t="s">
        <v>30</v>
      </c>
      <c r="M1328" s="25" t="n">
        <v>2409</v>
      </c>
      <c r="N1328" s="25" t="n">
        <v>2009</v>
      </c>
      <c r="O1328" s="25"/>
      <c r="P1328" s="26" t="n">
        <f aca="false">(M1328*N1328/1000000)*INDEX(AreaRate_Vals,MATCH(C1328,AreaRate_Keys,0))+INDEX(Hardware_Vals,MATCH("Doors",Hardware_Keys,0))</f>
        <v>7325.5534</v>
      </c>
      <c r="Q1328" s="27" t="n">
        <f aca="false">INDEX(Markup_Vals,MATCH("Doors",MarkupCat_Keys,0))</f>
        <v>0.4</v>
      </c>
      <c r="R1328" s="28" t="n">
        <f aca="false">P1328*(1+Q1328)</f>
        <v>10255.77476</v>
      </c>
      <c r="S1328" s="28" t="n">
        <f aca="false">R1328*(1-TradeDiscount)</f>
        <v>9025.0817888</v>
      </c>
      <c r="T1328" s="28" t="n">
        <f aca="false">R1328*(1-VolumeDiscount)</f>
        <v>8204.619808</v>
      </c>
    </row>
    <row r="1329" customFormat="false" ht="15" hidden="false" customHeight="false" outlineLevel="0" collapsed="false">
      <c r="A1329" s="29" t="s">
        <v>2915</v>
      </c>
      <c r="B1329" s="29" t="s">
        <v>97</v>
      </c>
      <c r="C1329" s="29" t="s">
        <v>54</v>
      </c>
      <c r="D1329" s="29" t="s">
        <v>2916</v>
      </c>
      <c r="E1329" s="29" t="s">
        <v>2886</v>
      </c>
      <c r="F1329" s="29" t="s">
        <v>2917</v>
      </c>
      <c r="G1329" s="29" t="s">
        <v>35</v>
      </c>
      <c r="H1329" s="29" t="s">
        <v>70</v>
      </c>
      <c r="I1329" s="29" t="s">
        <v>190</v>
      </c>
      <c r="J1329" s="29" t="s">
        <v>191</v>
      </c>
      <c r="K1329" s="29" t="s">
        <v>192</v>
      </c>
      <c r="L1329" s="29" t="s">
        <v>30</v>
      </c>
      <c r="M1329" s="29" t="n">
        <v>3009</v>
      </c>
      <c r="N1329" s="29" t="n">
        <v>2009</v>
      </c>
      <c r="O1329" s="29"/>
      <c r="P1329" s="30" t="n">
        <f aca="false">(M1329*N1329/1000000)*INDEX(AreaRate_Vals,MATCH(C1329,AreaRate_Keys,0))+INDEX(Hardware_Vals,MATCH("Doors",Hardware_Keys,0))</f>
        <v>9013.1134</v>
      </c>
      <c r="Q1329" s="31" t="n">
        <f aca="false">INDEX(Markup_Vals,MATCH("Doors",MarkupCat_Keys,0))</f>
        <v>0.4</v>
      </c>
      <c r="R1329" s="32" t="n">
        <f aca="false">P1329*(1+Q1329)</f>
        <v>12618.35876</v>
      </c>
      <c r="S1329" s="32" t="n">
        <f aca="false">R1329*(1-TradeDiscount)</f>
        <v>11104.1557088</v>
      </c>
      <c r="T1329" s="32" t="n">
        <f aca="false">R1329*(1-VolumeDiscount)</f>
        <v>10094.687008</v>
      </c>
    </row>
    <row r="1330" customFormat="false" ht="15" hidden="false" customHeight="false" outlineLevel="0" collapsed="false">
      <c r="A1330" s="25" t="s">
        <v>2918</v>
      </c>
      <c r="B1330" s="25" t="s">
        <v>97</v>
      </c>
      <c r="C1330" s="25" t="s">
        <v>54</v>
      </c>
      <c r="D1330" s="25" t="s">
        <v>2919</v>
      </c>
      <c r="E1330" s="25" t="s">
        <v>2886</v>
      </c>
      <c r="F1330" s="25" t="s">
        <v>2917</v>
      </c>
      <c r="G1330" s="25" t="s">
        <v>36</v>
      </c>
      <c r="H1330" s="25" t="s">
        <v>70</v>
      </c>
      <c r="I1330" s="25" t="s">
        <v>190</v>
      </c>
      <c r="J1330" s="25" t="s">
        <v>191</v>
      </c>
      <c r="K1330" s="25" t="s">
        <v>192</v>
      </c>
      <c r="L1330" s="25" t="s">
        <v>30</v>
      </c>
      <c r="M1330" s="25" t="n">
        <v>3009</v>
      </c>
      <c r="N1330" s="25" t="n">
        <v>2009</v>
      </c>
      <c r="O1330" s="25"/>
      <c r="P1330" s="26" t="n">
        <f aca="false">(M1330*N1330/1000000)*INDEX(AreaRate_Vals,MATCH(C1330,AreaRate_Keys,0))+INDEX(Hardware_Vals,MATCH("Doors",Hardware_Keys,0))</f>
        <v>9013.1134</v>
      </c>
      <c r="Q1330" s="27" t="n">
        <f aca="false">INDEX(Markup_Vals,MATCH("Doors",MarkupCat_Keys,0))</f>
        <v>0.4</v>
      </c>
      <c r="R1330" s="28" t="n">
        <f aca="false">P1330*(1+Q1330)</f>
        <v>12618.35876</v>
      </c>
      <c r="S1330" s="28" t="n">
        <f aca="false">R1330*(1-TradeDiscount)</f>
        <v>11104.1557088</v>
      </c>
      <c r="T1330" s="28" t="n">
        <f aca="false">R1330*(1-VolumeDiscount)</f>
        <v>10094.687008</v>
      </c>
    </row>
    <row r="1331" customFormat="false" ht="15" hidden="false" customHeight="false" outlineLevel="0" collapsed="false">
      <c r="A1331" s="29" t="s">
        <v>2920</v>
      </c>
      <c r="B1331" s="29" t="s">
        <v>97</v>
      </c>
      <c r="C1331" s="29" t="s">
        <v>54</v>
      </c>
      <c r="D1331" s="29" t="s">
        <v>2921</v>
      </c>
      <c r="E1331" s="29" t="s">
        <v>2886</v>
      </c>
      <c r="F1331" s="29" t="s">
        <v>2917</v>
      </c>
      <c r="G1331" s="29" t="s">
        <v>37</v>
      </c>
      <c r="H1331" s="29" t="s">
        <v>70</v>
      </c>
      <c r="I1331" s="29" t="s">
        <v>190</v>
      </c>
      <c r="J1331" s="29" t="s">
        <v>191</v>
      </c>
      <c r="K1331" s="29" t="s">
        <v>192</v>
      </c>
      <c r="L1331" s="29" t="s">
        <v>30</v>
      </c>
      <c r="M1331" s="29" t="n">
        <v>3009</v>
      </c>
      <c r="N1331" s="29" t="n">
        <v>2009</v>
      </c>
      <c r="O1331" s="29"/>
      <c r="P1331" s="30" t="n">
        <f aca="false">(M1331*N1331/1000000)*INDEX(AreaRate_Vals,MATCH(C1331,AreaRate_Keys,0))+INDEX(Hardware_Vals,MATCH("Doors",Hardware_Keys,0))</f>
        <v>9013.1134</v>
      </c>
      <c r="Q1331" s="31" t="n">
        <f aca="false">INDEX(Markup_Vals,MATCH("Doors",MarkupCat_Keys,0))</f>
        <v>0.4</v>
      </c>
      <c r="R1331" s="32" t="n">
        <f aca="false">P1331*(1+Q1331)</f>
        <v>12618.35876</v>
      </c>
      <c r="S1331" s="32" t="n">
        <f aca="false">R1331*(1-TradeDiscount)</f>
        <v>11104.1557088</v>
      </c>
      <c r="T1331" s="32" t="n">
        <f aca="false">R1331*(1-VolumeDiscount)</f>
        <v>10094.687008</v>
      </c>
    </row>
    <row r="1332" customFormat="false" ht="15" hidden="false" customHeight="false" outlineLevel="0" collapsed="false">
      <c r="A1332" s="25" t="s">
        <v>2922</v>
      </c>
      <c r="B1332" s="25" t="s">
        <v>97</v>
      </c>
      <c r="C1332" s="25" t="s">
        <v>54</v>
      </c>
      <c r="D1332" s="25" t="s">
        <v>2923</v>
      </c>
      <c r="E1332" s="25" t="s">
        <v>2924</v>
      </c>
      <c r="F1332" s="25" t="s">
        <v>2609</v>
      </c>
      <c r="G1332" s="25" t="s">
        <v>35</v>
      </c>
      <c r="H1332" s="25" t="s">
        <v>70</v>
      </c>
      <c r="I1332" s="25" t="s">
        <v>190</v>
      </c>
      <c r="J1332" s="25" t="s">
        <v>191</v>
      </c>
      <c r="K1332" s="25" t="s">
        <v>192</v>
      </c>
      <c r="L1332" s="25" t="s">
        <v>30</v>
      </c>
      <c r="M1332" s="25" t="n">
        <v>809</v>
      </c>
      <c r="N1332" s="25" t="n">
        <v>2009</v>
      </c>
      <c r="O1332" s="25"/>
      <c r="P1332" s="26" t="n">
        <f aca="false">(M1332*N1332/1000000)*INDEX(AreaRate_Vals,MATCH(C1332,AreaRate_Keys,0))+INDEX(Hardware_Vals,MATCH("Doors",Hardware_Keys,0))</f>
        <v>2825.3934</v>
      </c>
      <c r="Q1332" s="27" t="n">
        <f aca="false">INDEX(Markup_Vals,MATCH("Doors",MarkupCat_Keys,0))</f>
        <v>0.4</v>
      </c>
      <c r="R1332" s="28" t="n">
        <f aca="false">P1332*(1+Q1332)</f>
        <v>3955.55076</v>
      </c>
      <c r="S1332" s="28" t="n">
        <f aca="false">R1332*(1-TradeDiscount)</f>
        <v>3480.8846688</v>
      </c>
      <c r="T1332" s="28" t="n">
        <f aca="false">R1332*(1-VolumeDiscount)</f>
        <v>3164.440608</v>
      </c>
    </row>
    <row r="1333" customFormat="false" ht="15" hidden="false" customHeight="false" outlineLevel="0" collapsed="false">
      <c r="A1333" s="29" t="s">
        <v>2925</v>
      </c>
      <c r="B1333" s="29" t="s">
        <v>97</v>
      </c>
      <c r="C1333" s="29" t="s">
        <v>54</v>
      </c>
      <c r="D1333" s="29" t="s">
        <v>2926</v>
      </c>
      <c r="E1333" s="29" t="s">
        <v>2924</v>
      </c>
      <c r="F1333" s="29" t="s">
        <v>2609</v>
      </c>
      <c r="G1333" s="29" t="s">
        <v>36</v>
      </c>
      <c r="H1333" s="29" t="s">
        <v>70</v>
      </c>
      <c r="I1333" s="29" t="s">
        <v>190</v>
      </c>
      <c r="J1333" s="29" t="s">
        <v>191</v>
      </c>
      <c r="K1333" s="29" t="s">
        <v>192</v>
      </c>
      <c r="L1333" s="29" t="s">
        <v>30</v>
      </c>
      <c r="M1333" s="29" t="n">
        <v>809</v>
      </c>
      <c r="N1333" s="29" t="n">
        <v>2009</v>
      </c>
      <c r="O1333" s="29"/>
      <c r="P1333" s="30" t="n">
        <f aca="false">(M1333*N1333/1000000)*INDEX(AreaRate_Vals,MATCH(C1333,AreaRate_Keys,0))+INDEX(Hardware_Vals,MATCH("Doors",Hardware_Keys,0))</f>
        <v>2825.3934</v>
      </c>
      <c r="Q1333" s="31" t="n">
        <f aca="false">INDEX(Markup_Vals,MATCH("Doors",MarkupCat_Keys,0))</f>
        <v>0.4</v>
      </c>
      <c r="R1333" s="32" t="n">
        <f aca="false">P1333*(1+Q1333)</f>
        <v>3955.55076</v>
      </c>
      <c r="S1333" s="32" t="n">
        <f aca="false">R1333*(1-TradeDiscount)</f>
        <v>3480.8846688</v>
      </c>
      <c r="T1333" s="32" t="n">
        <f aca="false">R1333*(1-VolumeDiscount)</f>
        <v>3164.440608</v>
      </c>
    </row>
    <row r="1334" customFormat="false" ht="15" hidden="false" customHeight="false" outlineLevel="0" collapsed="false">
      <c r="A1334" s="25" t="s">
        <v>2927</v>
      </c>
      <c r="B1334" s="25" t="s">
        <v>97</v>
      </c>
      <c r="C1334" s="25" t="s">
        <v>54</v>
      </c>
      <c r="D1334" s="25" t="s">
        <v>2928</v>
      </c>
      <c r="E1334" s="25" t="s">
        <v>2924</v>
      </c>
      <c r="F1334" s="25" t="s">
        <v>2609</v>
      </c>
      <c r="G1334" s="25" t="s">
        <v>37</v>
      </c>
      <c r="H1334" s="25" t="s">
        <v>70</v>
      </c>
      <c r="I1334" s="25" t="s">
        <v>190</v>
      </c>
      <c r="J1334" s="25" t="s">
        <v>191</v>
      </c>
      <c r="K1334" s="25" t="s">
        <v>192</v>
      </c>
      <c r="L1334" s="25" t="s">
        <v>30</v>
      </c>
      <c r="M1334" s="25" t="n">
        <v>809</v>
      </c>
      <c r="N1334" s="25" t="n">
        <v>2009</v>
      </c>
      <c r="O1334" s="25"/>
      <c r="P1334" s="26" t="n">
        <f aca="false">(M1334*N1334/1000000)*INDEX(AreaRate_Vals,MATCH(C1334,AreaRate_Keys,0))+INDEX(Hardware_Vals,MATCH("Doors",Hardware_Keys,0))</f>
        <v>2825.3934</v>
      </c>
      <c r="Q1334" s="27" t="n">
        <f aca="false">INDEX(Markup_Vals,MATCH("Doors",MarkupCat_Keys,0))</f>
        <v>0.4</v>
      </c>
      <c r="R1334" s="28" t="n">
        <f aca="false">P1334*(1+Q1334)</f>
        <v>3955.55076</v>
      </c>
      <c r="S1334" s="28" t="n">
        <f aca="false">R1334*(1-TradeDiscount)</f>
        <v>3480.8846688</v>
      </c>
      <c r="T1334" s="28" t="n">
        <f aca="false">R1334*(1-VolumeDiscount)</f>
        <v>3164.440608</v>
      </c>
    </row>
    <row r="1335" customFormat="false" ht="15" hidden="false" customHeight="false" outlineLevel="0" collapsed="false">
      <c r="A1335" s="29" t="s">
        <v>2929</v>
      </c>
      <c r="B1335" s="29" t="s">
        <v>97</v>
      </c>
      <c r="C1335" s="29" t="s">
        <v>54</v>
      </c>
      <c r="D1335" s="29" t="s">
        <v>2930</v>
      </c>
      <c r="E1335" s="29" t="s">
        <v>2924</v>
      </c>
      <c r="F1335" s="29" t="s">
        <v>2620</v>
      </c>
      <c r="G1335" s="29" t="s">
        <v>35</v>
      </c>
      <c r="H1335" s="29" t="s">
        <v>70</v>
      </c>
      <c r="I1335" s="29" t="s">
        <v>190</v>
      </c>
      <c r="J1335" s="29" t="s">
        <v>191</v>
      </c>
      <c r="K1335" s="29" t="s">
        <v>192</v>
      </c>
      <c r="L1335" s="29" t="s">
        <v>30</v>
      </c>
      <c r="M1335" s="29" t="n">
        <v>909</v>
      </c>
      <c r="N1335" s="29" t="n">
        <v>2009</v>
      </c>
      <c r="O1335" s="29"/>
      <c r="P1335" s="30" t="n">
        <f aca="false">(M1335*N1335/1000000)*INDEX(AreaRate_Vals,MATCH(C1335,AreaRate_Keys,0))+INDEX(Hardware_Vals,MATCH("Doors",Hardware_Keys,0))</f>
        <v>3106.6534</v>
      </c>
      <c r="Q1335" s="31" t="n">
        <f aca="false">INDEX(Markup_Vals,MATCH("Doors",MarkupCat_Keys,0))</f>
        <v>0.4</v>
      </c>
      <c r="R1335" s="32" t="n">
        <f aca="false">P1335*(1+Q1335)</f>
        <v>4349.31476</v>
      </c>
      <c r="S1335" s="32" t="n">
        <f aca="false">R1335*(1-TradeDiscount)</f>
        <v>3827.3969888</v>
      </c>
      <c r="T1335" s="32" t="n">
        <f aca="false">R1335*(1-VolumeDiscount)</f>
        <v>3479.451808</v>
      </c>
    </row>
    <row r="1336" customFormat="false" ht="15" hidden="false" customHeight="false" outlineLevel="0" collapsed="false">
      <c r="A1336" s="25" t="s">
        <v>2931</v>
      </c>
      <c r="B1336" s="25" t="s">
        <v>97</v>
      </c>
      <c r="C1336" s="25" t="s">
        <v>54</v>
      </c>
      <c r="D1336" s="25" t="s">
        <v>2932</v>
      </c>
      <c r="E1336" s="25" t="s">
        <v>2924</v>
      </c>
      <c r="F1336" s="25" t="s">
        <v>2620</v>
      </c>
      <c r="G1336" s="25" t="s">
        <v>36</v>
      </c>
      <c r="H1336" s="25" t="s">
        <v>70</v>
      </c>
      <c r="I1336" s="25" t="s">
        <v>190</v>
      </c>
      <c r="J1336" s="25" t="s">
        <v>191</v>
      </c>
      <c r="K1336" s="25" t="s">
        <v>192</v>
      </c>
      <c r="L1336" s="25" t="s">
        <v>30</v>
      </c>
      <c r="M1336" s="25" t="n">
        <v>909</v>
      </c>
      <c r="N1336" s="25" t="n">
        <v>2009</v>
      </c>
      <c r="O1336" s="25"/>
      <c r="P1336" s="26" t="n">
        <f aca="false">(M1336*N1336/1000000)*INDEX(AreaRate_Vals,MATCH(C1336,AreaRate_Keys,0))+INDEX(Hardware_Vals,MATCH("Doors",Hardware_Keys,0))</f>
        <v>3106.6534</v>
      </c>
      <c r="Q1336" s="27" t="n">
        <f aca="false">INDEX(Markup_Vals,MATCH("Doors",MarkupCat_Keys,0))</f>
        <v>0.4</v>
      </c>
      <c r="R1336" s="28" t="n">
        <f aca="false">P1336*(1+Q1336)</f>
        <v>4349.31476</v>
      </c>
      <c r="S1336" s="28" t="n">
        <f aca="false">R1336*(1-TradeDiscount)</f>
        <v>3827.3969888</v>
      </c>
      <c r="T1336" s="28" t="n">
        <f aca="false">R1336*(1-VolumeDiscount)</f>
        <v>3479.451808</v>
      </c>
    </row>
    <row r="1337" customFormat="false" ht="15" hidden="false" customHeight="false" outlineLevel="0" collapsed="false">
      <c r="A1337" s="29" t="s">
        <v>2933</v>
      </c>
      <c r="B1337" s="29" t="s">
        <v>97</v>
      </c>
      <c r="C1337" s="29" t="s">
        <v>54</v>
      </c>
      <c r="D1337" s="29" t="s">
        <v>2934</v>
      </c>
      <c r="E1337" s="29" t="s">
        <v>2924</v>
      </c>
      <c r="F1337" s="29" t="s">
        <v>2620</v>
      </c>
      <c r="G1337" s="29" t="s">
        <v>37</v>
      </c>
      <c r="H1337" s="29" t="s">
        <v>70</v>
      </c>
      <c r="I1337" s="29" t="s">
        <v>190</v>
      </c>
      <c r="J1337" s="29" t="s">
        <v>191</v>
      </c>
      <c r="K1337" s="29" t="s">
        <v>192</v>
      </c>
      <c r="L1337" s="29" t="s">
        <v>30</v>
      </c>
      <c r="M1337" s="29" t="n">
        <v>909</v>
      </c>
      <c r="N1337" s="29" t="n">
        <v>2009</v>
      </c>
      <c r="O1337" s="29"/>
      <c r="P1337" s="30" t="n">
        <f aca="false">(M1337*N1337/1000000)*INDEX(AreaRate_Vals,MATCH(C1337,AreaRate_Keys,0))+INDEX(Hardware_Vals,MATCH("Doors",Hardware_Keys,0))</f>
        <v>3106.6534</v>
      </c>
      <c r="Q1337" s="31" t="n">
        <f aca="false">INDEX(Markup_Vals,MATCH("Doors",MarkupCat_Keys,0))</f>
        <v>0.4</v>
      </c>
      <c r="R1337" s="32" t="n">
        <f aca="false">P1337*(1+Q1337)</f>
        <v>4349.31476</v>
      </c>
      <c r="S1337" s="32" t="n">
        <f aca="false">R1337*(1-TradeDiscount)</f>
        <v>3827.3969888</v>
      </c>
      <c r="T1337" s="32" t="n">
        <f aca="false">R1337*(1-VolumeDiscount)</f>
        <v>3479.451808</v>
      </c>
    </row>
    <row r="1338" customFormat="false" ht="15" hidden="false" customHeight="false" outlineLevel="0" collapsed="false">
      <c r="A1338" s="25" t="s">
        <v>2935</v>
      </c>
      <c r="B1338" s="25" t="s">
        <v>97</v>
      </c>
      <c r="C1338" s="25" t="s">
        <v>54</v>
      </c>
      <c r="D1338" s="25" t="s">
        <v>2936</v>
      </c>
      <c r="E1338" s="25" t="s">
        <v>2924</v>
      </c>
      <c r="F1338" s="25" t="s">
        <v>2777</v>
      </c>
      <c r="G1338" s="25" t="s">
        <v>35</v>
      </c>
      <c r="H1338" s="25" t="s">
        <v>70</v>
      </c>
      <c r="I1338" s="25" t="s">
        <v>190</v>
      </c>
      <c r="J1338" s="25" t="s">
        <v>191</v>
      </c>
      <c r="K1338" s="25" t="s">
        <v>192</v>
      </c>
      <c r="L1338" s="25" t="s">
        <v>30</v>
      </c>
      <c r="M1338" s="25" t="n">
        <v>1209</v>
      </c>
      <c r="N1338" s="25" t="n">
        <v>2009</v>
      </c>
      <c r="O1338" s="25"/>
      <c r="P1338" s="26" t="n">
        <f aca="false">(M1338*N1338/1000000)*INDEX(AreaRate_Vals,MATCH(C1338,AreaRate_Keys,0))+INDEX(Hardware_Vals,MATCH("Doors",Hardware_Keys,0))</f>
        <v>3950.4334</v>
      </c>
      <c r="Q1338" s="27" t="n">
        <f aca="false">INDEX(Markup_Vals,MATCH("Doors",MarkupCat_Keys,0))</f>
        <v>0.4</v>
      </c>
      <c r="R1338" s="28" t="n">
        <f aca="false">P1338*(1+Q1338)</f>
        <v>5530.60676</v>
      </c>
      <c r="S1338" s="28" t="n">
        <f aca="false">R1338*(1-TradeDiscount)</f>
        <v>4866.9339488</v>
      </c>
      <c r="T1338" s="28" t="n">
        <f aca="false">R1338*(1-VolumeDiscount)</f>
        <v>4424.485408</v>
      </c>
    </row>
    <row r="1339" customFormat="false" ht="15" hidden="false" customHeight="false" outlineLevel="0" collapsed="false">
      <c r="A1339" s="29" t="s">
        <v>2937</v>
      </c>
      <c r="B1339" s="29" t="s">
        <v>97</v>
      </c>
      <c r="C1339" s="29" t="s">
        <v>54</v>
      </c>
      <c r="D1339" s="29" t="s">
        <v>2938</v>
      </c>
      <c r="E1339" s="29" t="s">
        <v>2924</v>
      </c>
      <c r="F1339" s="29" t="s">
        <v>2777</v>
      </c>
      <c r="G1339" s="29" t="s">
        <v>36</v>
      </c>
      <c r="H1339" s="29" t="s">
        <v>70</v>
      </c>
      <c r="I1339" s="29" t="s">
        <v>190</v>
      </c>
      <c r="J1339" s="29" t="s">
        <v>191</v>
      </c>
      <c r="K1339" s="29" t="s">
        <v>192</v>
      </c>
      <c r="L1339" s="29" t="s">
        <v>30</v>
      </c>
      <c r="M1339" s="29" t="n">
        <v>1209</v>
      </c>
      <c r="N1339" s="29" t="n">
        <v>2009</v>
      </c>
      <c r="O1339" s="29"/>
      <c r="P1339" s="30" t="n">
        <f aca="false">(M1339*N1339/1000000)*INDEX(AreaRate_Vals,MATCH(C1339,AreaRate_Keys,0))+INDEX(Hardware_Vals,MATCH("Doors",Hardware_Keys,0))</f>
        <v>3950.4334</v>
      </c>
      <c r="Q1339" s="31" t="n">
        <f aca="false">INDEX(Markup_Vals,MATCH("Doors",MarkupCat_Keys,0))</f>
        <v>0.4</v>
      </c>
      <c r="R1339" s="32" t="n">
        <f aca="false">P1339*(1+Q1339)</f>
        <v>5530.60676</v>
      </c>
      <c r="S1339" s="32" t="n">
        <f aca="false">R1339*(1-TradeDiscount)</f>
        <v>4866.9339488</v>
      </c>
      <c r="T1339" s="32" t="n">
        <f aca="false">R1339*(1-VolumeDiscount)</f>
        <v>4424.485408</v>
      </c>
    </row>
    <row r="1340" customFormat="false" ht="15" hidden="false" customHeight="false" outlineLevel="0" collapsed="false">
      <c r="A1340" s="25" t="s">
        <v>2939</v>
      </c>
      <c r="B1340" s="25" t="s">
        <v>97</v>
      </c>
      <c r="C1340" s="25" t="s">
        <v>54</v>
      </c>
      <c r="D1340" s="25" t="s">
        <v>2940</v>
      </c>
      <c r="E1340" s="25" t="s">
        <v>2924</v>
      </c>
      <c r="F1340" s="25" t="s">
        <v>2777</v>
      </c>
      <c r="G1340" s="25" t="s">
        <v>37</v>
      </c>
      <c r="H1340" s="25" t="s">
        <v>70</v>
      </c>
      <c r="I1340" s="25" t="s">
        <v>190</v>
      </c>
      <c r="J1340" s="25" t="s">
        <v>191</v>
      </c>
      <c r="K1340" s="25" t="s">
        <v>192</v>
      </c>
      <c r="L1340" s="25" t="s">
        <v>30</v>
      </c>
      <c r="M1340" s="25" t="n">
        <v>1209</v>
      </c>
      <c r="N1340" s="25" t="n">
        <v>2009</v>
      </c>
      <c r="O1340" s="25"/>
      <c r="P1340" s="26" t="n">
        <f aca="false">(M1340*N1340/1000000)*INDEX(AreaRate_Vals,MATCH(C1340,AreaRate_Keys,0))+INDEX(Hardware_Vals,MATCH("Doors",Hardware_Keys,0))</f>
        <v>3950.4334</v>
      </c>
      <c r="Q1340" s="27" t="n">
        <f aca="false">INDEX(Markup_Vals,MATCH("Doors",MarkupCat_Keys,0))</f>
        <v>0.4</v>
      </c>
      <c r="R1340" s="28" t="n">
        <f aca="false">P1340*(1+Q1340)</f>
        <v>5530.60676</v>
      </c>
      <c r="S1340" s="28" t="n">
        <f aca="false">R1340*(1-TradeDiscount)</f>
        <v>4866.9339488</v>
      </c>
      <c r="T1340" s="28" t="n">
        <f aca="false">R1340*(1-VolumeDiscount)</f>
        <v>4424.485408</v>
      </c>
    </row>
    <row r="1341" customFormat="false" ht="15" hidden="false" customHeight="false" outlineLevel="0" collapsed="false">
      <c r="A1341" s="29" t="s">
        <v>2941</v>
      </c>
      <c r="B1341" s="29" t="s">
        <v>97</v>
      </c>
      <c r="C1341" s="29" t="s">
        <v>54</v>
      </c>
      <c r="D1341" s="29" t="s">
        <v>2942</v>
      </c>
      <c r="E1341" s="29" t="s">
        <v>2924</v>
      </c>
      <c r="F1341" s="29" t="s">
        <v>1632</v>
      </c>
      <c r="G1341" s="29" t="s">
        <v>35</v>
      </c>
      <c r="H1341" s="29" t="s">
        <v>70</v>
      </c>
      <c r="I1341" s="29" t="s">
        <v>190</v>
      </c>
      <c r="J1341" s="29" t="s">
        <v>191</v>
      </c>
      <c r="K1341" s="29" t="s">
        <v>192</v>
      </c>
      <c r="L1341" s="29" t="s">
        <v>30</v>
      </c>
      <c r="M1341" s="29" t="n">
        <v>1809</v>
      </c>
      <c r="N1341" s="29" t="n">
        <v>2009</v>
      </c>
      <c r="O1341" s="29"/>
      <c r="P1341" s="30" t="n">
        <f aca="false">(M1341*N1341/1000000)*INDEX(AreaRate_Vals,MATCH(C1341,AreaRate_Keys,0))+INDEX(Hardware_Vals,MATCH("Doors",Hardware_Keys,0))</f>
        <v>5637.9934</v>
      </c>
      <c r="Q1341" s="31" t="n">
        <f aca="false">INDEX(Markup_Vals,MATCH("Doors",MarkupCat_Keys,0))</f>
        <v>0.4</v>
      </c>
      <c r="R1341" s="32" t="n">
        <f aca="false">P1341*(1+Q1341)</f>
        <v>7893.19076</v>
      </c>
      <c r="S1341" s="32" t="n">
        <f aca="false">R1341*(1-TradeDiscount)</f>
        <v>6946.0078688</v>
      </c>
      <c r="T1341" s="32" t="n">
        <f aca="false">R1341*(1-VolumeDiscount)</f>
        <v>6314.552608</v>
      </c>
    </row>
    <row r="1342" customFormat="false" ht="15" hidden="false" customHeight="false" outlineLevel="0" collapsed="false">
      <c r="A1342" s="25" t="s">
        <v>2943</v>
      </c>
      <c r="B1342" s="25" t="s">
        <v>97</v>
      </c>
      <c r="C1342" s="25" t="s">
        <v>54</v>
      </c>
      <c r="D1342" s="25" t="s">
        <v>2944</v>
      </c>
      <c r="E1342" s="25" t="s">
        <v>2924</v>
      </c>
      <c r="F1342" s="25" t="s">
        <v>1632</v>
      </c>
      <c r="G1342" s="25" t="s">
        <v>36</v>
      </c>
      <c r="H1342" s="25" t="s">
        <v>70</v>
      </c>
      <c r="I1342" s="25" t="s">
        <v>190</v>
      </c>
      <c r="J1342" s="25" t="s">
        <v>191</v>
      </c>
      <c r="K1342" s="25" t="s">
        <v>192</v>
      </c>
      <c r="L1342" s="25" t="s">
        <v>30</v>
      </c>
      <c r="M1342" s="25" t="n">
        <v>1809</v>
      </c>
      <c r="N1342" s="25" t="n">
        <v>2009</v>
      </c>
      <c r="O1342" s="25"/>
      <c r="P1342" s="26" t="n">
        <f aca="false">(M1342*N1342/1000000)*INDEX(AreaRate_Vals,MATCH(C1342,AreaRate_Keys,0))+INDEX(Hardware_Vals,MATCH("Doors",Hardware_Keys,0))</f>
        <v>5637.9934</v>
      </c>
      <c r="Q1342" s="27" t="n">
        <f aca="false">INDEX(Markup_Vals,MATCH("Doors",MarkupCat_Keys,0))</f>
        <v>0.4</v>
      </c>
      <c r="R1342" s="28" t="n">
        <f aca="false">P1342*(1+Q1342)</f>
        <v>7893.19076</v>
      </c>
      <c r="S1342" s="28" t="n">
        <f aca="false">R1342*(1-TradeDiscount)</f>
        <v>6946.0078688</v>
      </c>
      <c r="T1342" s="28" t="n">
        <f aca="false">R1342*(1-VolumeDiscount)</f>
        <v>6314.552608</v>
      </c>
    </row>
    <row r="1343" customFormat="false" ht="15" hidden="false" customHeight="false" outlineLevel="0" collapsed="false">
      <c r="A1343" s="29" t="s">
        <v>2945</v>
      </c>
      <c r="B1343" s="29" t="s">
        <v>97</v>
      </c>
      <c r="C1343" s="29" t="s">
        <v>54</v>
      </c>
      <c r="D1343" s="29" t="s">
        <v>2946</v>
      </c>
      <c r="E1343" s="29" t="s">
        <v>2924</v>
      </c>
      <c r="F1343" s="29" t="s">
        <v>1632</v>
      </c>
      <c r="G1343" s="29" t="s">
        <v>37</v>
      </c>
      <c r="H1343" s="29" t="s">
        <v>70</v>
      </c>
      <c r="I1343" s="29" t="s">
        <v>190</v>
      </c>
      <c r="J1343" s="29" t="s">
        <v>191</v>
      </c>
      <c r="K1343" s="29" t="s">
        <v>192</v>
      </c>
      <c r="L1343" s="29" t="s">
        <v>30</v>
      </c>
      <c r="M1343" s="29" t="n">
        <v>1809</v>
      </c>
      <c r="N1343" s="29" t="n">
        <v>2009</v>
      </c>
      <c r="O1343" s="29"/>
      <c r="P1343" s="30" t="n">
        <f aca="false">(M1343*N1343/1000000)*INDEX(AreaRate_Vals,MATCH(C1343,AreaRate_Keys,0))+INDEX(Hardware_Vals,MATCH("Doors",Hardware_Keys,0))</f>
        <v>5637.9934</v>
      </c>
      <c r="Q1343" s="31" t="n">
        <f aca="false">INDEX(Markup_Vals,MATCH("Doors",MarkupCat_Keys,0))</f>
        <v>0.4</v>
      </c>
      <c r="R1343" s="32" t="n">
        <f aca="false">P1343*(1+Q1343)</f>
        <v>7893.19076</v>
      </c>
      <c r="S1343" s="32" t="n">
        <f aca="false">R1343*(1-TradeDiscount)</f>
        <v>6946.0078688</v>
      </c>
      <c r="T1343" s="32" t="n">
        <f aca="false">R1343*(1-VolumeDiscount)</f>
        <v>6314.552608</v>
      </c>
    </row>
    <row r="1344" customFormat="false" ht="15" hidden="false" customHeight="false" outlineLevel="0" collapsed="false">
      <c r="A1344" s="25" t="s">
        <v>2947</v>
      </c>
      <c r="B1344" s="25" t="s">
        <v>97</v>
      </c>
      <c r="C1344" s="25" t="s">
        <v>54</v>
      </c>
      <c r="D1344" s="25" t="s">
        <v>2948</v>
      </c>
      <c r="E1344" s="25" t="s">
        <v>2924</v>
      </c>
      <c r="F1344" s="25" t="s">
        <v>1775</v>
      </c>
      <c r="G1344" s="25" t="s">
        <v>35</v>
      </c>
      <c r="H1344" s="25" t="s">
        <v>70</v>
      </c>
      <c r="I1344" s="25" t="s">
        <v>190</v>
      </c>
      <c r="J1344" s="25" t="s">
        <v>191</v>
      </c>
      <c r="K1344" s="25" t="s">
        <v>192</v>
      </c>
      <c r="L1344" s="25" t="s">
        <v>30</v>
      </c>
      <c r="M1344" s="25" t="n">
        <v>2409</v>
      </c>
      <c r="N1344" s="25" t="n">
        <v>2009</v>
      </c>
      <c r="O1344" s="25"/>
      <c r="P1344" s="26" t="n">
        <f aca="false">(M1344*N1344/1000000)*INDEX(AreaRate_Vals,MATCH(C1344,AreaRate_Keys,0))+INDEX(Hardware_Vals,MATCH("Doors",Hardware_Keys,0))</f>
        <v>7325.5534</v>
      </c>
      <c r="Q1344" s="27" t="n">
        <f aca="false">INDEX(Markup_Vals,MATCH("Doors",MarkupCat_Keys,0))</f>
        <v>0.4</v>
      </c>
      <c r="R1344" s="28" t="n">
        <f aca="false">P1344*(1+Q1344)</f>
        <v>10255.77476</v>
      </c>
      <c r="S1344" s="28" t="n">
        <f aca="false">R1344*(1-TradeDiscount)</f>
        <v>9025.0817888</v>
      </c>
      <c r="T1344" s="28" t="n">
        <f aca="false">R1344*(1-VolumeDiscount)</f>
        <v>8204.619808</v>
      </c>
    </row>
    <row r="1345" customFormat="false" ht="15" hidden="false" customHeight="false" outlineLevel="0" collapsed="false">
      <c r="A1345" s="29" t="s">
        <v>2949</v>
      </c>
      <c r="B1345" s="29" t="s">
        <v>97</v>
      </c>
      <c r="C1345" s="29" t="s">
        <v>54</v>
      </c>
      <c r="D1345" s="29" t="s">
        <v>2950</v>
      </c>
      <c r="E1345" s="29" t="s">
        <v>2924</v>
      </c>
      <c r="F1345" s="29" t="s">
        <v>1775</v>
      </c>
      <c r="G1345" s="29" t="s">
        <v>36</v>
      </c>
      <c r="H1345" s="29" t="s">
        <v>70</v>
      </c>
      <c r="I1345" s="29" t="s">
        <v>190</v>
      </c>
      <c r="J1345" s="29" t="s">
        <v>191</v>
      </c>
      <c r="K1345" s="29" t="s">
        <v>192</v>
      </c>
      <c r="L1345" s="29" t="s">
        <v>30</v>
      </c>
      <c r="M1345" s="29" t="n">
        <v>2409</v>
      </c>
      <c r="N1345" s="29" t="n">
        <v>2009</v>
      </c>
      <c r="O1345" s="29"/>
      <c r="P1345" s="30" t="n">
        <f aca="false">(M1345*N1345/1000000)*INDEX(AreaRate_Vals,MATCH(C1345,AreaRate_Keys,0))+INDEX(Hardware_Vals,MATCH("Doors",Hardware_Keys,0))</f>
        <v>7325.5534</v>
      </c>
      <c r="Q1345" s="31" t="n">
        <f aca="false">INDEX(Markup_Vals,MATCH("Doors",MarkupCat_Keys,0))</f>
        <v>0.4</v>
      </c>
      <c r="R1345" s="32" t="n">
        <f aca="false">P1345*(1+Q1345)</f>
        <v>10255.77476</v>
      </c>
      <c r="S1345" s="32" t="n">
        <f aca="false">R1345*(1-TradeDiscount)</f>
        <v>9025.0817888</v>
      </c>
      <c r="T1345" s="32" t="n">
        <f aca="false">R1345*(1-VolumeDiscount)</f>
        <v>8204.619808</v>
      </c>
    </row>
    <row r="1346" customFormat="false" ht="15" hidden="false" customHeight="false" outlineLevel="0" collapsed="false">
      <c r="A1346" s="25" t="s">
        <v>2951</v>
      </c>
      <c r="B1346" s="25" t="s">
        <v>97</v>
      </c>
      <c r="C1346" s="25" t="s">
        <v>54</v>
      </c>
      <c r="D1346" s="25" t="s">
        <v>2952</v>
      </c>
      <c r="E1346" s="25" t="s">
        <v>2924</v>
      </c>
      <c r="F1346" s="25" t="s">
        <v>1775</v>
      </c>
      <c r="G1346" s="25" t="s">
        <v>37</v>
      </c>
      <c r="H1346" s="25" t="s">
        <v>70</v>
      </c>
      <c r="I1346" s="25" t="s">
        <v>190</v>
      </c>
      <c r="J1346" s="25" t="s">
        <v>191</v>
      </c>
      <c r="K1346" s="25" t="s">
        <v>192</v>
      </c>
      <c r="L1346" s="25" t="s">
        <v>30</v>
      </c>
      <c r="M1346" s="25" t="n">
        <v>2409</v>
      </c>
      <c r="N1346" s="25" t="n">
        <v>2009</v>
      </c>
      <c r="O1346" s="25"/>
      <c r="P1346" s="26" t="n">
        <f aca="false">(M1346*N1346/1000000)*INDEX(AreaRate_Vals,MATCH(C1346,AreaRate_Keys,0))+INDEX(Hardware_Vals,MATCH("Doors",Hardware_Keys,0))</f>
        <v>7325.5534</v>
      </c>
      <c r="Q1346" s="27" t="n">
        <f aca="false">INDEX(Markup_Vals,MATCH("Doors",MarkupCat_Keys,0))</f>
        <v>0.4</v>
      </c>
      <c r="R1346" s="28" t="n">
        <f aca="false">P1346*(1+Q1346)</f>
        <v>10255.77476</v>
      </c>
      <c r="S1346" s="28" t="n">
        <f aca="false">R1346*(1-TradeDiscount)</f>
        <v>9025.0817888</v>
      </c>
      <c r="T1346" s="28" t="n">
        <f aca="false">R1346*(1-VolumeDiscount)</f>
        <v>8204.619808</v>
      </c>
    </row>
    <row r="1347" customFormat="false" ht="15" hidden="false" customHeight="false" outlineLevel="0" collapsed="false">
      <c r="A1347" s="29" t="s">
        <v>2953</v>
      </c>
      <c r="B1347" s="29" t="s">
        <v>97</v>
      </c>
      <c r="C1347" s="29" t="s">
        <v>54</v>
      </c>
      <c r="D1347" s="29" t="s">
        <v>2954</v>
      </c>
      <c r="E1347" s="29" t="s">
        <v>2924</v>
      </c>
      <c r="F1347" s="29" t="s">
        <v>2917</v>
      </c>
      <c r="G1347" s="29" t="s">
        <v>35</v>
      </c>
      <c r="H1347" s="29" t="s">
        <v>70</v>
      </c>
      <c r="I1347" s="29" t="s">
        <v>190</v>
      </c>
      <c r="J1347" s="29" t="s">
        <v>191</v>
      </c>
      <c r="K1347" s="29" t="s">
        <v>192</v>
      </c>
      <c r="L1347" s="29" t="s">
        <v>30</v>
      </c>
      <c r="M1347" s="29" t="n">
        <v>3009</v>
      </c>
      <c r="N1347" s="29" t="n">
        <v>2009</v>
      </c>
      <c r="O1347" s="29"/>
      <c r="P1347" s="30" t="n">
        <f aca="false">(M1347*N1347/1000000)*INDEX(AreaRate_Vals,MATCH(C1347,AreaRate_Keys,0))+INDEX(Hardware_Vals,MATCH("Doors",Hardware_Keys,0))</f>
        <v>9013.1134</v>
      </c>
      <c r="Q1347" s="31" t="n">
        <f aca="false">INDEX(Markup_Vals,MATCH("Doors",MarkupCat_Keys,0))</f>
        <v>0.4</v>
      </c>
      <c r="R1347" s="32" t="n">
        <f aca="false">P1347*(1+Q1347)</f>
        <v>12618.35876</v>
      </c>
      <c r="S1347" s="32" t="n">
        <f aca="false">R1347*(1-TradeDiscount)</f>
        <v>11104.1557088</v>
      </c>
      <c r="T1347" s="32" t="n">
        <f aca="false">R1347*(1-VolumeDiscount)</f>
        <v>10094.687008</v>
      </c>
    </row>
    <row r="1348" customFormat="false" ht="15" hidden="false" customHeight="false" outlineLevel="0" collapsed="false">
      <c r="A1348" s="25" t="s">
        <v>2955</v>
      </c>
      <c r="B1348" s="25" t="s">
        <v>97</v>
      </c>
      <c r="C1348" s="25" t="s">
        <v>54</v>
      </c>
      <c r="D1348" s="25" t="s">
        <v>2956</v>
      </c>
      <c r="E1348" s="25" t="s">
        <v>2924</v>
      </c>
      <c r="F1348" s="25" t="s">
        <v>2917</v>
      </c>
      <c r="G1348" s="25" t="s">
        <v>36</v>
      </c>
      <c r="H1348" s="25" t="s">
        <v>70</v>
      </c>
      <c r="I1348" s="25" t="s">
        <v>190</v>
      </c>
      <c r="J1348" s="25" t="s">
        <v>191</v>
      </c>
      <c r="K1348" s="25" t="s">
        <v>192</v>
      </c>
      <c r="L1348" s="25" t="s">
        <v>30</v>
      </c>
      <c r="M1348" s="25" t="n">
        <v>3009</v>
      </c>
      <c r="N1348" s="25" t="n">
        <v>2009</v>
      </c>
      <c r="O1348" s="25"/>
      <c r="P1348" s="26" t="n">
        <f aca="false">(M1348*N1348/1000000)*INDEX(AreaRate_Vals,MATCH(C1348,AreaRate_Keys,0))+INDEX(Hardware_Vals,MATCH("Doors",Hardware_Keys,0))</f>
        <v>9013.1134</v>
      </c>
      <c r="Q1348" s="27" t="n">
        <f aca="false">INDEX(Markup_Vals,MATCH("Doors",MarkupCat_Keys,0))</f>
        <v>0.4</v>
      </c>
      <c r="R1348" s="28" t="n">
        <f aca="false">P1348*(1+Q1348)</f>
        <v>12618.35876</v>
      </c>
      <c r="S1348" s="28" t="n">
        <f aca="false">R1348*(1-TradeDiscount)</f>
        <v>11104.1557088</v>
      </c>
      <c r="T1348" s="28" t="n">
        <f aca="false">R1348*(1-VolumeDiscount)</f>
        <v>10094.687008</v>
      </c>
    </row>
    <row r="1349" customFormat="false" ht="15" hidden="false" customHeight="false" outlineLevel="0" collapsed="false">
      <c r="A1349" s="29" t="s">
        <v>2957</v>
      </c>
      <c r="B1349" s="29" t="s">
        <v>97</v>
      </c>
      <c r="C1349" s="29" t="s">
        <v>54</v>
      </c>
      <c r="D1349" s="29" t="s">
        <v>2958</v>
      </c>
      <c r="E1349" s="29" t="s">
        <v>2924</v>
      </c>
      <c r="F1349" s="29" t="s">
        <v>2917</v>
      </c>
      <c r="G1349" s="29" t="s">
        <v>37</v>
      </c>
      <c r="H1349" s="29" t="s">
        <v>70</v>
      </c>
      <c r="I1349" s="29" t="s">
        <v>190</v>
      </c>
      <c r="J1349" s="29" t="s">
        <v>191</v>
      </c>
      <c r="K1349" s="29" t="s">
        <v>192</v>
      </c>
      <c r="L1349" s="29" t="s">
        <v>30</v>
      </c>
      <c r="M1349" s="29" t="n">
        <v>3009</v>
      </c>
      <c r="N1349" s="29" t="n">
        <v>2009</v>
      </c>
      <c r="O1349" s="29"/>
      <c r="P1349" s="30" t="n">
        <f aca="false">(M1349*N1349/1000000)*INDEX(AreaRate_Vals,MATCH(C1349,AreaRate_Keys,0))+INDEX(Hardware_Vals,MATCH("Doors",Hardware_Keys,0))</f>
        <v>9013.1134</v>
      </c>
      <c r="Q1349" s="31" t="n">
        <f aca="false">INDEX(Markup_Vals,MATCH("Doors",MarkupCat_Keys,0))</f>
        <v>0.4</v>
      </c>
      <c r="R1349" s="32" t="n">
        <f aca="false">P1349*(1+Q1349)</f>
        <v>12618.35876</v>
      </c>
      <c r="S1349" s="32" t="n">
        <f aca="false">R1349*(1-TradeDiscount)</f>
        <v>11104.1557088</v>
      </c>
      <c r="T1349" s="32" t="n">
        <f aca="false">R1349*(1-VolumeDiscount)</f>
        <v>10094.687008</v>
      </c>
    </row>
    <row r="1350" customFormat="false" ht="15" hidden="false" customHeight="false" outlineLevel="0" collapsed="false">
      <c r="A1350" s="25" t="s">
        <v>2959</v>
      </c>
      <c r="B1350" s="25" t="s">
        <v>97</v>
      </c>
      <c r="C1350" s="25" t="s">
        <v>54</v>
      </c>
      <c r="D1350" s="25" t="s">
        <v>2960</v>
      </c>
      <c r="E1350" s="25" t="s">
        <v>2961</v>
      </c>
      <c r="F1350" s="25" t="s">
        <v>2609</v>
      </c>
      <c r="G1350" s="25" t="s">
        <v>35</v>
      </c>
      <c r="H1350" s="25" t="s">
        <v>70</v>
      </c>
      <c r="I1350" s="25" t="s">
        <v>190</v>
      </c>
      <c r="J1350" s="25" t="s">
        <v>191</v>
      </c>
      <c r="K1350" s="25" t="s">
        <v>192</v>
      </c>
      <c r="L1350" s="25" t="s">
        <v>30</v>
      </c>
      <c r="M1350" s="25" t="n">
        <v>809</v>
      </c>
      <c r="N1350" s="25" t="n">
        <v>2009</v>
      </c>
      <c r="O1350" s="25"/>
      <c r="P1350" s="26" t="n">
        <f aca="false">(M1350*N1350/1000000)*INDEX(AreaRate_Vals,MATCH(C1350,AreaRate_Keys,0))+INDEX(Hardware_Vals,MATCH("Doors",Hardware_Keys,0))</f>
        <v>2825.3934</v>
      </c>
      <c r="Q1350" s="27" t="n">
        <f aca="false">INDEX(Markup_Vals,MATCH("Doors",MarkupCat_Keys,0))</f>
        <v>0.4</v>
      </c>
      <c r="R1350" s="28" t="n">
        <f aca="false">P1350*(1+Q1350)</f>
        <v>3955.55076</v>
      </c>
      <c r="S1350" s="28" t="n">
        <f aca="false">R1350*(1-TradeDiscount)</f>
        <v>3480.8846688</v>
      </c>
      <c r="T1350" s="28" t="n">
        <f aca="false">R1350*(1-VolumeDiscount)</f>
        <v>3164.440608</v>
      </c>
    </row>
    <row r="1351" customFormat="false" ht="15" hidden="false" customHeight="false" outlineLevel="0" collapsed="false">
      <c r="A1351" s="29" t="s">
        <v>2962</v>
      </c>
      <c r="B1351" s="29" t="s">
        <v>97</v>
      </c>
      <c r="C1351" s="29" t="s">
        <v>54</v>
      </c>
      <c r="D1351" s="29" t="s">
        <v>2963</v>
      </c>
      <c r="E1351" s="29" t="s">
        <v>2961</v>
      </c>
      <c r="F1351" s="29" t="s">
        <v>2609</v>
      </c>
      <c r="G1351" s="29" t="s">
        <v>36</v>
      </c>
      <c r="H1351" s="29" t="s">
        <v>70</v>
      </c>
      <c r="I1351" s="29" t="s">
        <v>190</v>
      </c>
      <c r="J1351" s="29" t="s">
        <v>191</v>
      </c>
      <c r="K1351" s="29" t="s">
        <v>192</v>
      </c>
      <c r="L1351" s="29" t="s">
        <v>30</v>
      </c>
      <c r="M1351" s="29" t="n">
        <v>809</v>
      </c>
      <c r="N1351" s="29" t="n">
        <v>2009</v>
      </c>
      <c r="O1351" s="29"/>
      <c r="P1351" s="30" t="n">
        <f aca="false">(M1351*N1351/1000000)*INDEX(AreaRate_Vals,MATCH(C1351,AreaRate_Keys,0))+INDEX(Hardware_Vals,MATCH("Doors",Hardware_Keys,0))</f>
        <v>2825.3934</v>
      </c>
      <c r="Q1351" s="31" t="n">
        <f aca="false">INDEX(Markup_Vals,MATCH("Doors",MarkupCat_Keys,0))</f>
        <v>0.4</v>
      </c>
      <c r="R1351" s="32" t="n">
        <f aca="false">P1351*(1+Q1351)</f>
        <v>3955.55076</v>
      </c>
      <c r="S1351" s="32" t="n">
        <f aca="false">R1351*(1-TradeDiscount)</f>
        <v>3480.8846688</v>
      </c>
      <c r="T1351" s="32" t="n">
        <f aca="false">R1351*(1-VolumeDiscount)</f>
        <v>3164.440608</v>
      </c>
    </row>
    <row r="1352" customFormat="false" ht="15" hidden="false" customHeight="false" outlineLevel="0" collapsed="false">
      <c r="A1352" s="25" t="s">
        <v>2964</v>
      </c>
      <c r="B1352" s="25" t="s">
        <v>97</v>
      </c>
      <c r="C1352" s="25" t="s">
        <v>54</v>
      </c>
      <c r="D1352" s="25" t="s">
        <v>2965</v>
      </c>
      <c r="E1352" s="25" t="s">
        <v>2961</v>
      </c>
      <c r="F1352" s="25" t="s">
        <v>2609</v>
      </c>
      <c r="G1352" s="25" t="s">
        <v>37</v>
      </c>
      <c r="H1352" s="25" t="s">
        <v>70</v>
      </c>
      <c r="I1352" s="25" t="s">
        <v>190</v>
      </c>
      <c r="J1352" s="25" t="s">
        <v>191</v>
      </c>
      <c r="K1352" s="25" t="s">
        <v>192</v>
      </c>
      <c r="L1352" s="25" t="s">
        <v>30</v>
      </c>
      <c r="M1352" s="25" t="n">
        <v>809</v>
      </c>
      <c r="N1352" s="25" t="n">
        <v>2009</v>
      </c>
      <c r="O1352" s="25"/>
      <c r="P1352" s="26" t="n">
        <f aca="false">(M1352*N1352/1000000)*INDEX(AreaRate_Vals,MATCH(C1352,AreaRate_Keys,0))+INDEX(Hardware_Vals,MATCH("Doors",Hardware_Keys,0))</f>
        <v>2825.3934</v>
      </c>
      <c r="Q1352" s="27" t="n">
        <f aca="false">INDEX(Markup_Vals,MATCH("Doors",MarkupCat_Keys,0))</f>
        <v>0.4</v>
      </c>
      <c r="R1352" s="28" t="n">
        <f aca="false">P1352*(1+Q1352)</f>
        <v>3955.55076</v>
      </c>
      <c r="S1352" s="28" t="n">
        <f aca="false">R1352*(1-TradeDiscount)</f>
        <v>3480.8846688</v>
      </c>
      <c r="T1352" s="28" t="n">
        <f aca="false">R1352*(1-VolumeDiscount)</f>
        <v>3164.440608</v>
      </c>
    </row>
    <row r="1353" customFormat="false" ht="15" hidden="false" customHeight="false" outlineLevel="0" collapsed="false">
      <c r="A1353" s="29" t="s">
        <v>2966</v>
      </c>
      <c r="B1353" s="29" t="s">
        <v>97</v>
      </c>
      <c r="C1353" s="29" t="s">
        <v>54</v>
      </c>
      <c r="D1353" s="29" t="s">
        <v>2967</v>
      </c>
      <c r="E1353" s="29" t="s">
        <v>2961</v>
      </c>
      <c r="F1353" s="29" t="s">
        <v>2620</v>
      </c>
      <c r="G1353" s="29" t="s">
        <v>35</v>
      </c>
      <c r="H1353" s="29" t="s">
        <v>70</v>
      </c>
      <c r="I1353" s="29" t="s">
        <v>190</v>
      </c>
      <c r="J1353" s="29" t="s">
        <v>191</v>
      </c>
      <c r="K1353" s="29" t="s">
        <v>192</v>
      </c>
      <c r="L1353" s="29" t="s">
        <v>30</v>
      </c>
      <c r="M1353" s="29" t="n">
        <v>909</v>
      </c>
      <c r="N1353" s="29" t="n">
        <v>2009</v>
      </c>
      <c r="O1353" s="29"/>
      <c r="P1353" s="30" t="n">
        <f aca="false">(M1353*N1353/1000000)*INDEX(AreaRate_Vals,MATCH(C1353,AreaRate_Keys,0))+INDEX(Hardware_Vals,MATCH("Doors",Hardware_Keys,0))</f>
        <v>3106.6534</v>
      </c>
      <c r="Q1353" s="31" t="n">
        <f aca="false">INDEX(Markup_Vals,MATCH("Doors",MarkupCat_Keys,0))</f>
        <v>0.4</v>
      </c>
      <c r="R1353" s="32" t="n">
        <f aca="false">P1353*(1+Q1353)</f>
        <v>4349.31476</v>
      </c>
      <c r="S1353" s="32" t="n">
        <f aca="false">R1353*(1-TradeDiscount)</f>
        <v>3827.3969888</v>
      </c>
      <c r="T1353" s="32" t="n">
        <f aca="false">R1353*(1-VolumeDiscount)</f>
        <v>3479.451808</v>
      </c>
    </row>
    <row r="1354" customFormat="false" ht="15" hidden="false" customHeight="false" outlineLevel="0" collapsed="false">
      <c r="A1354" s="25" t="s">
        <v>2968</v>
      </c>
      <c r="B1354" s="25" t="s">
        <v>97</v>
      </c>
      <c r="C1354" s="25" t="s">
        <v>54</v>
      </c>
      <c r="D1354" s="25" t="s">
        <v>2969</v>
      </c>
      <c r="E1354" s="25" t="s">
        <v>2961</v>
      </c>
      <c r="F1354" s="25" t="s">
        <v>2620</v>
      </c>
      <c r="G1354" s="25" t="s">
        <v>36</v>
      </c>
      <c r="H1354" s="25" t="s">
        <v>70</v>
      </c>
      <c r="I1354" s="25" t="s">
        <v>190</v>
      </c>
      <c r="J1354" s="25" t="s">
        <v>191</v>
      </c>
      <c r="K1354" s="25" t="s">
        <v>192</v>
      </c>
      <c r="L1354" s="25" t="s">
        <v>30</v>
      </c>
      <c r="M1354" s="25" t="n">
        <v>909</v>
      </c>
      <c r="N1354" s="25" t="n">
        <v>2009</v>
      </c>
      <c r="O1354" s="25"/>
      <c r="P1354" s="26" t="n">
        <f aca="false">(M1354*N1354/1000000)*INDEX(AreaRate_Vals,MATCH(C1354,AreaRate_Keys,0))+INDEX(Hardware_Vals,MATCH("Doors",Hardware_Keys,0))</f>
        <v>3106.6534</v>
      </c>
      <c r="Q1354" s="27" t="n">
        <f aca="false">INDEX(Markup_Vals,MATCH("Doors",MarkupCat_Keys,0))</f>
        <v>0.4</v>
      </c>
      <c r="R1354" s="28" t="n">
        <f aca="false">P1354*(1+Q1354)</f>
        <v>4349.31476</v>
      </c>
      <c r="S1354" s="28" t="n">
        <f aca="false">R1354*(1-TradeDiscount)</f>
        <v>3827.3969888</v>
      </c>
      <c r="T1354" s="28" t="n">
        <f aca="false">R1354*(1-VolumeDiscount)</f>
        <v>3479.451808</v>
      </c>
    </row>
    <row r="1355" customFormat="false" ht="15" hidden="false" customHeight="false" outlineLevel="0" collapsed="false">
      <c r="A1355" s="29" t="s">
        <v>2970</v>
      </c>
      <c r="B1355" s="29" t="s">
        <v>97</v>
      </c>
      <c r="C1355" s="29" t="s">
        <v>54</v>
      </c>
      <c r="D1355" s="29" t="s">
        <v>2971</v>
      </c>
      <c r="E1355" s="29" t="s">
        <v>2961</v>
      </c>
      <c r="F1355" s="29" t="s">
        <v>2620</v>
      </c>
      <c r="G1355" s="29" t="s">
        <v>37</v>
      </c>
      <c r="H1355" s="29" t="s">
        <v>70</v>
      </c>
      <c r="I1355" s="29" t="s">
        <v>190</v>
      </c>
      <c r="J1355" s="29" t="s">
        <v>191</v>
      </c>
      <c r="K1355" s="29" t="s">
        <v>192</v>
      </c>
      <c r="L1355" s="29" t="s">
        <v>30</v>
      </c>
      <c r="M1355" s="29" t="n">
        <v>909</v>
      </c>
      <c r="N1355" s="29" t="n">
        <v>2009</v>
      </c>
      <c r="O1355" s="29"/>
      <c r="P1355" s="30" t="n">
        <f aca="false">(M1355*N1355/1000000)*INDEX(AreaRate_Vals,MATCH(C1355,AreaRate_Keys,0))+INDEX(Hardware_Vals,MATCH("Doors",Hardware_Keys,0))</f>
        <v>3106.6534</v>
      </c>
      <c r="Q1355" s="31" t="n">
        <f aca="false">INDEX(Markup_Vals,MATCH("Doors",MarkupCat_Keys,0))</f>
        <v>0.4</v>
      </c>
      <c r="R1355" s="32" t="n">
        <f aca="false">P1355*(1+Q1355)</f>
        <v>4349.31476</v>
      </c>
      <c r="S1355" s="32" t="n">
        <f aca="false">R1355*(1-TradeDiscount)</f>
        <v>3827.3969888</v>
      </c>
      <c r="T1355" s="32" t="n">
        <f aca="false">R1355*(1-VolumeDiscount)</f>
        <v>3479.451808</v>
      </c>
    </row>
    <row r="1356" customFormat="false" ht="15" hidden="false" customHeight="false" outlineLevel="0" collapsed="false">
      <c r="A1356" s="25" t="s">
        <v>2972</v>
      </c>
      <c r="B1356" s="25" t="s">
        <v>97</v>
      </c>
      <c r="C1356" s="25" t="s">
        <v>54</v>
      </c>
      <c r="D1356" s="25" t="s">
        <v>2973</v>
      </c>
      <c r="E1356" s="25" t="s">
        <v>2961</v>
      </c>
      <c r="F1356" s="25" t="s">
        <v>2777</v>
      </c>
      <c r="G1356" s="25" t="s">
        <v>35</v>
      </c>
      <c r="H1356" s="25" t="s">
        <v>70</v>
      </c>
      <c r="I1356" s="25" t="s">
        <v>190</v>
      </c>
      <c r="J1356" s="25" t="s">
        <v>191</v>
      </c>
      <c r="K1356" s="25" t="s">
        <v>192</v>
      </c>
      <c r="L1356" s="25" t="s">
        <v>30</v>
      </c>
      <c r="M1356" s="25" t="n">
        <v>1209</v>
      </c>
      <c r="N1356" s="25" t="n">
        <v>2009</v>
      </c>
      <c r="O1356" s="25"/>
      <c r="P1356" s="26" t="n">
        <f aca="false">(M1356*N1356/1000000)*INDEX(AreaRate_Vals,MATCH(C1356,AreaRate_Keys,0))+INDEX(Hardware_Vals,MATCH("Doors",Hardware_Keys,0))</f>
        <v>3950.4334</v>
      </c>
      <c r="Q1356" s="27" t="n">
        <f aca="false">INDEX(Markup_Vals,MATCH("Doors",MarkupCat_Keys,0))</f>
        <v>0.4</v>
      </c>
      <c r="R1356" s="28" t="n">
        <f aca="false">P1356*(1+Q1356)</f>
        <v>5530.60676</v>
      </c>
      <c r="S1356" s="28" t="n">
        <f aca="false">R1356*(1-TradeDiscount)</f>
        <v>4866.9339488</v>
      </c>
      <c r="T1356" s="28" t="n">
        <f aca="false">R1356*(1-VolumeDiscount)</f>
        <v>4424.485408</v>
      </c>
    </row>
    <row r="1357" customFormat="false" ht="15" hidden="false" customHeight="false" outlineLevel="0" collapsed="false">
      <c r="A1357" s="29" t="s">
        <v>2974</v>
      </c>
      <c r="B1357" s="29" t="s">
        <v>97</v>
      </c>
      <c r="C1357" s="29" t="s">
        <v>54</v>
      </c>
      <c r="D1357" s="29" t="s">
        <v>2975</v>
      </c>
      <c r="E1357" s="29" t="s">
        <v>2961</v>
      </c>
      <c r="F1357" s="29" t="s">
        <v>2777</v>
      </c>
      <c r="G1357" s="29" t="s">
        <v>36</v>
      </c>
      <c r="H1357" s="29" t="s">
        <v>70</v>
      </c>
      <c r="I1357" s="29" t="s">
        <v>190</v>
      </c>
      <c r="J1357" s="29" t="s">
        <v>191</v>
      </c>
      <c r="K1357" s="29" t="s">
        <v>192</v>
      </c>
      <c r="L1357" s="29" t="s">
        <v>30</v>
      </c>
      <c r="M1357" s="29" t="n">
        <v>1209</v>
      </c>
      <c r="N1357" s="29" t="n">
        <v>2009</v>
      </c>
      <c r="O1357" s="29"/>
      <c r="P1357" s="30" t="n">
        <f aca="false">(M1357*N1357/1000000)*INDEX(AreaRate_Vals,MATCH(C1357,AreaRate_Keys,0))+INDEX(Hardware_Vals,MATCH("Doors",Hardware_Keys,0))</f>
        <v>3950.4334</v>
      </c>
      <c r="Q1357" s="31" t="n">
        <f aca="false">INDEX(Markup_Vals,MATCH("Doors",MarkupCat_Keys,0))</f>
        <v>0.4</v>
      </c>
      <c r="R1357" s="32" t="n">
        <f aca="false">P1357*(1+Q1357)</f>
        <v>5530.60676</v>
      </c>
      <c r="S1357" s="32" t="n">
        <f aca="false">R1357*(1-TradeDiscount)</f>
        <v>4866.9339488</v>
      </c>
      <c r="T1357" s="32" t="n">
        <f aca="false">R1357*(1-VolumeDiscount)</f>
        <v>4424.485408</v>
      </c>
    </row>
    <row r="1358" customFormat="false" ht="15" hidden="false" customHeight="false" outlineLevel="0" collapsed="false">
      <c r="A1358" s="25" t="s">
        <v>2976</v>
      </c>
      <c r="B1358" s="25" t="s">
        <v>97</v>
      </c>
      <c r="C1358" s="25" t="s">
        <v>54</v>
      </c>
      <c r="D1358" s="25" t="s">
        <v>2977</v>
      </c>
      <c r="E1358" s="25" t="s">
        <v>2961</v>
      </c>
      <c r="F1358" s="25" t="s">
        <v>2777</v>
      </c>
      <c r="G1358" s="25" t="s">
        <v>37</v>
      </c>
      <c r="H1358" s="25" t="s">
        <v>70</v>
      </c>
      <c r="I1358" s="25" t="s">
        <v>190</v>
      </c>
      <c r="J1358" s="25" t="s">
        <v>191</v>
      </c>
      <c r="K1358" s="25" t="s">
        <v>192</v>
      </c>
      <c r="L1358" s="25" t="s">
        <v>30</v>
      </c>
      <c r="M1358" s="25" t="n">
        <v>1209</v>
      </c>
      <c r="N1358" s="25" t="n">
        <v>2009</v>
      </c>
      <c r="O1358" s="25"/>
      <c r="P1358" s="26" t="n">
        <f aca="false">(M1358*N1358/1000000)*INDEX(AreaRate_Vals,MATCH(C1358,AreaRate_Keys,0))+INDEX(Hardware_Vals,MATCH("Doors",Hardware_Keys,0))</f>
        <v>3950.4334</v>
      </c>
      <c r="Q1358" s="27" t="n">
        <f aca="false">INDEX(Markup_Vals,MATCH("Doors",MarkupCat_Keys,0))</f>
        <v>0.4</v>
      </c>
      <c r="R1358" s="28" t="n">
        <f aca="false">P1358*(1+Q1358)</f>
        <v>5530.60676</v>
      </c>
      <c r="S1358" s="28" t="n">
        <f aca="false">R1358*(1-TradeDiscount)</f>
        <v>4866.9339488</v>
      </c>
      <c r="T1358" s="28" t="n">
        <f aca="false">R1358*(1-VolumeDiscount)</f>
        <v>4424.485408</v>
      </c>
    </row>
    <row r="1359" customFormat="false" ht="15" hidden="false" customHeight="false" outlineLevel="0" collapsed="false">
      <c r="A1359" s="29" t="s">
        <v>2978</v>
      </c>
      <c r="B1359" s="29" t="s">
        <v>97</v>
      </c>
      <c r="C1359" s="29" t="s">
        <v>54</v>
      </c>
      <c r="D1359" s="29" t="s">
        <v>2979</v>
      </c>
      <c r="E1359" s="29" t="s">
        <v>2961</v>
      </c>
      <c r="F1359" s="29" t="s">
        <v>1632</v>
      </c>
      <c r="G1359" s="29" t="s">
        <v>35</v>
      </c>
      <c r="H1359" s="29" t="s">
        <v>70</v>
      </c>
      <c r="I1359" s="29" t="s">
        <v>190</v>
      </c>
      <c r="J1359" s="29" t="s">
        <v>191</v>
      </c>
      <c r="K1359" s="29" t="s">
        <v>192</v>
      </c>
      <c r="L1359" s="29" t="s">
        <v>30</v>
      </c>
      <c r="M1359" s="29" t="n">
        <v>1809</v>
      </c>
      <c r="N1359" s="29" t="n">
        <v>2009</v>
      </c>
      <c r="O1359" s="29"/>
      <c r="P1359" s="30" t="n">
        <f aca="false">(M1359*N1359/1000000)*INDEX(AreaRate_Vals,MATCH(C1359,AreaRate_Keys,0))+INDEX(Hardware_Vals,MATCH("Doors",Hardware_Keys,0))</f>
        <v>5637.9934</v>
      </c>
      <c r="Q1359" s="31" t="n">
        <f aca="false">INDEX(Markup_Vals,MATCH("Doors",MarkupCat_Keys,0))</f>
        <v>0.4</v>
      </c>
      <c r="R1359" s="32" t="n">
        <f aca="false">P1359*(1+Q1359)</f>
        <v>7893.19076</v>
      </c>
      <c r="S1359" s="32" t="n">
        <f aca="false">R1359*(1-TradeDiscount)</f>
        <v>6946.0078688</v>
      </c>
      <c r="T1359" s="32" t="n">
        <f aca="false">R1359*(1-VolumeDiscount)</f>
        <v>6314.552608</v>
      </c>
    </row>
    <row r="1360" customFormat="false" ht="15" hidden="false" customHeight="false" outlineLevel="0" collapsed="false">
      <c r="A1360" s="25" t="s">
        <v>2980</v>
      </c>
      <c r="B1360" s="25" t="s">
        <v>97</v>
      </c>
      <c r="C1360" s="25" t="s">
        <v>54</v>
      </c>
      <c r="D1360" s="25" t="s">
        <v>2981</v>
      </c>
      <c r="E1360" s="25" t="s">
        <v>2961</v>
      </c>
      <c r="F1360" s="25" t="s">
        <v>1632</v>
      </c>
      <c r="G1360" s="25" t="s">
        <v>36</v>
      </c>
      <c r="H1360" s="25" t="s">
        <v>70</v>
      </c>
      <c r="I1360" s="25" t="s">
        <v>190</v>
      </c>
      <c r="J1360" s="25" t="s">
        <v>191</v>
      </c>
      <c r="K1360" s="25" t="s">
        <v>192</v>
      </c>
      <c r="L1360" s="25" t="s">
        <v>30</v>
      </c>
      <c r="M1360" s="25" t="n">
        <v>1809</v>
      </c>
      <c r="N1360" s="25" t="n">
        <v>2009</v>
      </c>
      <c r="O1360" s="25"/>
      <c r="P1360" s="26" t="n">
        <f aca="false">(M1360*N1360/1000000)*INDEX(AreaRate_Vals,MATCH(C1360,AreaRate_Keys,0))+INDEX(Hardware_Vals,MATCH("Doors",Hardware_Keys,0))</f>
        <v>5637.9934</v>
      </c>
      <c r="Q1360" s="27" t="n">
        <f aca="false">INDEX(Markup_Vals,MATCH("Doors",MarkupCat_Keys,0))</f>
        <v>0.4</v>
      </c>
      <c r="R1360" s="28" t="n">
        <f aca="false">P1360*(1+Q1360)</f>
        <v>7893.19076</v>
      </c>
      <c r="S1360" s="28" t="n">
        <f aca="false">R1360*(1-TradeDiscount)</f>
        <v>6946.0078688</v>
      </c>
      <c r="T1360" s="28" t="n">
        <f aca="false">R1360*(1-VolumeDiscount)</f>
        <v>6314.552608</v>
      </c>
    </row>
    <row r="1361" customFormat="false" ht="15" hidden="false" customHeight="false" outlineLevel="0" collapsed="false">
      <c r="A1361" s="29" t="s">
        <v>2982</v>
      </c>
      <c r="B1361" s="29" t="s">
        <v>97</v>
      </c>
      <c r="C1361" s="29" t="s">
        <v>54</v>
      </c>
      <c r="D1361" s="29" t="s">
        <v>2983</v>
      </c>
      <c r="E1361" s="29" t="s">
        <v>2961</v>
      </c>
      <c r="F1361" s="29" t="s">
        <v>1632</v>
      </c>
      <c r="G1361" s="29" t="s">
        <v>37</v>
      </c>
      <c r="H1361" s="29" t="s">
        <v>70</v>
      </c>
      <c r="I1361" s="29" t="s">
        <v>190</v>
      </c>
      <c r="J1361" s="29" t="s">
        <v>191</v>
      </c>
      <c r="K1361" s="29" t="s">
        <v>192</v>
      </c>
      <c r="L1361" s="29" t="s">
        <v>30</v>
      </c>
      <c r="M1361" s="29" t="n">
        <v>1809</v>
      </c>
      <c r="N1361" s="29" t="n">
        <v>2009</v>
      </c>
      <c r="O1361" s="29"/>
      <c r="P1361" s="30" t="n">
        <f aca="false">(M1361*N1361/1000000)*INDEX(AreaRate_Vals,MATCH(C1361,AreaRate_Keys,0))+INDEX(Hardware_Vals,MATCH("Doors",Hardware_Keys,0))</f>
        <v>5637.9934</v>
      </c>
      <c r="Q1361" s="31" t="n">
        <f aca="false">INDEX(Markup_Vals,MATCH("Doors",MarkupCat_Keys,0))</f>
        <v>0.4</v>
      </c>
      <c r="R1361" s="32" t="n">
        <f aca="false">P1361*(1+Q1361)</f>
        <v>7893.19076</v>
      </c>
      <c r="S1361" s="32" t="n">
        <f aca="false">R1361*(1-TradeDiscount)</f>
        <v>6946.0078688</v>
      </c>
      <c r="T1361" s="32" t="n">
        <f aca="false">R1361*(1-VolumeDiscount)</f>
        <v>6314.552608</v>
      </c>
    </row>
    <row r="1362" customFormat="false" ht="15" hidden="false" customHeight="false" outlineLevel="0" collapsed="false">
      <c r="A1362" s="25" t="s">
        <v>2984</v>
      </c>
      <c r="B1362" s="25" t="s">
        <v>97</v>
      </c>
      <c r="C1362" s="25" t="s">
        <v>54</v>
      </c>
      <c r="D1362" s="25" t="s">
        <v>2985</v>
      </c>
      <c r="E1362" s="25" t="s">
        <v>2961</v>
      </c>
      <c r="F1362" s="25" t="s">
        <v>1775</v>
      </c>
      <c r="G1362" s="25" t="s">
        <v>35</v>
      </c>
      <c r="H1362" s="25" t="s">
        <v>70</v>
      </c>
      <c r="I1362" s="25" t="s">
        <v>190</v>
      </c>
      <c r="J1362" s="25" t="s">
        <v>191</v>
      </c>
      <c r="K1362" s="25" t="s">
        <v>192</v>
      </c>
      <c r="L1362" s="25" t="s">
        <v>30</v>
      </c>
      <c r="M1362" s="25" t="n">
        <v>2409</v>
      </c>
      <c r="N1362" s="25" t="n">
        <v>2009</v>
      </c>
      <c r="O1362" s="25"/>
      <c r="P1362" s="26" t="n">
        <f aca="false">(M1362*N1362/1000000)*INDEX(AreaRate_Vals,MATCH(C1362,AreaRate_Keys,0))+INDEX(Hardware_Vals,MATCH("Doors",Hardware_Keys,0))</f>
        <v>7325.5534</v>
      </c>
      <c r="Q1362" s="27" t="n">
        <f aca="false">INDEX(Markup_Vals,MATCH("Doors",MarkupCat_Keys,0))</f>
        <v>0.4</v>
      </c>
      <c r="R1362" s="28" t="n">
        <f aca="false">P1362*(1+Q1362)</f>
        <v>10255.77476</v>
      </c>
      <c r="S1362" s="28" t="n">
        <f aca="false">R1362*(1-TradeDiscount)</f>
        <v>9025.0817888</v>
      </c>
      <c r="T1362" s="28" t="n">
        <f aca="false">R1362*(1-VolumeDiscount)</f>
        <v>8204.619808</v>
      </c>
    </row>
    <row r="1363" customFormat="false" ht="15" hidden="false" customHeight="false" outlineLevel="0" collapsed="false">
      <c r="A1363" s="29" t="s">
        <v>2986</v>
      </c>
      <c r="B1363" s="29" t="s">
        <v>97</v>
      </c>
      <c r="C1363" s="29" t="s">
        <v>54</v>
      </c>
      <c r="D1363" s="29" t="s">
        <v>2987</v>
      </c>
      <c r="E1363" s="29" t="s">
        <v>2961</v>
      </c>
      <c r="F1363" s="29" t="s">
        <v>1775</v>
      </c>
      <c r="G1363" s="29" t="s">
        <v>36</v>
      </c>
      <c r="H1363" s="29" t="s">
        <v>70</v>
      </c>
      <c r="I1363" s="29" t="s">
        <v>190</v>
      </c>
      <c r="J1363" s="29" t="s">
        <v>191</v>
      </c>
      <c r="K1363" s="29" t="s">
        <v>192</v>
      </c>
      <c r="L1363" s="29" t="s">
        <v>30</v>
      </c>
      <c r="M1363" s="29" t="n">
        <v>2409</v>
      </c>
      <c r="N1363" s="29" t="n">
        <v>2009</v>
      </c>
      <c r="O1363" s="29"/>
      <c r="P1363" s="30" t="n">
        <f aca="false">(M1363*N1363/1000000)*INDEX(AreaRate_Vals,MATCH(C1363,AreaRate_Keys,0))+INDEX(Hardware_Vals,MATCH("Doors",Hardware_Keys,0))</f>
        <v>7325.5534</v>
      </c>
      <c r="Q1363" s="31" t="n">
        <f aca="false">INDEX(Markup_Vals,MATCH("Doors",MarkupCat_Keys,0))</f>
        <v>0.4</v>
      </c>
      <c r="R1363" s="32" t="n">
        <f aca="false">P1363*(1+Q1363)</f>
        <v>10255.77476</v>
      </c>
      <c r="S1363" s="32" t="n">
        <f aca="false">R1363*(1-TradeDiscount)</f>
        <v>9025.0817888</v>
      </c>
      <c r="T1363" s="32" t="n">
        <f aca="false">R1363*(1-VolumeDiscount)</f>
        <v>8204.619808</v>
      </c>
    </row>
    <row r="1364" customFormat="false" ht="15" hidden="false" customHeight="false" outlineLevel="0" collapsed="false">
      <c r="A1364" s="25" t="s">
        <v>2988</v>
      </c>
      <c r="B1364" s="25" t="s">
        <v>97</v>
      </c>
      <c r="C1364" s="25" t="s">
        <v>54</v>
      </c>
      <c r="D1364" s="25" t="s">
        <v>2989</v>
      </c>
      <c r="E1364" s="25" t="s">
        <v>2961</v>
      </c>
      <c r="F1364" s="25" t="s">
        <v>1775</v>
      </c>
      <c r="G1364" s="25" t="s">
        <v>37</v>
      </c>
      <c r="H1364" s="25" t="s">
        <v>70</v>
      </c>
      <c r="I1364" s="25" t="s">
        <v>190</v>
      </c>
      <c r="J1364" s="25" t="s">
        <v>191</v>
      </c>
      <c r="K1364" s="25" t="s">
        <v>192</v>
      </c>
      <c r="L1364" s="25" t="s">
        <v>30</v>
      </c>
      <c r="M1364" s="25" t="n">
        <v>2409</v>
      </c>
      <c r="N1364" s="25" t="n">
        <v>2009</v>
      </c>
      <c r="O1364" s="25"/>
      <c r="P1364" s="26" t="n">
        <f aca="false">(M1364*N1364/1000000)*INDEX(AreaRate_Vals,MATCH(C1364,AreaRate_Keys,0))+INDEX(Hardware_Vals,MATCH("Doors",Hardware_Keys,0))</f>
        <v>7325.5534</v>
      </c>
      <c r="Q1364" s="27" t="n">
        <f aca="false">INDEX(Markup_Vals,MATCH("Doors",MarkupCat_Keys,0))</f>
        <v>0.4</v>
      </c>
      <c r="R1364" s="28" t="n">
        <f aca="false">P1364*(1+Q1364)</f>
        <v>10255.77476</v>
      </c>
      <c r="S1364" s="28" t="n">
        <f aca="false">R1364*(1-TradeDiscount)</f>
        <v>9025.0817888</v>
      </c>
      <c r="T1364" s="28" t="n">
        <f aca="false">R1364*(1-VolumeDiscount)</f>
        <v>8204.619808</v>
      </c>
    </row>
    <row r="1365" customFormat="false" ht="15" hidden="false" customHeight="false" outlineLevel="0" collapsed="false">
      <c r="A1365" s="29" t="s">
        <v>2990</v>
      </c>
      <c r="B1365" s="29" t="s">
        <v>97</v>
      </c>
      <c r="C1365" s="29" t="s">
        <v>54</v>
      </c>
      <c r="D1365" s="29" t="s">
        <v>2991</v>
      </c>
      <c r="E1365" s="29" t="s">
        <v>2961</v>
      </c>
      <c r="F1365" s="29" t="s">
        <v>2917</v>
      </c>
      <c r="G1365" s="29" t="s">
        <v>35</v>
      </c>
      <c r="H1365" s="29" t="s">
        <v>70</v>
      </c>
      <c r="I1365" s="29" t="s">
        <v>190</v>
      </c>
      <c r="J1365" s="29" t="s">
        <v>191</v>
      </c>
      <c r="K1365" s="29" t="s">
        <v>192</v>
      </c>
      <c r="L1365" s="29" t="s">
        <v>30</v>
      </c>
      <c r="M1365" s="29" t="n">
        <v>3009</v>
      </c>
      <c r="N1365" s="29" t="n">
        <v>2009</v>
      </c>
      <c r="O1365" s="29"/>
      <c r="P1365" s="30" t="n">
        <f aca="false">(M1365*N1365/1000000)*INDEX(AreaRate_Vals,MATCH(C1365,AreaRate_Keys,0))+INDEX(Hardware_Vals,MATCH("Doors",Hardware_Keys,0))</f>
        <v>9013.1134</v>
      </c>
      <c r="Q1365" s="31" t="n">
        <f aca="false">INDEX(Markup_Vals,MATCH("Doors",MarkupCat_Keys,0))</f>
        <v>0.4</v>
      </c>
      <c r="R1365" s="32" t="n">
        <f aca="false">P1365*(1+Q1365)</f>
        <v>12618.35876</v>
      </c>
      <c r="S1365" s="32" t="n">
        <f aca="false">R1365*(1-TradeDiscount)</f>
        <v>11104.1557088</v>
      </c>
      <c r="T1365" s="32" t="n">
        <f aca="false">R1365*(1-VolumeDiscount)</f>
        <v>10094.687008</v>
      </c>
    </row>
    <row r="1366" customFormat="false" ht="15" hidden="false" customHeight="false" outlineLevel="0" collapsed="false">
      <c r="A1366" s="25" t="s">
        <v>2992</v>
      </c>
      <c r="B1366" s="25" t="s">
        <v>97</v>
      </c>
      <c r="C1366" s="25" t="s">
        <v>54</v>
      </c>
      <c r="D1366" s="25" t="s">
        <v>2993</v>
      </c>
      <c r="E1366" s="25" t="s">
        <v>2961</v>
      </c>
      <c r="F1366" s="25" t="s">
        <v>2917</v>
      </c>
      <c r="G1366" s="25" t="s">
        <v>36</v>
      </c>
      <c r="H1366" s="25" t="s">
        <v>70</v>
      </c>
      <c r="I1366" s="25" t="s">
        <v>190</v>
      </c>
      <c r="J1366" s="25" t="s">
        <v>191</v>
      </c>
      <c r="K1366" s="25" t="s">
        <v>192</v>
      </c>
      <c r="L1366" s="25" t="s">
        <v>30</v>
      </c>
      <c r="M1366" s="25" t="n">
        <v>3009</v>
      </c>
      <c r="N1366" s="25" t="n">
        <v>2009</v>
      </c>
      <c r="O1366" s="25"/>
      <c r="P1366" s="26" t="n">
        <f aca="false">(M1366*N1366/1000000)*INDEX(AreaRate_Vals,MATCH(C1366,AreaRate_Keys,0))+INDEX(Hardware_Vals,MATCH("Doors",Hardware_Keys,0))</f>
        <v>9013.1134</v>
      </c>
      <c r="Q1366" s="27" t="n">
        <f aca="false">INDEX(Markup_Vals,MATCH("Doors",MarkupCat_Keys,0))</f>
        <v>0.4</v>
      </c>
      <c r="R1366" s="28" t="n">
        <f aca="false">P1366*(1+Q1366)</f>
        <v>12618.35876</v>
      </c>
      <c r="S1366" s="28" t="n">
        <f aca="false">R1366*(1-TradeDiscount)</f>
        <v>11104.1557088</v>
      </c>
      <c r="T1366" s="28" t="n">
        <f aca="false">R1366*(1-VolumeDiscount)</f>
        <v>10094.687008</v>
      </c>
    </row>
    <row r="1367" customFormat="false" ht="15" hidden="false" customHeight="false" outlineLevel="0" collapsed="false">
      <c r="A1367" s="29" t="s">
        <v>2994</v>
      </c>
      <c r="B1367" s="29" t="s">
        <v>97</v>
      </c>
      <c r="C1367" s="29" t="s">
        <v>54</v>
      </c>
      <c r="D1367" s="29" t="s">
        <v>2995</v>
      </c>
      <c r="E1367" s="29" t="s">
        <v>2961</v>
      </c>
      <c r="F1367" s="29" t="s">
        <v>2917</v>
      </c>
      <c r="G1367" s="29" t="s">
        <v>37</v>
      </c>
      <c r="H1367" s="29" t="s">
        <v>70</v>
      </c>
      <c r="I1367" s="29" t="s">
        <v>190</v>
      </c>
      <c r="J1367" s="29" t="s">
        <v>191</v>
      </c>
      <c r="K1367" s="29" t="s">
        <v>192</v>
      </c>
      <c r="L1367" s="29" t="s">
        <v>30</v>
      </c>
      <c r="M1367" s="29" t="n">
        <v>3009</v>
      </c>
      <c r="N1367" s="29" t="n">
        <v>2009</v>
      </c>
      <c r="O1367" s="29"/>
      <c r="P1367" s="30" t="n">
        <f aca="false">(M1367*N1367/1000000)*INDEX(AreaRate_Vals,MATCH(C1367,AreaRate_Keys,0))+INDEX(Hardware_Vals,MATCH("Doors",Hardware_Keys,0))</f>
        <v>9013.1134</v>
      </c>
      <c r="Q1367" s="31" t="n">
        <f aca="false">INDEX(Markup_Vals,MATCH("Doors",MarkupCat_Keys,0))</f>
        <v>0.4</v>
      </c>
      <c r="R1367" s="32" t="n">
        <f aca="false">P1367*(1+Q1367)</f>
        <v>12618.35876</v>
      </c>
      <c r="S1367" s="32" t="n">
        <f aca="false">R1367*(1-TradeDiscount)</f>
        <v>11104.1557088</v>
      </c>
      <c r="T1367" s="32" t="n">
        <f aca="false">R1367*(1-VolumeDiscount)</f>
        <v>10094.687008</v>
      </c>
    </row>
    <row r="1368" customFormat="false" ht="15" hidden="false" customHeight="false" outlineLevel="0" collapsed="false">
      <c r="A1368" s="25" t="s">
        <v>2996</v>
      </c>
      <c r="B1368" s="25" t="s">
        <v>120</v>
      </c>
      <c r="C1368" s="25" t="s">
        <v>2997</v>
      </c>
      <c r="D1368" s="25" t="s">
        <v>2998</v>
      </c>
      <c r="E1368" s="25" t="s">
        <v>2999</v>
      </c>
      <c r="F1368" s="25" t="s">
        <v>3000</v>
      </c>
      <c r="G1368" s="25" t="s">
        <v>35</v>
      </c>
      <c r="H1368" s="25" t="s">
        <v>67</v>
      </c>
      <c r="I1368" s="25" t="s">
        <v>3001</v>
      </c>
      <c r="J1368" s="25" t="s">
        <v>3002</v>
      </c>
      <c r="K1368" s="25" t="s">
        <v>298</v>
      </c>
      <c r="L1368" s="25"/>
      <c r="M1368" s="25"/>
      <c r="N1368" s="25"/>
      <c r="O1368" s="25"/>
      <c r="P1368" s="33" t="n">
        <v>950</v>
      </c>
      <c r="Q1368" s="27" t="n">
        <f aca="false">INDEX(Markup_Vals,MATCH("Facade &amp; Structural Systems",MarkupCat_Keys,0))</f>
        <v>0.3</v>
      </c>
      <c r="R1368" s="28" t="n">
        <f aca="false">P1368*(1+Q1368)</f>
        <v>1235</v>
      </c>
      <c r="S1368" s="28" t="n">
        <f aca="false">R1368*(1-TradeDiscount)</f>
        <v>1086.8</v>
      </c>
      <c r="T1368" s="28" t="n">
        <f aca="false">R1368*(1-VolumeDiscount)</f>
        <v>988</v>
      </c>
    </row>
    <row r="1369" customFormat="false" ht="15" hidden="false" customHeight="false" outlineLevel="0" collapsed="false">
      <c r="A1369" s="29" t="s">
        <v>3003</v>
      </c>
      <c r="B1369" s="29" t="s">
        <v>120</v>
      </c>
      <c r="C1369" s="29" t="s">
        <v>2997</v>
      </c>
      <c r="D1369" s="29" t="s">
        <v>3004</v>
      </c>
      <c r="E1369" s="29" t="s">
        <v>2999</v>
      </c>
      <c r="F1369" s="29" t="s">
        <v>3000</v>
      </c>
      <c r="G1369" s="29" t="s">
        <v>36</v>
      </c>
      <c r="H1369" s="29" t="s">
        <v>67</v>
      </c>
      <c r="I1369" s="29" t="s">
        <v>3001</v>
      </c>
      <c r="J1369" s="29" t="s">
        <v>3002</v>
      </c>
      <c r="K1369" s="29" t="s">
        <v>298</v>
      </c>
      <c r="L1369" s="29"/>
      <c r="M1369" s="29"/>
      <c r="N1369" s="29"/>
      <c r="O1369" s="29"/>
      <c r="P1369" s="34" t="n">
        <v>950</v>
      </c>
      <c r="Q1369" s="31" t="n">
        <f aca="false">INDEX(Markup_Vals,MATCH("Facade &amp; Structural Systems",MarkupCat_Keys,0))</f>
        <v>0.3</v>
      </c>
      <c r="R1369" s="32" t="n">
        <f aca="false">P1369*(1+Q1369)</f>
        <v>1235</v>
      </c>
      <c r="S1369" s="32" t="n">
        <f aca="false">R1369*(1-TradeDiscount)</f>
        <v>1086.8</v>
      </c>
      <c r="T1369" s="32" t="n">
        <f aca="false">R1369*(1-VolumeDiscount)</f>
        <v>988</v>
      </c>
    </row>
    <row r="1370" customFormat="false" ht="15" hidden="false" customHeight="false" outlineLevel="0" collapsed="false">
      <c r="A1370" s="25" t="s">
        <v>3005</v>
      </c>
      <c r="B1370" s="25" t="s">
        <v>120</v>
      </c>
      <c r="C1370" s="25" t="s">
        <v>2997</v>
      </c>
      <c r="D1370" s="25" t="s">
        <v>3006</v>
      </c>
      <c r="E1370" s="25" t="s">
        <v>2999</v>
      </c>
      <c r="F1370" s="25" t="s">
        <v>3000</v>
      </c>
      <c r="G1370" s="25" t="s">
        <v>37</v>
      </c>
      <c r="H1370" s="25" t="s">
        <v>67</v>
      </c>
      <c r="I1370" s="25" t="s">
        <v>3001</v>
      </c>
      <c r="J1370" s="25" t="s">
        <v>3002</v>
      </c>
      <c r="K1370" s="25" t="s">
        <v>298</v>
      </c>
      <c r="L1370" s="25"/>
      <c r="M1370" s="25"/>
      <c r="N1370" s="25"/>
      <c r="O1370" s="25"/>
      <c r="P1370" s="33" t="n">
        <v>950</v>
      </c>
      <c r="Q1370" s="27" t="n">
        <f aca="false">INDEX(Markup_Vals,MATCH("Facade &amp; Structural Systems",MarkupCat_Keys,0))</f>
        <v>0.3</v>
      </c>
      <c r="R1370" s="28" t="n">
        <f aca="false">P1370*(1+Q1370)</f>
        <v>1235</v>
      </c>
      <c r="S1370" s="28" t="n">
        <f aca="false">R1370*(1-TradeDiscount)</f>
        <v>1086.8</v>
      </c>
      <c r="T1370" s="28" t="n">
        <f aca="false">R1370*(1-VolumeDiscount)</f>
        <v>988</v>
      </c>
    </row>
    <row r="1371" customFormat="false" ht="15" hidden="false" customHeight="false" outlineLevel="0" collapsed="false">
      <c r="A1371" s="29" t="s">
        <v>3007</v>
      </c>
      <c r="B1371" s="29" t="s">
        <v>120</v>
      </c>
      <c r="C1371" s="29" t="s">
        <v>2997</v>
      </c>
      <c r="D1371" s="29" t="s">
        <v>3008</v>
      </c>
      <c r="E1371" s="29" t="s">
        <v>2999</v>
      </c>
      <c r="F1371" s="29" t="s">
        <v>3000</v>
      </c>
      <c r="G1371" s="29" t="s">
        <v>39</v>
      </c>
      <c r="H1371" s="29" t="s">
        <v>67</v>
      </c>
      <c r="I1371" s="29" t="s">
        <v>3001</v>
      </c>
      <c r="J1371" s="29" t="s">
        <v>3002</v>
      </c>
      <c r="K1371" s="29" t="s">
        <v>298</v>
      </c>
      <c r="L1371" s="29"/>
      <c r="M1371" s="29"/>
      <c r="N1371" s="29"/>
      <c r="O1371" s="29"/>
      <c r="P1371" s="34" t="n">
        <v>950</v>
      </c>
      <c r="Q1371" s="31" t="n">
        <f aca="false">INDEX(Markup_Vals,MATCH("Facade &amp; Structural Systems",MarkupCat_Keys,0))</f>
        <v>0.3</v>
      </c>
      <c r="R1371" s="32" t="n">
        <f aca="false">P1371*(1+Q1371)</f>
        <v>1235</v>
      </c>
      <c r="S1371" s="32" t="n">
        <f aca="false">R1371*(1-TradeDiscount)</f>
        <v>1086.8</v>
      </c>
      <c r="T1371" s="32" t="n">
        <f aca="false">R1371*(1-VolumeDiscount)</f>
        <v>988</v>
      </c>
    </row>
    <row r="1372" customFormat="false" ht="15" hidden="false" customHeight="false" outlineLevel="0" collapsed="false">
      <c r="A1372" s="25" t="s">
        <v>3009</v>
      </c>
      <c r="B1372" s="25" t="s">
        <v>120</v>
      </c>
      <c r="C1372" s="25" t="s">
        <v>2997</v>
      </c>
      <c r="D1372" s="25" t="s">
        <v>3010</v>
      </c>
      <c r="E1372" s="25" t="s">
        <v>3011</v>
      </c>
      <c r="F1372" s="25" t="s">
        <v>3000</v>
      </c>
      <c r="G1372" s="25" t="s">
        <v>35</v>
      </c>
      <c r="H1372" s="25" t="s">
        <v>67</v>
      </c>
      <c r="I1372" s="25" t="s">
        <v>3001</v>
      </c>
      <c r="J1372" s="25" t="s">
        <v>3002</v>
      </c>
      <c r="K1372" s="25" t="s">
        <v>298</v>
      </c>
      <c r="L1372" s="25"/>
      <c r="M1372" s="25"/>
      <c r="N1372" s="25"/>
      <c r="O1372" s="25"/>
      <c r="P1372" s="33" t="n">
        <v>1300</v>
      </c>
      <c r="Q1372" s="27" t="n">
        <f aca="false">INDEX(Markup_Vals,MATCH("Facade &amp; Structural Systems",MarkupCat_Keys,0))</f>
        <v>0.3</v>
      </c>
      <c r="R1372" s="28" t="n">
        <f aca="false">P1372*(1+Q1372)</f>
        <v>1690</v>
      </c>
      <c r="S1372" s="28" t="n">
        <f aca="false">R1372*(1-TradeDiscount)</f>
        <v>1487.2</v>
      </c>
      <c r="T1372" s="28" t="n">
        <f aca="false">R1372*(1-VolumeDiscount)</f>
        <v>1352</v>
      </c>
    </row>
    <row r="1373" customFormat="false" ht="15" hidden="false" customHeight="false" outlineLevel="0" collapsed="false">
      <c r="A1373" s="29" t="s">
        <v>3012</v>
      </c>
      <c r="B1373" s="29" t="s">
        <v>120</v>
      </c>
      <c r="C1373" s="29" t="s">
        <v>2997</v>
      </c>
      <c r="D1373" s="29" t="s">
        <v>3013</v>
      </c>
      <c r="E1373" s="29" t="s">
        <v>3011</v>
      </c>
      <c r="F1373" s="29" t="s">
        <v>3000</v>
      </c>
      <c r="G1373" s="29" t="s">
        <v>36</v>
      </c>
      <c r="H1373" s="29" t="s">
        <v>67</v>
      </c>
      <c r="I1373" s="29" t="s">
        <v>3001</v>
      </c>
      <c r="J1373" s="29" t="s">
        <v>3002</v>
      </c>
      <c r="K1373" s="29" t="s">
        <v>298</v>
      </c>
      <c r="L1373" s="29"/>
      <c r="M1373" s="29"/>
      <c r="N1373" s="29"/>
      <c r="O1373" s="29"/>
      <c r="P1373" s="34" t="n">
        <v>1300</v>
      </c>
      <c r="Q1373" s="31" t="n">
        <f aca="false">INDEX(Markup_Vals,MATCH("Facade &amp; Structural Systems",MarkupCat_Keys,0))</f>
        <v>0.3</v>
      </c>
      <c r="R1373" s="32" t="n">
        <f aca="false">P1373*(1+Q1373)</f>
        <v>1690</v>
      </c>
      <c r="S1373" s="32" t="n">
        <f aca="false">R1373*(1-TradeDiscount)</f>
        <v>1487.2</v>
      </c>
      <c r="T1373" s="32" t="n">
        <f aca="false">R1373*(1-VolumeDiscount)</f>
        <v>1352</v>
      </c>
    </row>
    <row r="1374" customFormat="false" ht="15" hidden="false" customHeight="false" outlineLevel="0" collapsed="false">
      <c r="A1374" s="25" t="s">
        <v>3014</v>
      </c>
      <c r="B1374" s="25" t="s">
        <v>120</v>
      </c>
      <c r="C1374" s="25" t="s">
        <v>2997</v>
      </c>
      <c r="D1374" s="25" t="s">
        <v>3015</v>
      </c>
      <c r="E1374" s="25" t="s">
        <v>3011</v>
      </c>
      <c r="F1374" s="25" t="s">
        <v>3000</v>
      </c>
      <c r="G1374" s="25" t="s">
        <v>37</v>
      </c>
      <c r="H1374" s="25" t="s">
        <v>67</v>
      </c>
      <c r="I1374" s="25" t="s">
        <v>3001</v>
      </c>
      <c r="J1374" s="25" t="s">
        <v>3002</v>
      </c>
      <c r="K1374" s="25" t="s">
        <v>298</v>
      </c>
      <c r="L1374" s="25"/>
      <c r="M1374" s="25"/>
      <c r="N1374" s="25"/>
      <c r="O1374" s="25"/>
      <c r="P1374" s="33" t="n">
        <v>1300</v>
      </c>
      <c r="Q1374" s="27" t="n">
        <f aca="false">INDEX(Markup_Vals,MATCH("Facade &amp; Structural Systems",MarkupCat_Keys,0))</f>
        <v>0.3</v>
      </c>
      <c r="R1374" s="28" t="n">
        <f aca="false">P1374*(1+Q1374)</f>
        <v>1690</v>
      </c>
      <c r="S1374" s="28" t="n">
        <f aca="false">R1374*(1-TradeDiscount)</f>
        <v>1487.2</v>
      </c>
      <c r="T1374" s="28" t="n">
        <f aca="false">R1374*(1-VolumeDiscount)</f>
        <v>1352</v>
      </c>
    </row>
    <row r="1375" customFormat="false" ht="15" hidden="false" customHeight="false" outlineLevel="0" collapsed="false">
      <c r="A1375" s="29" t="s">
        <v>3016</v>
      </c>
      <c r="B1375" s="29" t="s">
        <v>120</v>
      </c>
      <c r="C1375" s="29" t="s">
        <v>2997</v>
      </c>
      <c r="D1375" s="29" t="s">
        <v>3017</v>
      </c>
      <c r="E1375" s="29" t="s">
        <v>3011</v>
      </c>
      <c r="F1375" s="29" t="s">
        <v>3000</v>
      </c>
      <c r="G1375" s="29" t="s">
        <v>39</v>
      </c>
      <c r="H1375" s="29" t="s">
        <v>67</v>
      </c>
      <c r="I1375" s="29" t="s">
        <v>3001</v>
      </c>
      <c r="J1375" s="29" t="s">
        <v>3002</v>
      </c>
      <c r="K1375" s="29" t="s">
        <v>298</v>
      </c>
      <c r="L1375" s="29"/>
      <c r="M1375" s="29"/>
      <c r="N1375" s="29"/>
      <c r="O1375" s="29"/>
      <c r="P1375" s="34" t="n">
        <v>1300</v>
      </c>
      <c r="Q1375" s="31" t="n">
        <f aca="false">INDEX(Markup_Vals,MATCH("Facade &amp; Structural Systems",MarkupCat_Keys,0))</f>
        <v>0.3</v>
      </c>
      <c r="R1375" s="32" t="n">
        <f aca="false">P1375*(1+Q1375)</f>
        <v>1690</v>
      </c>
      <c r="S1375" s="32" t="n">
        <f aca="false">R1375*(1-TradeDiscount)</f>
        <v>1487.2</v>
      </c>
      <c r="T1375" s="32" t="n">
        <f aca="false">R1375*(1-VolumeDiscount)</f>
        <v>1352</v>
      </c>
    </row>
    <row r="1376" customFormat="false" ht="15" hidden="false" customHeight="false" outlineLevel="0" collapsed="false">
      <c r="A1376" s="25" t="s">
        <v>3018</v>
      </c>
      <c r="B1376" s="25" t="s">
        <v>120</v>
      </c>
      <c r="C1376" s="25" t="s">
        <v>2997</v>
      </c>
      <c r="D1376" s="25" t="s">
        <v>3019</v>
      </c>
      <c r="E1376" s="25" t="s">
        <v>3020</v>
      </c>
      <c r="F1376" s="25" t="s">
        <v>3000</v>
      </c>
      <c r="G1376" s="25" t="s">
        <v>35</v>
      </c>
      <c r="H1376" s="25" t="s">
        <v>67</v>
      </c>
      <c r="I1376" s="25" t="s">
        <v>190</v>
      </c>
      <c r="J1376" s="25" t="s">
        <v>3002</v>
      </c>
      <c r="K1376" s="25" t="s">
        <v>298</v>
      </c>
      <c r="L1376" s="25"/>
      <c r="M1376" s="25"/>
      <c r="N1376" s="25"/>
      <c r="O1376" s="25"/>
      <c r="P1376" s="33" t="n">
        <v>4918</v>
      </c>
      <c r="Q1376" s="27" t="n">
        <f aca="false">INDEX(Markup_Vals,MATCH("Facade &amp; Structural Systems",MarkupCat_Keys,0))</f>
        <v>0.3</v>
      </c>
      <c r="R1376" s="28" t="n">
        <f aca="false">P1376*(1+Q1376)</f>
        <v>6393.4</v>
      </c>
      <c r="S1376" s="28" t="n">
        <f aca="false">R1376*(1-TradeDiscount)</f>
        <v>5626.192</v>
      </c>
      <c r="T1376" s="28" t="n">
        <f aca="false">R1376*(1-VolumeDiscount)</f>
        <v>5114.72</v>
      </c>
    </row>
    <row r="1377" customFormat="false" ht="15" hidden="false" customHeight="false" outlineLevel="0" collapsed="false">
      <c r="A1377" s="29" t="s">
        <v>3021</v>
      </c>
      <c r="B1377" s="29" t="s">
        <v>120</v>
      </c>
      <c r="C1377" s="29" t="s">
        <v>2997</v>
      </c>
      <c r="D1377" s="29" t="s">
        <v>3022</v>
      </c>
      <c r="E1377" s="29" t="s">
        <v>3020</v>
      </c>
      <c r="F1377" s="29" t="s">
        <v>3000</v>
      </c>
      <c r="G1377" s="29" t="s">
        <v>36</v>
      </c>
      <c r="H1377" s="29" t="s">
        <v>67</v>
      </c>
      <c r="I1377" s="29" t="s">
        <v>190</v>
      </c>
      <c r="J1377" s="29" t="s">
        <v>3002</v>
      </c>
      <c r="K1377" s="29" t="s">
        <v>298</v>
      </c>
      <c r="L1377" s="29"/>
      <c r="M1377" s="29"/>
      <c r="N1377" s="29"/>
      <c r="O1377" s="29"/>
      <c r="P1377" s="34" t="n">
        <v>4918</v>
      </c>
      <c r="Q1377" s="31" t="n">
        <f aca="false">INDEX(Markup_Vals,MATCH("Facade &amp; Structural Systems",MarkupCat_Keys,0))</f>
        <v>0.3</v>
      </c>
      <c r="R1377" s="32" t="n">
        <f aca="false">P1377*(1+Q1377)</f>
        <v>6393.4</v>
      </c>
      <c r="S1377" s="32" t="n">
        <f aca="false">R1377*(1-TradeDiscount)</f>
        <v>5626.192</v>
      </c>
      <c r="T1377" s="32" t="n">
        <f aca="false">R1377*(1-VolumeDiscount)</f>
        <v>5114.72</v>
      </c>
    </row>
    <row r="1378" customFormat="false" ht="15" hidden="false" customHeight="false" outlineLevel="0" collapsed="false">
      <c r="A1378" s="25" t="s">
        <v>3023</v>
      </c>
      <c r="B1378" s="25" t="s">
        <v>120</v>
      </c>
      <c r="C1378" s="25" t="s">
        <v>2997</v>
      </c>
      <c r="D1378" s="25" t="s">
        <v>3024</v>
      </c>
      <c r="E1378" s="25" t="s">
        <v>3020</v>
      </c>
      <c r="F1378" s="25" t="s">
        <v>3000</v>
      </c>
      <c r="G1378" s="25" t="s">
        <v>37</v>
      </c>
      <c r="H1378" s="25" t="s">
        <v>67</v>
      </c>
      <c r="I1378" s="25" t="s">
        <v>190</v>
      </c>
      <c r="J1378" s="25" t="s">
        <v>3002</v>
      </c>
      <c r="K1378" s="25" t="s">
        <v>298</v>
      </c>
      <c r="L1378" s="25"/>
      <c r="M1378" s="25"/>
      <c r="N1378" s="25"/>
      <c r="O1378" s="25"/>
      <c r="P1378" s="33" t="n">
        <v>4918</v>
      </c>
      <c r="Q1378" s="27" t="n">
        <f aca="false">INDEX(Markup_Vals,MATCH("Facade &amp; Structural Systems",MarkupCat_Keys,0))</f>
        <v>0.3</v>
      </c>
      <c r="R1378" s="28" t="n">
        <f aca="false">P1378*(1+Q1378)</f>
        <v>6393.4</v>
      </c>
      <c r="S1378" s="28" t="n">
        <f aca="false">R1378*(1-TradeDiscount)</f>
        <v>5626.192</v>
      </c>
      <c r="T1378" s="28" t="n">
        <f aca="false">R1378*(1-VolumeDiscount)</f>
        <v>5114.72</v>
      </c>
    </row>
    <row r="1379" customFormat="false" ht="15" hidden="false" customHeight="false" outlineLevel="0" collapsed="false">
      <c r="A1379" s="29" t="s">
        <v>3025</v>
      </c>
      <c r="B1379" s="29" t="s">
        <v>120</v>
      </c>
      <c r="C1379" s="29" t="s">
        <v>2997</v>
      </c>
      <c r="D1379" s="29" t="s">
        <v>3026</v>
      </c>
      <c r="E1379" s="29" t="s">
        <v>3020</v>
      </c>
      <c r="F1379" s="29" t="s">
        <v>3000</v>
      </c>
      <c r="G1379" s="29" t="s">
        <v>39</v>
      </c>
      <c r="H1379" s="29" t="s">
        <v>67</v>
      </c>
      <c r="I1379" s="29" t="s">
        <v>190</v>
      </c>
      <c r="J1379" s="29" t="s">
        <v>3002</v>
      </c>
      <c r="K1379" s="29" t="s">
        <v>298</v>
      </c>
      <c r="L1379" s="29"/>
      <c r="M1379" s="29"/>
      <c r="N1379" s="29"/>
      <c r="O1379" s="29"/>
      <c r="P1379" s="34" t="n">
        <v>4918</v>
      </c>
      <c r="Q1379" s="31" t="n">
        <f aca="false">INDEX(Markup_Vals,MATCH("Facade &amp; Structural Systems",MarkupCat_Keys,0))</f>
        <v>0.3</v>
      </c>
      <c r="R1379" s="32" t="n">
        <f aca="false">P1379*(1+Q1379)</f>
        <v>6393.4</v>
      </c>
      <c r="S1379" s="32" t="n">
        <f aca="false">R1379*(1-TradeDiscount)</f>
        <v>5626.192</v>
      </c>
      <c r="T1379" s="32" t="n">
        <f aca="false">R1379*(1-VolumeDiscount)</f>
        <v>5114.72</v>
      </c>
    </row>
    <row r="1380" customFormat="false" ht="15" hidden="false" customHeight="false" outlineLevel="0" collapsed="false">
      <c r="A1380" s="25" t="s">
        <v>3027</v>
      </c>
      <c r="B1380" s="25" t="s">
        <v>120</v>
      </c>
      <c r="C1380" s="25" t="s">
        <v>2997</v>
      </c>
      <c r="D1380" s="25" t="s">
        <v>3028</v>
      </c>
      <c r="E1380" s="25" t="s">
        <v>3029</v>
      </c>
      <c r="F1380" s="25" t="s">
        <v>3000</v>
      </c>
      <c r="G1380" s="25" t="s">
        <v>35</v>
      </c>
      <c r="H1380" s="25" t="s">
        <v>67</v>
      </c>
      <c r="I1380" s="25" t="s">
        <v>190</v>
      </c>
      <c r="J1380" s="25" t="s">
        <v>3002</v>
      </c>
      <c r="K1380" s="25" t="s">
        <v>298</v>
      </c>
      <c r="L1380" s="25"/>
      <c r="M1380" s="25"/>
      <c r="N1380" s="25"/>
      <c r="O1380" s="25"/>
      <c r="P1380" s="33" t="n">
        <v>8836</v>
      </c>
      <c r="Q1380" s="27" t="n">
        <f aca="false">INDEX(Markup_Vals,MATCH("Facade &amp; Structural Systems",MarkupCat_Keys,0))</f>
        <v>0.3</v>
      </c>
      <c r="R1380" s="28" t="n">
        <f aca="false">P1380*(1+Q1380)</f>
        <v>11486.8</v>
      </c>
      <c r="S1380" s="28" t="n">
        <f aca="false">R1380*(1-TradeDiscount)</f>
        <v>10108.384</v>
      </c>
      <c r="T1380" s="28" t="n">
        <f aca="false">R1380*(1-VolumeDiscount)</f>
        <v>9189.44</v>
      </c>
    </row>
    <row r="1381" customFormat="false" ht="15" hidden="false" customHeight="false" outlineLevel="0" collapsed="false">
      <c r="A1381" s="29" t="s">
        <v>3030</v>
      </c>
      <c r="B1381" s="29" t="s">
        <v>120</v>
      </c>
      <c r="C1381" s="29" t="s">
        <v>2997</v>
      </c>
      <c r="D1381" s="29" t="s">
        <v>3031</v>
      </c>
      <c r="E1381" s="29" t="s">
        <v>3029</v>
      </c>
      <c r="F1381" s="29" t="s">
        <v>3000</v>
      </c>
      <c r="G1381" s="29" t="s">
        <v>36</v>
      </c>
      <c r="H1381" s="29" t="s">
        <v>67</v>
      </c>
      <c r="I1381" s="29" t="s">
        <v>190</v>
      </c>
      <c r="J1381" s="29" t="s">
        <v>3002</v>
      </c>
      <c r="K1381" s="29" t="s">
        <v>298</v>
      </c>
      <c r="L1381" s="29"/>
      <c r="M1381" s="29"/>
      <c r="N1381" s="29"/>
      <c r="O1381" s="29"/>
      <c r="P1381" s="34" t="n">
        <v>8836</v>
      </c>
      <c r="Q1381" s="31" t="n">
        <f aca="false">INDEX(Markup_Vals,MATCH("Facade &amp; Structural Systems",MarkupCat_Keys,0))</f>
        <v>0.3</v>
      </c>
      <c r="R1381" s="32" t="n">
        <f aca="false">P1381*(1+Q1381)</f>
        <v>11486.8</v>
      </c>
      <c r="S1381" s="32" t="n">
        <f aca="false">R1381*(1-TradeDiscount)</f>
        <v>10108.384</v>
      </c>
      <c r="T1381" s="32" t="n">
        <f aca="false">R1381*(1-VolumeDiscount)</f>
        <v>9189.44</v>
      </c>
    </row>
    <row r="1382" customFormat="false" ht="15" hidden="false" customHeight="false" outlineLevel="0" collapsed="false">
      <c r="A1382" s="25" t="s">
        <v>3032</v>
      </c>
      <c r="B1382" s="25" t="s">
        <v>120</v>
      </c>
      <c r="C1382" s="25" t="s">
        <v>2997</v>
      </c>
      <c r="D1382" s="25" t="s">
        <v>3033</v>
      </c>
      <c r="E1382" s="25" t="s">
        <v>3029</v>
      </c>
      <c r="F1382" s="25" t="s">
        <v>3000</v>
      </c>
      <c r="G1382" s="25" t="s">
        <v>37</v>
      </c>
      <c r="H1382" s="25" t="s">
        <v>67</v>
      </c>
      <c r="I1382" s="25" t="s">
        <v>190</v>
      </c>
      <c r="J1382" s="25" t="s">
        <v>3002</v>
      </c>
      <c r="K1382" s="25" t="s">
        <v>298</v>
      </c>
      <c r="L1382" s="25"/>
      <c r="M1382" s="25"/>
      <c r="N1382" s="25"/>
      <c r="O1382" s="25"/>
      <c r="P1382" s="33" t="n">
        <v>8836</v>
      </c>
      <c r="Q1382" s="27" t="n">
        <f aca="false">INDEX(Markup_Vals,MATCH("Facade &amp; Structural Systems",MarkupCat_Keys,0))</f>
        <v>0.3</v>
      </c>
      <c r="R1382" s="28" t="n">
        <f aca="false">P1382*(1+Q1382)</f>
        <v>11486.8</v>
      </c>
      <c r="S1382" s="28" t="n">
        <f aca="false">R1382*(1-TradeDiscount)</f>
        <v>10108.384</v>
      </c>
      <c r="T1382" s="28" t="n">
        <f aca="false">R1382*(1-VolumeDiscount)</f>
        <v>9189.44</v>
      </c>
    </row>
    <row r="1383" customFormat="false" ht="15" hidden="false" customHeight="false" outlineLevel="0" collapsed="false">
      <c r="A1383" s="29" t="s">
        <v>3034</v>
      </c>
      <c r="B1383" s="29" t="s">
        <v>120</v>
      </c>
      <c r="C1383" s="29" t="s">
        <v>2997</v>
      </c>
      <c r="D1383" s="29" t="s">
        <v>3035</v>
      </c>
      <c r="E1383" s="29" t="s">
        <v>3029</v>
      </c>
      <c r="F1383" s="29" t="s">
        <v>3000</v>
      </c>
      <c r="G1383" s="29" t="s">
        <v>39</v>
      </c>
      <c r="H1383" s="29" t="s">
        <v>67</v>
      </c>
      <c r="I1383" s="29" t="s">
        <v>190</v>
      </c>
      <c r="J1383" s="29" t="s">
        <v>3002</v>
      </c>
      <c r="K1383" s="29" t="s">
        <v>298</v>
      </c>
      <c r="L1383" s="29"/>
      <c r="M1383" s="29"/>
      <c r="N1383" s="29"/>
      <c r="O1383" s="29"/>
      <c r="P1383" s="34" t="n">
        <v>8836</v>
      </c>
      <c r="Q1383" s="31" t="n">
        <f aca="false">INDEX(Markup_Vals,MATCH("Facade &amp; Structural Systems",MarkupCat_Keys,0))</f>
        <v>0.3</v>
      </c>
      <c r="R1383" s="32" t="n">
        <f aca="false">P1383*(1+Q1383)</f>
        <v>11486.8</v>
      </c>
      <c r="S1383" s="32" t="n">
        <f aca="false">R1383*(1-TradeDiscount)</f>
        <v>10108.384</v>
      </c>
      <c r="T1383" s="32" t="n">
        <f aca="false">R1383*(1-VolumeDiscount)</f>
        <v>9189.44</v>
      </c>
    </row>
    <row r="1384" customFormat="false" ht="15" hidden="false" customHeight="false" outlineLevel="0" collapsed="false">
      <c r="A1384" s="25" t="s">
        <v>3036</v>
      </c>
      <c r="B1384" s="25" t="s">
        <v>120</v>
      </c>
      <c r="C1384" s="25" t="s">
        <v>2997</v>
      </c>
      <c r="D1384" s="25" t="s">
        <v>3037</v>
      </c>
      <c r="E1384" s="25" t="s">
        <v>3038</v>
      </c>
      <c r="F1384" s="25" t="s">
        <v>3000</v>
      </c>
      <c r="G1384" s="25" t="s">
        <v>35</v>
      </c>
      <c r="H1384" s="25" t="s">
        <v>67</v>
      </c>
      <c r="I1384" s="25" t="s">
        <v>3039</v>
      </c>
      <c r="J1384" s="25" t="s">
        <v>3002</v>
      </c>
      <c r="K1384" s="25" t="s">
        <v>298</v>
      </c>
      <c r="L1384" s="25"/>
      <c r="M1384" s="25"/>
      <c r="N1384" s="25"/>
      <c r="O1384" s="25"/>
      <c r="P1384" s="33" t="n">
        <v>940</v>
      </c>
      <c r="Q1384" s="27" t="n">
        <f aca="false">INDEX(Markup_Vals,MATCH("Facade &amp; Structural Systems",MarkupCat_Keys,0))</f>
        <v>0.3</v>
      </c>
      <c r="R1384" s="28" t="n">
        <f aca="false">P1384*(1+Q1384)</f>
        <v>1222</v>
      </c>
      <c r="S1384" s="28" t="n">
        <f aca="false">R1384*(1-TradeDiscount)</f>
        <v>1075.36</v>
      </c>
      <c r="T1384" s="28" t="n">
        <f aca="false">R1384*(1-VolumeDiscount)</f>
        <v>977.6</v>
      </c>
    </row>
    <row r="1385" customFormat="false" ht="15" hidden="false" customHeight="false" outlineLevel="0" collapsed="false">
      <c r="A1385" s="29" t="s">
        <v>3040</v>
      </c>
      <c r="B1385" s="29" t="s">
        <v>120</v>
      </c>
      <c r="C1385" s="29" t="s">
        <v>2997</v>
      </c>
      <c r="D1385" s="29" t="s">
        <v>3041</v>
      </c>
      <c r="E1385" s="29" t="s">
        <v>3038</v>
      </c>
      <c r="F1385" s="29" t="s">
        <v>3000</v>
      </c>
      <c r="G1385" s="29" t="s">
        <v>36</v>
      </c>
      <c r="H1385" s="29" t="s">
        <v>67</v>
      </c>
      <c r="I1385" s="29" t="s">
        <v>3039</v>
      </c>
      <c r="J1385" s="29" t="s">
        <v>3002</v>
      </c>
      <c r="K1385" s="29" t="s">
        <v>298</v>
      </c>
      <c r="L1385" s="29"/>
      <c r="M1385" s="29"/>
      <c r="N1385" s="29"/>
      <c r="O1385" s="29"/>
      <c r="P1385" s="34" t="n">
        <v>940</v>
      </c>
      <c r="Q1385" s="31" t="n">
        <f aca="false">INDEX(Markup_Vals,MATCH("Facade &amp; Structural Systems",MarkupCat_Keys,0))</f>
        <v>0.3</v>
      </c>
      <c r="R1385" s="32" t="n">
        <f aca="false">P1385*(1+Q1385)</f>
        <v>1222</v>
      </c>
      <c r="S1385" s="32" t="n">
        <f aca="false">R1385*(1-TradeDiscount)</f>
        <v>1075.36</v>
      </c>
      <c r="T1385" s="32" t="n">
        <f aca="false">R1385*(1-VolumeDiscount)</f>
        <v>977.6</v>
      </c>
    </row>
    <row r="1386" customFormat="false" ht="15" hidden="false" customHeight="false" outlineLevel="0" collapsed="false">
      <c r="A1386" s="25" t="s">
        <v>3042</v>
      </c>
      <c r="B1386" s="25" t="s">
        <v>120</v>
      </c>
      <c r="C1386" s="25" t="s">
        <v>2997</v>
      </c>
      <c r="D1386" s="25" t="s">
        <v>3043</v>
      </c>
      <c r="E1386" s="25" t="s">
        <v>3038</v>
      </c>
      <c r="F1386" s="25" t="s">
        <v>3000</v>
      </c>
      <c r="G1386" s="25" t="s">
        <v>37</v>
      </c>
      <c r="H1386" s="25" t="s">
        <v>67</v>
      </c>
      <c r="I1386" s="25" t="s">
        <v>3039</v>
      </c>
      <c r="J1386" s="25" t="s">
        <v>3002</v>
      </c>
      <c r="K1386" s="25" t="s">
        <v>298</v>
      </c>
      <c r="L1386" s="25"/>
      <c r="M1386" s="25"/>
      <c r="N1386" s="25"/>
      <c r="O1386" s="25"/>
      <c r="P1386" s="33" t="n">
        <v>940</v>
      </c>
      <c r="Q1386" s="27" t="n">
        <f aca="false">INDEX(Markup_Vals,MATCH("Facade &amp; Structural Systems",MarkupCat_Keys,0))</f>
        <v>0.3</v>
      </c>
      <c r="R1386" s="28" t="n">
        <f aca="false">P1386*(1+Q1386)</f>
        <v>1222</v>
      </c>
      <c r="S1386" s="28" t="n">
        <f aca="false">R1386*(1-TradeDiscount)</f>
        <v>1075.36</v>
      </c>
      <c r="T1386" s="28" t="n">
        <f aca="false">R1386*(1-VolumeDiscount)</f>
        <v>977.6</v>
      </c>
    </row>
    <row r="1387" customFormat="false" ht="15" hidden="false" customHeight="false" outlineLevel="0" collapsed="false">
      <c r="A1387" s="29" t="s">
        <v>3044</v>
      </c>
      <c r="B1387" s="29" t="s">
        <v>120</v>
      </c>
      <c r="C1387" s="29" t="s">
        <v>2997</v>
      </c>
      <c r="D1387" s="29" t="s">
        <v>3045</v>
      </c>
      <c r="E1387" s="29" t="s">
        <v>3038</v>
      </c>
      <c r="F1387" s="29" t="s">
        <v>3000</v>
      </c>
      <c r="G1387" s="29" t="s">
        <v>39</v>
      </c>
      <c r="H1387" s="29" t="s">
        <v>67</v>
      </c>
      <c r="I1387" s="29" t="s">
        <v>3039</v>
      </c>
      <c r="J1387" s="29" t="s">
        <v>3002</v>
      </c>
      <c r="K1387" s="29" t="s">
        <v>298</v>
      </c>
      <c r="L1387" s="29"/>
      <c r="M1387" s="29"/>
      <c r="N1387" s="29"/>
      <c r="O1387" s="29"/>
      <c r="P1387" s="34" t="n">
        <v>940</v>
      </c>
      <c r="Q1387" s="31" t="n">
        <f aca="false">INDEX(Markup_Vals,MATCH("Facade &amp; Structural Systems",MarkupCat_Keys,0))</f>
        <v>0.3</v>
      </c>
      <c r="R1387" s="32" t="n">
        <f aca="false">P1387*(1+Q1387)</f>
        <v>1222</v>
      </c>
      <c r="S1387" s="32" t="n">
        <f aca="false">R1387*(1-TradeDiscount)</f>
        <v>1075.36</v>
      </c>
      <c r="T1387" s="32" t="n">
        <f aca="false">R1387*(1-VolumeDiscount)</f>
        <v>977.6</v>
      </c>
    </row>
    <row r="1388" customFormat="false" ht="15" hidden="false" customHeight="false" outlineLevel="0" collapsed="false">
      <c r="A1388" s="25" t="s">
        <v>3046</v>
      </c>
      <c r="B1388" s="25" t="s">
        <v>120</v>
      </c>
      <c r="C1388" s="25" t="s">
        <v>2997</v>
      </c>
      <c r="D1388" s="25" t="s">
        <v>3047</v>
      </c>
      <c r="E1388" s="25" t="s">
        <v>3048</v>
      </c>
      <c r="F1388" s="25" t="s">
        <v>3000</v>
      </c>
      <c r="G1388" s="25" t="s">
        <v>35</v>
      </c>
      <c r="H1388" s="25" t="s">
        <v>67</v>
      </c>
      <c r="I1388" s="25" t="s">
        <v>3039</v>
      </c>
      <c r="J1388" s="25" t="s">
        <v>3002</v>
      </c>
      <c r="K1388" s="25" t="s">
        <v>298</v>
      </c>
      <c r="L1388" s="25"/>
      <c r="M1388" s="25"/>
      <c r="N1388" s="25"/>
      <c r="O1388" s="25"/>
      <c r="P1388" s="33" t="n">
        <v>940</v>
      </c>
      <c r="Q1388" s="27" t="n">
        <f aca="false">INDEX(Markup_Vals,MATCH("Facade &amp; Structural Systems",MarkupCat_Keys,0))</f>
        <v>0.3</v>
      </c>
      <c r="R1388" s="28" t="n">
        <f aca="false">P1388*(1+Q1388)</f>
        <v>1222</v>
      </c>
      <c r="S1388" s="28" t="n">
        <f aca="false">R1388*(1-TradeDiscount)</f>
        <v>1075.36</v>
      </c>
      <c r="T1388" s="28" t="n">
        <f aca="false">R1388*(1-VolumeDiscount)</f>
        <v>977.6</v>
      </c>
    </row>
    <row r="1389" customFormat="false" ht="15" hidden="false" customHeight="false" outlineLevel="0" collapsed="false">
      <c r="A1389" s="29" t="s">
        <v>3049</v>
      </c>
      <c r="B1389" s="29" t="s">
        <v>120</v>
      </c>
      <c r="C1389" s="29" t="s">
        <v>2997</v>
      </c>
      <c r="D1389" s="29" t="s">
        <v>3050</v>
      </c>
      <c r="E1389" s="29" t="s">
        <v>3048</v>
      </c>
      <c r="F1389" s="29" t="s">
        <v>3000</v>
      </c>
      <c r="G1389" s="29" t="s">
        <v>36</v>
      </c>
      <c r="H1389" s="29" t="s">
        <v>67</v>
      </c>
      <c r="I1389" s="29" t="s">
        <v>3039</v>
      </c>
      <c r="J1389" s="29" t="s">
        <v>3002</v>
      </c>
      <c r="K1389" s="29" t="s">
        <v>298</v>
      </c>
      <c r="L1389" s="29"/>
      <c r="M1389" s="29"/>
      <c r="N1389" s="29"/>
      <c r="O1389" s="29"/>
      <c r="P1389" s="34" t="n">
        <v>940</v>
      </c>
      <c r="Q1389" s="31" t="n">
        <f aca="false">INDEX(Markup_Vals,MATCH("Facade &amp; Structural Systems",MarkupCat_Keys,0))</f>
        <v>0.3</v>
      </c>
      <c r="R1389" s="32" t="n">
        <f aca="false">P1389*(1+Q1389)</f>
        <v>1222</v>
      </c>
      <c r="S1389" s="32" t="n">
        <f aca="false">R1389*(1-TradeDiscount)</f>
        <v>1075.36</v>
      </c>
      <c r="T1389" s="32" t="n">
        <f aca="false">R1389*(1-VolumeDiscount)</f>
        <v>977.6</v>
      </c>
    </row>
    <row r="1390" customFormat="false" ht="15" hidden="false" customHeight="false" outlineLevel="0" collapsed="false">
      <c r="A1390" s="25" t="s">
        <v>3051</v>
      </c>
      <c r="B1390" s="25" t="s">
        <v>120</v>
      </c>
      <c r="C1390" s="25" t="s">
        <v>2997</v>
      </c>
      <c r="D1390" s="25" t="s">
        <v>3052</v>
      </c>
      <c r="E1390" s="25" t="s">
        <v>3048</v>
      </c>
      <c r="F1390" s="25" t="s">
        <v>3000</v>
      </c>
      <c r="G1390" s="25" t="s">
        <v>37</v>
      </c>
      <c r="H1390" s="25" t="s">
        <v>67</v>
      </c>
      <c r="I1390" s="25" t="s">
        <v>3039</v>
      </c>
      <c r="J1390" s="25" t="s">
        <v>3002</v>
      </c>
      <c r="K1390" s="25" t="s">
        <v>298</v>
      </c>
      <c r="L1390" s="25"/>
      <c r="M1390" s="25"/>
      <c r="N1390" s="25"/>
      <c r="O1390" s="25"/>
      <c r="P1390" s="33" t="n">
        <v>940</v>
      </c>
      <c r="Q1390" s="27" t="n">
        <f aca="false">INDEX(Markup_Vals,MATCH("Facade &amp; Structural Systems",MarkupCat_Keys,0))</f>
        <v>0.3</v>
      </c>
      <c r="R1390" s="28" t="n">
        <f aca="false">P1390*(1+Q1390)</f>
        <v>1222</v>
      </c>
      <c r="S1390" s="28" t="n">
        <f aca="false">R1390*(1-TradeDiscount)</f>
        <v>1075.36</v>
      </c>
      <c r="T1390" s="28" t="n">
        <f aca="false">R1390*(1-VolumeDiscount)</f>
        <v>977.6</v>
      </c>
    </row>
    <row r="1391" customFormat="false" ht="15" hidden="false" customHeight="false" outlineLevel="0" collapsed="false">
      <c r="A1391" s="29" t="s">
        <v>3053</v>
      </c>
      <c r="B1391" s="29" t="s">
        <v>120</v>
      </c>
      <c r="C1391" s="29" t="s">
        <v>2997</v>
      </c>
      <c r="D1391" s="29" t="s">
        <v>3054</v>
      </c>
      <c r="E1391" s="29" t="s">
        <v>3048</v>
      </c>
      <c r="F1391" s="29" t="s">
        <v>3000</v>
      </c>
      <c r="G1391" s="29" t="s">
        <v>39</v>
      </c>
      <c r="H1391" s="29" t="s">
        <v>67</v>
      </c>
      <c r="I1391" s="29" t="s">
        <v>3039</v>
      </c>
      <c r="J1391" s="29" t="s">
        <v>3002</v>
      </c>
      <c r="K1391" s="29" t="s">
        <v>298</v>
      </c>
      <c r="L1391" s="29"/>
      <c r="M1391" s="29"/>
      <c r="N1391" s="29"/>
      <c r="O1391" s="29"/>
      <c r="P1391" s="34" t="n">
        <v>940</v>
      </c>
      <c r="Q1391" s="31" t="n">
        <f aca="false">INDEX(Markup_Vals,MATCH("Facade &amp; Structural Systems",MarkupCat_Keys,0))</f>
        <v>0.3</v>
      </c>
      <c r="R1391" s="32" t="n">
        <f aca="false">P1391*(1+Q1391)</f>
        <v>1222</v>
      </c>
      <c r="S1391" s="32" t="n">
        <f aca="false">R1391*(1-TradeDiscount)</f>
        <v>1075.36</v>
      </c>
      <c r="T1391" s="32" t="n">
        <f aca="false">R1391*(1-VolumeDiscount)</f>
        <v>977.6</v>
      </c>
    </row>
    <row r="1392" customFormat="false" ht="15" hidden="false" customHeight="false" outlineLevel="0" collapsed="false">
      <c r="A1392" s="25" t="s">
        <v>3055</v>
      </c>
      <c r="B1392" s="25" t="s">
        <v>120</v>
      </c>
      <c r="C1392" s="25" t="s">
        <v>2997</v>
      </c>
      <c r="D1392" s="25" t="s">
        <v>3056</v>
      </c>
      <c r="E1392" s="25" t="s">
        <v>3057</v>
      </c>
      <c r="F1392" s="25" t="s">
        <v>3000</v>
      </c>
      <c r="G1392" s="25" t="s">
        <v>35</v>
      </c>
      <c r="H1392" s="25" t="s">
        <v>67</v>
      </c>
      <c r="I1392" s="25" t="s">
        <v>190</v>
      </c>
      <c r="J1392" s="25" t="s">
        <v>3002</v>
      </c>
      <c r="K1392" s="25" t="s">
        <v>298</v>
      </c>
      <c r="L1392" s="25"/>
      <c r="M1392" s="25"/>
      <c r="N1392" s="25"/>
      <c r="O1392" s="25"/>
      <c r="P1392" s="33" t="n">
        <v>42000</v>
      </c>
      <c r="Q1392" s="27" t="n">
        <f aca="false">INDEX(Markup_Vals,MATCH("Facade &amp; Structural Systems",MarkupCat_Keys,0))</f>
        <v>0.3</v>
      </c>
      <c r="R1392" s="28" t="n">
        <f aca="false">P1392*(1+Q1392)</f>
        <v>54600</v>
      </c>
      <c r="S1392" s="28" t="n">
        <f aca="false">R1392*(1-TradeDiscount)</f>
        <v>48048</v>
      </c>
      <c r="T1392" s="28" t="n">
        <f aca="false">R1392*(1-VolumeDiscount)</f>
        <v>43680</v>
      </c>
    </row>
    <row r="1393" customFormat="false" ht="15" hidden="false" customHeight="false" outlineLevel="0" collapsed="false">
      <c r="A1393" s="29" t="s">
        <v>3058</v>
      </c>
      <c r="B1393" s="29" t="s">
        <v>120</v>
      </c>
      <c r="C1393" s="29" t="s">
        <v>2997</v>
      </c>
      <c r="D1393" s="29" t="s">
        <v>3059</v>
      </c>
      <c r="E1393" s="29" t="s">
        <v>3057</v>
      </c>
      <c r="F1393" s="29" t="s">
        <v>3000</v>
      </c>
      <c r="G1393" s="29" t="s">
        <v>36</v>
      </c>
      <c r="H1393" s="29" t="s">
        <v>67</v>
      </c>
      <c r="I1393" s="29" t="s">
        <v>190</v>
      </c>
      <c r="J1393" s="29" t="s">
        <v>3002</v>
      </c>
      <c r="K1393" s="29" t="s">
        <v>298</v>
      </c>
      <c r="L1393" s="29"/>
      <c r="M1393" s="29"/>
      <c r="N1393" s="29"/>
      <c r="O1393" s="29"/>
      <c r="P1393" s="34" t="n">
        <v>42000</v>
      </c>
      <c r="Q1393" s="31" t="n">
        <f aca="false">INDEX(Markup_Vals,MATCH("Facade &amp; Structural Systems",MarkupCat_Keys,0))</f>
        <v>0.3</v>
      </c>
      <c r="R1393" s="32" t="n">
        <f aca="false">P1393*(1+Q1393)</f>
        <v>54600</v>
      </c>
      <c r="S1393" s="32" t="n">
        <f aca="false">R1393*(1-TradeDiscount)</f>
        <v>48048</v>
      </c>
      <c r="T1393" s="32" t="n">
        <f aca="false">R1393*(1-VolumeDiscount)</f>
        <v>43680</v>
      </c>
    </row>
    <row r="1394" customFormat="false" ht="15" hidden="false" customHeight="false" outlineLevel="0" collapsed="false">
      <c r="A1394" s="25" t="s">
        <v>3060</v>
      </c>
      <c r="B1394" s="25" t="s">
        <v>120</v>
      </c>
      <c r="C1394" s="25" t="s">
        <v>2997</v>
      </c>
      <c r="D1394" s="25" t="s">
        <v>3061</v>
      </c>
      <c r="E1394" s="25" t="s">
        <v>3057</v>
      </c>
      <c r="F1394" s="25" t="s">
        <v>3000</v>
      </c>
      <c r="G1394" s="25" t="s">
        <v>37</v>
      </c>
      <c r="H1394" s="25" t="s">
        <v>67</v>
      </c>
      <c r="I1394" s="25" t="s">
        <v>190</v>
      </c>
      <c r="J1394" s="25" t="s">
        <v>3002</v>
      </c>
      <c r="K1394" s="25" t="s">
        <v>298</v>
      </c>
      <c r="L1394" s="25"/>
      <c r="M1394" s="25"/>
      <c r="N1394" s="25"/>
      <c r="O1394" s="25"/>
      <c r="P1394" s="33" t="n">
        <v>42000</v>
      </c>
      <c r="Q1394" s="27" t="n">
        <f aca="false">INDEX(Markup_Vals,MATCH("Facade &amp; Structural Systems",MarkupCat_Keys,0))</f>
        <v>0.3</v>
      </c>
      <c r="R1394" s="28" t="n">
        <f aca="false">P1394*(1+Q1394)</f>
        <v>54600</v>
      </c>
      <c r="S1394" s="28" t="n">
        <f aca="false">R1394*(1-TradeDiscount)</f>
        <v>48048</v>
      </c>
      <c r="T1394" s="28" t="n">
        <f aca="false">R1394*(1-VolumeDiscount)</f>
        <v>43680</v>
      </c>
    </row>
    <row r="1395" customFormat="false" ht="15" hidden="false" customHeight="false" outlineLevel="0" collapsed="false">
      <c r="A1395" s="29" t="s">
        <v>3062</v>
      </c>
      <c r="B1395" s="29" t="s">
        <v>120</v>
      </c>
      <c r="C1395" s="29" t="s">
        <v>2997</v>
      </c>
      <c r="D1395" s="29" t="s">
        <v>3063</v>
      </c>
      <c r="E1395" s="29" t="s">
        <v>3057</v>
      </c>
      <c r="F1395" s="29" t="s">
        <v>3000</v>
      </c>
      <c r="G1395" s="29" t="s">
        <v>39</v>
      </c>
      <c r="H1395" s="29" t="s">
        <v>67</v>
      </c>
      <c r="I1395" s="29" t="s">
        <v>190</v>
      </c>
      <c r="J1395" s="29" t="s">
        <v>3002</v>
      </c>
      <c r="K1395" s="29" t="s">
        <v>298</v>
      </c>
      <c r="L1395" s="29"/>
      <c r="M1395" s="29"/>
      <c r="N1395" s="29"/>
      <c r="O1395" s="29"/>
      <c r="P1395" s="34" t="n">
        <v>42000</v>
      </c>
      <c r="Q1395" s="31" t="n">
        <f aca="false">INDEX(Markup_Vals,MATCH("Facade &amp; Structural Systems",MarkupCat_Keys,0))</f>
        <v>0.3</v>
      </c>
      <c r="R1395" s="32" t="n">
        <f aca="false">P1395*(1+Q1395)</f>
        <v>54600</v>
      </c>
      <c r="S1395" s="32" t="n">
        <f aca="false">R1395*(1-TradeDiscount)</f>
        <v>48048</v>
      </c>
      <c r="T1395" s="32" t="n">
        <f aca="false">R1395*(1-VolumeDiscount)</f>
        <v>43680</v>
      </c>
    </row>
    <row r="1396" customFormat="false" ht="15" hidden="false" customHeight="false" outlineLevel="0" collapsed="false">
      <c r="A1396" s="25" t="s">
        <v>3064</v>
      </c>
      <c r="B1396" s="25" t="s">
        <v>120</v>
      </c>
      <c r="C1396" s="25" t="s">
        <v>3065</v>
      </c>
      <c r="D1396" s="25" t="s">
        <v>3066</v>
      </c>
      <c r="E1396" s="25" t="s">
        <v>3067</v>
      </c>
      <c r="F1396" s="25" t="s">
        <v>3068</v>
      </c>
      <c r="G1396" s="25" t="s">
        <v>35</v>
      </c>
      <c r="H1396" s="25" t="s">
        <v>64</v>
      </c>
      <c r="I1396" s="25" t="s">
        <v>3039</v>
      </c>
      <c r="J1396" s="25" t="s">
        <v>3002</v>
      </c>
      <c r="K1396" s="25" t="s">
        <v>3069</v>
      </c>
      <c r="L1396" s="25"/>
      <c r="M1396" s="25"/>
      <c r="N1396" s="25"/>
      <c r="O1396" s="25"/>
      <c r="P1396" s="33" t="n">
        <v>3150</v>
      </c>
      <c r="Q1396" s="27" t="n">
        <f aca="false">INDEX(Markup_Vals,MATCH("Facade &amp; Structural Systems",MarkupCat_Keys,0))</f>
        <v>0.3</v>
      </c>
      <c r="R1396" s="28" t="n">
        <f aca="false">P1396*(1+Q1396)</f>
        <v>4095</v>
      </c>
      <c r="S1396" s="28" t="n">
        <f aca="false">R1396*(1-TradeDiscount)</f>
        <v>3603.6</v>
      </c>
      <c r="T1396" s="28" t="n">
        <f aca="false">R1396*(1-VolumeDiscount)</f>
        <v>3276</v>
      </c>
    </row>
    <row r="1397" customFormat="false" ht="15" hidden="false" customHeight="false" outlineLevel="0" collapsed="false">
      <c r="A1397" s="29" t="s">
        <v>3070</v>
      </c>
      <c r="B1397" s="29" t="s">
        <v>120</v>
      </c>
      <c r="C1397" s="29" t="s">
        <v>3065</v>
      </c>
      <c r="D1397" s="29" t="s">
        <v>3071</v>
      </c>
      <c r="E1397" s="29" t="s">
        <v>3067</v>
      </c>
      <c r="F1397" s="29" t="s">
        <v>3068</v>
      </c>
      <c r="G1397" s="29" t="s">
        <v>36</v>
      </c>
      <c r="H1397" s="29" t="s">
        <v>64</v>
      </c>
      <c r="I1397" s="29" t="s">
        <v>3039</v>
      </c>
      <c r="J1397" s="29" t="s">
        <v>3002</v>
      </c>
      <c r="K1397" s="29" t="s">
        <v>3069</v>
      </c>
      <c r="L1397" s="29"/>
      <c r="M1397" s="29"/>
      <c r="N1397" s="29"/>
      <c r="O1397" s="29"/>
      <c r="P1397" s="34" t="n">
        <v>3150</v>
      </c>
      <c r="Q1397" s="31" t="n">
        <f aca="false">INDEX(Markup_Vals,MATCH("Facade &amp; Structural Systems",MarkupCat_Keys,0))</f>
        <v>0.3</v>
      </c>
      <c r="R1397" s="32" t="n">
        <f aca="false">P1397*(1+Q1397)</f>
        <v>4095</v>
      </c>
      <c r="S1397" s="32" t="n">
        <f aca="false">R1397*(1-TradeDiscount)</f>
        <v>3603.6</v>
      </c>
      <c r="T1397" s="32" t="n">
        <f aca="false">R1397*(1-VolumeDiscount)</f>
        <v>3276</v>
      </c>
    </row>
    <row r="1398" customFormat="false" ht="15" hidden="false" customHeight="false" outlineLevel="0" collapsed="false">
      <c r="A1398" s="25" t="s">
        <v>3072</v>
      </c>
      <c r="B1398" s="25" t="s">
        <v>120</v>
      </c>
      <c r="C1398" s="25" t="s">
        <v>3065</v>
      </c>
      <c r="D1398" s="25" t="s">
        <v>3073</v>
      </c>
      <c r="E1398" s="25" t="s">
        <v>3067</v>
      </c>
      <c r="F1398" s="25" t="s">
        <v>3068</v>
      </c>
      <c r="G1398" s="25" t="s">
        <v>37</v>
      </c>
      <c r="H1398" s="25" t="s">
        <v>64</v>
      </c>
      <c r="I1398" s="25" t="s">
        <v>3039</v>
      </c>
      <c r="J1398" s="25" t="s">
        <v>3002</v>
      </c>
      <c r="K1398" s="25" t="s">
        <v>3069</v>
      </c>
      <c r="L1398" s="25"/>
      <c r="M1398" s="25"/>
      <c r="N1398" s="25"/>
      <c r="O1398" s="25"/>
      <c r="P1398" s="33" t="n">
        <v>3150</v>
      </c>
      <c r="Q1398" s="27" t="n">
        <f aca="false">INDEX(Markup_Vals,MATCH("Facade &amp; Structural Systems",MarkupCat_Keys,0))</f>
        <v>0.3</v>
      </c>
      <c r="R1398" s="28" t="n">
        <f aca="false">P1398*(1+Q1398)</f>
        <v>4095</v>
      </c>
      <c r="S1398" s="28" t="n">
        <f aca="false">R1398*(1-TradeDiscount)</f>
        <v>3603.6</v>
      </c>
      <c r="T1398" s="28" t="n">
        <f aca="false">R1398*(1-VolumeDiscount)</f>
        <v>3276</v>
      </c>
    </row>
    <row r="1399" customFormat="false" ht="15" hidden="false" customHeight="false" outlineLevel="0" collapsed="false">
      <c r="A1399" s="29" t="s">
        <v>3074</v>
      </c>
      <c r="B1399" s="29" t="s">
        <v>120</v>
      </c>
      <c r="C1399" s="29" t="s">
        <v>3065</v>
      </c>
      <c r="D1399" s="29" t="s">
        <v>3075</v>
      </c>
      <c r="E1399" s="29" t="s">
        <v>3067</v>
      </c>
      <c r="F1399" s="29" t="s">
        <v>3068</v>
      </c>
      <c r="G1399" s="29" t="s">
        <v>35</v>
      </c>
      <c r="H1399" s="29" t="s">
        <v>65</v>
      </c>
      <c r="I1399" s="29" t="s">
        <v>3039</v>
      </c>
      <c r="J1399" s="29" t="s">
        <v>3002</v>
      </c>
      <c r="K1399" s="29" t="s">
        <v>3069</v>
      </c>
      <c r="L1399" s="29"/>
      <c r="M1399" s="29"/>
      <c r="N1399" s="29"/>
      <c r="O1399" s="29"/>
      <c r="P1399" s="34" t="n">
        <v>2620</v>
      </c>
      <c r="Q1399" s="31" t="n">
        <f aca="false">INDEX(Markup_Vals,MATCH("Facade &amp; Structural Systems",MarkupCat_Keys,0))</f>
        <v>0.3</v>
      </c>
      <c r="R1399" s="32" t="n">
        <f aca="false">P1399*(1+Q1399)</f>
        <v>3406</v>
      </c>
      <c r="S1399" s="32" t="n">
        <f aca="false">R1399*(1-TradeDiscount)</f>
        <v>2997.28</v>
      </c>
      <c r="T1399" s="32" t="n">
        <f aca="false">R1399*(1-VolumeDiscount)</f>
        <v>2724.8</v>
      </c>
    </row>
    <row r="1400" customFormat="false" ht="15" hidden="false" customHeight="false" outlineLevel="0" collapsed="false">
      <c r="A1400" s="25" t="s">
        <v>3076</v>
      </c>
      <c r="B1400" s="25" t="s">
        <v>120</v>
      </c>
      <c r="C1400" s="25" t="s">
        <v>3065</v>
      </c>
      <c r="D1400" s="25" t="s">
        <v>3077</v>
      </c>
      <c r="E1400" s="25" t="s">
        <v>3067</v>
      </c>
      <c r="F1400" s="25" t="s">
        <v>3068</v>
      </c>
      <c r="G1400" s="25" t="s">
        <v>36</v>
      </c>
      <c r="H1400" s="25" t="s">
        <v>65</v>
      </c>
      <c r="I1400" s="25" t="s">
        <v>3039</v>
      </c>
      <c r="J1400" s="25" t="s">
        <v>3002</v>
      </c>
      <c r="K1400" s="25" t="s">
        <v>3069</v>
      </c>
      <c r="L1400" s="25"/>
      <c r="M1400" s="25"/>
      <c r="N1400" s="25"/>
      <c r="O1400" s="25"/>
      <c r="P1400" s="33" t="n">
        <v>2620</v>
      </c>
      <c r="Q1400" s="27" t="n">
        <f aca="false">INDEX(Markup_Vals,MATCH("Facade &amp; Structural Systems",MarkupCat_Keys,0))</f>
        <v>0.3</v>
      </c>
      <c r="R1400" s="28" t="n">
        <f aca="false">P1400*(1+Q1400)</f>
        <v>3406</v>
      </c>
      <c r="S1400" s="28" t="n">
        <f aca="false">R1400*(1-TradeDiscount)</f>
        <v>2997.28</v>
      </c>
      <c r="T1400" s="28" t="n">
        <f aca="false">R1400*(1-VolumeDiscount)</f>
        <v>2724.8</v>
      </c>
    </row>
    <row r="1401" customFormat="false" ht="15" hidden="false" customHeight="false" outlineLevel="0" collapsed="false">
      <c r="A1401" s="29" t="s">
        <v>3078</v>
      </c>
      <c r="B1401" s="29" t="s">
        <v>120</v>
      </c>
      <c r="C1401" s="29" t="s">
        <v>3065</v>
      </c>
      <c r="D1401" s="29" t="s">
        <v>3079</v>
      </c>
      <c r="E1401" s="29" t="s">
        <v>3067</v>
      </c>
      <c r="F1401" s="29" t="s">
        <v>3068</v>
      </c>
      <c r="G1401" s="29" t="s">
        <v>37</v>
      </c>
      <c r="H1401" s="29" t="s">
        <v>65</v>
      </c>
      <c r="I1401" s="29" t="s">
        <v>3039</v>
      </c>
      <c r="J1401" s="29" t="s">
        <v>3002</v>
      </c>
      <c r="K1401" s="29" t="s">
        <v>3069</v>
      </c>
      <c r="L1401" s="29"/>
      <c r="M1401" s="29"/>
      <c r="N1401" s="29"/>
      <c r="O1401" s="29"/>
      <c r="P1401" s="34" t="n">
        <v>2620</v>
      </c>
      <c r="Q1401" s="31" t="n">
        <f aca="false">INDEX(Markup_Vals,MATCH("Facade &amp; Structural Systems",MarkupCat_Keys,0))</f>
        <v>0.3</v>
      </c>
      <c r="R1401" s="32" t="n">
        <f aca="false">P1401*(1+Q1401)</f>
        <v>3406</v>
      </c>
      <c r="S1401" s="32" t="n">
        <f aca="false">R1401*(1-TradeDiscount)</f>
        <v>2997.28</v>
      </c>
      <c r="T1401" s="32" t="n">
        <f aca="false">R1401*(1-VolumeDiscount)</f>
        <v>2724.8</v>
      </c>
    </row>
    <row r="1402" customFormat="false" ht="15" hidden="false" customHeight="false" outlineLevel="0" collapsed="false">
      <c r="A1402" s="25" t="s">
        <v>3080</v>
      </c>
      <c r="B1402" s="25" t="s">
        <v>120</v>
      </c>
      <c r="C1402" s="25" t="s">
        <v>3065</v>
      </c>
      <c r="D1402" s="25" t="s">
        <v>3081</v>
      </c>
      <c r="E1402" s="25" t="s">
        <v>3067</v>
      </c>
      <c r="F1402" s="25" t="s">
        <v>3068</v>
      </c>
      <c r="G1402" s="25" t="s">
        <v>35</v>
      </c>
      <c r="H1402" s="25" t="s">
        <v>73</v>
      </c>
      <c r="I1402" s="25" t="s">
        <v>3039</v>
      </c>
      <c r="J1402" s="25" t="s">
        <v>3002</v>
      </c>
      <c r="K1402" s="25" t="s">
        <v>3069</v>
      </c>
      <c r="L1402" s="25"/>
      <c r="M1402" s="25"/>
      <c r="N1402" s="25"/>
      <c r="O1402" s="25"/>
      <c r="P1402" s="33" t="n">
        <v>3300</v>
      </c>
      <c r="Q1402" s="27" t="n">
        <f aca="false">INDEX(Markup_Vals,MATCH("Facade &amp; Structural Systems",MarkupCat_Keys,0))</f>
        <v>0.3</v>
      </c>
      <c r="R1402" s="28" t="n">
        <f aca="false">P1402*(1+Q1402)</f>
        <v>4290</v>
      </c>
      <c r="S1402" s="28" t="n">
        <f aca="false">R1402*(1-TradeDiscount)</f>
        <v>3775.2</v>
      </c>
      <c r="T1402" s="28" t="n">
        <f aca="false">R1402*(1-VolumeDiscount)</f>
        <v>3432</v>
      </c>
    </row>
    <row r="1403" customFormat="false" ht="15" hidden="false" customHeight="false" outlineLevel="0" collapsed="false">
      <c r="A1403" s="29" t="s">
        <v>3082</v>
      </c>
      <c r="B1403" s="29" t="s">
        <v>120</v>
      </c>
      <c r="C1403" s="29" t="s">
        <v>3065</v>
      </c>
      <c r="D1403" s="29" t="s">
        <v>3083</v>
      </c>
      <c r="E1403" s="29" t="s">
        <v>3067</v>
      </c>
      <c r="F1403" s="29" t="s">
        <v>3068</v>
      </c>
      <c r="G1403" s="29" t="s">
        <v>36</v>
      </c>
      <c r="H1403" s="29" t="s">
        <v>73</v>
      </c>
      <c r="I1403" s="29" t="s">
        <v>3039</v>
      </c>
      <c r="J1403" s="29" t="s">
        <v>3002</v>
      </c>
      <c r="K1403" s="29" t="s">
        <v>3069</v>
      </c>
      <c r="L1403" s="29"/>
      <c r="M1403" s="29"/>
      <c r="N1403" s="29"/>
      <c r="O1403" s="29"/>
      <c r="P1403" s="34" t="n">
        <v>3300</v>
      </c>
      <c r="Q1403" s="31" t="n">
        <f aca="false">INDEX(Markup_Vals,MATCH("Facade &amp; Structural Systems",MarkupCat_Keys,0))</f>
        <v>0.3</v>
      </c>
      <c r="R1403" s="32" t="n">
        <f aca="false">P1403*(1+Q1403)</f>
        <v>4290</v>
      </c>
      <c r="S1403" s="32" t="n">
        <f aca="false">R1403*(1-TradeDiscount)</f>
        <v>3775.2</v>
      </c>
      <c r="T1403" s="32" t="n">
        <f aca="false">R1403*(1-VolumeDiscount)</f>
        <v>3432</v>
      </c>
    </row>
    <row r="1404" customFormat="false" ht="15" hidden="false" customHeight="false" outlineLevel="0" collapsed="false">
      <c r="A1404" s="25" t="s">
        <v>3084</v>
      </c>
      <c r="B1404" s="25" t="s">
        <v>120</v>
      </c>
      <c r="C1404" s="25" t="s">
        <v>3065</v>
      </c>
      <c r="D1404" s="25" t="s">
        <v>3085</v>
      </c>
      <c r="E1404" s="25" t="s">
        <v>3067</v>
      </c>
      <c r="F1404" s="25" t="s">
        <v>3068</v>
      </c>
      <c r="G1404" s="25" t="s">
        <v>37</v>
      </c>
      <c r="H1404" s="25" t="s">
        <v>73</v>
      </c>
      <c r="I1404" s="25" t="s">
        <v>3039</v>
      </c>
      <c r="J1404" s="25" t="s">
        <v>3002</v>
      </c>
      <c r="K1404" s="25" t="s">
        <v>3069</v>
      </c>
      <c r="L1404" s="25"/>
      <c r="M1404" s="25"/>
      <c r="N1404" s="25"/>
      <c r="O1404" s="25"/>
      <c r="P1404" s="33" t="n">
        <v>3300</v>
      </c>
      <c r="Q1404" s="27" t="n">
        <f aca="false">INDEX(Markup_Vals,MATCH("Facade &amp; Structural Systems",MarkupCat_Keys,0))</f>
        <v>0.3</v>
      </c>
      <c r="R1404" s="28" t="n">
        <f aca="false">P1404*(1+Q1404)</f>
        <v>4290</v>
      </c>
      <c r="S1404" s="28" t="n">
        <f aca="false">R1404*(1-TradeDiscount)</f>
        <v>3775.2</v>
      </c>
      <c r="T1404" s="28" t="n">
        <f aca="false">R1404*(1-VolumeDiscount)</f>
        <v>3432</v>
      </c>
    </row>
    <row r="1405" customFormat="false" ht="15" hidden="false" customHeight="false" outlineLevel="0" collapsed="false">
      <c r="A1405" s="29" t="s">
        <v>3086</v>
      </c>
      <c r="B1405" s="29" t="s">
        <v>120</v>
      </c>
      <c r="C1405" s="29" t="s">
        <v>3065</v>
      </c>
      <c r="D1405" s="29" t="s">
        <v>3087</v>
      </c>
      <c r="E1405" s="29" t="s">
        <v>3088</v>
      </c>
      <c r="F1405" s="29" t="s">
        <v>3068</v>
      </c>
      <c r="G1405" s="29" t="s">
        <v>35</v>
      </c>
      <c r="H1405" s="29" t="s">
        <v>64</v>
      </c>
      <c r="I1405" s="29" t="s">
        <v>3039</v>
      </c>
      <c r="J1405" s="29" t="s">
        <v>3002</v>
      </c>
      <c r="K1405" s="29" t="s">
        <v>3069</v>
      </c>
      <c r="L1405" s="29"/>
      <c r="M1405" s="29"/>
      <c r="N1405" s="29"/>
      <c r="O1405" s="29"/>
      <c r="P1405" s="34" t="n">
        <v>2550</v>
      </c>
      <c r="Q1405" s="31" t="n">
        <f aca="false">INDEX(Markup_Vals,MATCH("Facade &amp; Structural Systems",MarkupCat_Keys,0))</f>
        <v>0.3</v>
      </c>
      <c r="R1405" s="32" t="n">
        <f aca="false">P1405*(1+Q1405)</f>
        <v>3315</v>
      </c>
      <c r="S1405" s="32" t="n">
        <f aca="false">R1405*(1-TradeDiscount)</f>
        <v>2917.2</v>
      </c>
      <c r="T1405" s="32" t="n">
        <f aca="false">R1405*(1-VolumeDiscount)</f>
        <v>2652</v>
      </c>
    </row>
    <row r="1406" customFormat="false" ht="15" hidden="false" customHeight="false" outlineLevel="0" collapsed="false">
      <c r="A1406" s="25" t="s">
        <v>3089</v>
      </c>
      <c r="B1406" s="25" t="s">
        <v>120</v>
      </c>
      <c r="C1406" s="25" t="s">
        <v>3065</v>
      </c>
      <c r="D1406" s="25" t="s">
        <v>3090</v>
      </c>
      <c r="E1406" s="25" t="s">
        <v>3088</v>
      </c>
      <c r="F1406" s="25" t="s">
        <v>3068</v>
      </c>
      <c r="G1406" s="25" t="s">
        <v>36</v>
      </c>
      <c r="H1406" s="25" t="s">
        <v>64</v>
      </c>
      <c r="I1406" s="25" t="s">
        <v>3039</v>
      </c>
      <c r="J1406" s="25" t="s">
        <v>3002</v>
      </c>
      <c r="K1406" s="25" t="s">
        <v>3069</v>
      </c>
      <c r="L1406" s="25"/>
      <c r="M1406" s="25"/>
      <c r="N1406" s="25"/>
      <c r="O1406" s="25"/>
      <c r="P1406" s="33" t="n">
        <v>2550</v>
      </c>
      <c r="Q1406" s="27" t="n">
        <f aca="false">INDEX(Markup_Vals,MATCH("Facade &amp; Structural Systems",MarkupCat_Keys,0))</f>
        <v>0.3</v>
      </c>
      <c r="R1406" s="28" t="n">
        <f aca="false">P1406*(1+Q1406)</f>
        <v>3315</v>
      </c>
      <c r="S1406" s="28" t="n">
        <f aca="false">R1406*(1-TradeDiscount)</f>
        <v>2917.2</v>
      </c>
      <c r="T1406" s="28" t="n">
        <f aca="false">R1406*(1-VolumeDiscount)</f>
        <v>2652</v>
      </c>
    </row>
    <row r="1407" customFormat="false" ht="15" hidden="false" customHeight="false" outlineLevel="0" collapsed="false">
      <c r="A1407" s="29" t="s">
        <v>3091</v>
      </c>
      <c r="B1407" s="29" t="s">
        <v>120</v>
      </c>
      <c r="C1407" s="29" t="s">
        <v>3065</v>
      </c>
      <c r="D1407" s="29" t="s">
        <v>3092</v>
      </c>
      <c r="E1407" s="29" t="s">
        <v>3088</v>
      </c>
      <c r="F1407" s="29" t="s">
        <v>3068</v>
      </c>
      <c r="G1407" s="29" t="s">
        <v>37</v>
      </c>
      <c r="H1407" s="29" t="s">
        <v>64</v>
      </c>
      <c r="I1407" s="29" t="s">
        <v>3039</v>
      </c>
      <c r="J1407" s="29" t="s">
        <v>3002</v>
      </c>
      <c r="K1407" s="29" t="s">
        <v>3069</v>
      </c>
      <c r="L1407" s="29"/>
      <c r="M1407" s="29"/>
      <c r="N1407" s="29"/>
      <c r="O1407" s="29"/>
      <c r="P1407" s="34" t="n">
        <v>2550</v>
      </c>
      <c r="Q1407" s="31" t="n">
        <f aca="false">INDEX(Markup_Vals,MATCH("Facade &amp; Structural Systems",MarkupCat_Keys,0))</f>
        <v>0.3</v>
      </c>
      <c r="R1407" s="32" t="n">
        <f aca="false">P1407*(1+Q1407)</f>
        <v>3315</v>
      </c>
      <c r="S1407" s="32" t="n">
        <f aca="false">R1407*(1-TradeDiscount)</f>
        <v>2917.2</v>
      </c>
      <c r="T1407" s="32" t="n">
        <f aca="false">R1407*(1-VolumeDiscount)</f>
        <v>2652</v>
      </c>
    </row>
    <row r="1408" customFormat="false" ht="15" hidden="false" customHeight="false" outlineLevel="0" collapsed="false">
      <c r="A1408" s="25" t="s">
        <v>3093</v>
      </c>
      <c r="B1408" s="25" t="s">
        <v>120</v>
      </c>
      <c r="C1408" s="25" t="s">
        <v>3065</v>
      </c>
      <c r="D1408" s="25" t="s">
        <v>3094</v>
      </c>
      <c r="E1408" s="25" t="s">
        <v>3088</v>
      </c>
      <c r="F1408" s="25" t="s">
        <v>3068</v>
      </c>
      <c r="G1408" s="25" t="s">
        <v>35</v>
      </c>
      <c r="H1408" s="25" t="s">
        <v>65</v>
      </c>
      <c r="I1408" s="25" t="s">
        <v>3039</v>
      </c>
      <c r="J1408" s="25" t="s">
        <v>3002</v>
      </c>
      <c r="K1408" s="25" t="s">
        <v>3069</v>
      </c>
      <c r="L1408" s="25"/>
      <c r="M1408" s="25"/>
      <c r="N1408" s="25"/>
      <c r="O1408" s="25"/>
      <c r="P1408" s="33" t="n">
        <v>2020</v>
      </c>
      <c r="Q1408" s="27" t="n">
        <f aca="false">INDEX(Markup_Vals,MATCH("Facade &amp; Structural Systems",MarkupCat_Keys,0))</f>
        <v>0.3</v>
      </c>
      <c r="R1408" s="28" t="n">
        <f aca="false">P1408*(1+Q1408)</f>
        <v>2626</v>
      </c>
      <c r="S1408" s="28" t="n">
        <f aca="false">R1408*(1-TradeDiscount)</f>
        <v>2310.88</v>
      </c>
      <c r="T1408" s="28" t="n">
        <f aca="false">R1408*(1-VolumeDiscount)</f>
        <v>2100.8</v>
      </c>
    </row>
    <row r="1409" customFormat="false" ht="15" hidden="false" customHeight="false" outlineLevel="0" collapsed="false">
      <c r="A1409" s="29" t="s">
        <v>3095</v>
      </c>
      <c r="B1409" s="29" t="s">
        <v>120</v>
      </c>
      <c r="C1409" s="29" t="s">
        <v>3065</v>
      </c>
      <c r="D1409" s="29" t="s">
        <v>3096</v>
      </c>
      <c r="E1409" s="29" t="s">
        <v>3088</v>
      </c>
      <c r="F1409" s="29" t="s">
        <v>3068</v>
      </c>
      <c r="G1409" s="29" t="s">
        <v>36</v>
      </c>
      <c r="H1409" s="29" t="s">
        <v>65</v>
      </c>
      <c r="I1409" s="29" t="s">
        <v>3039</v>
      </c>
      <c r="J1409" s="29" t="s">
        <v>3002</v>
      </c>
      <c r="K1409" s="29" t="s">
        <v>3069</v>
      </c>
      <c r="L1409" s="29"/>
      <c r="M1409" s="29"/>
      <c r="N1409" s="29"/>
      <c r="O1409" s="29"/>
      <c r="P1409" s="34" t="n">
        <v>2020</v>
      </c>
      <c r="Q1409" s="31" t="n">
        <f aca="false">INDEX(Markup_Vals,MATCH("Facade &amp; Structural Systems",MarkupCat_Keys,0))</f>
        <v>0.3</v>
      </c>
      <c r="R1409" s="32" t="n">
        <f aca="false">P1409*(1+Q1409)</f>
        <v>2626</v>
      </c>
      <c r="S1409" s="32" t="n">
        <f aca="false">R1409*(1-TradeDiscount)</f>
        <v>2310.88</v>
      </c>
      <c r="T1409" s="32" t="n">
        <f aca="false">R1409*(1-VolumeDiscount)</f>
        <v>2100.8</v>
      </c>
    </row>
    <row r="1410" customFormat="false" ht="15" hidden="false" customHeight="false" outlineLevel="0" collapsed="false">
      <c r="A1410" s="25" t="s">
        <v>3097</v>
      </c>
      <c r="B1410" s="25" t="s">
        <v>120</v>
      </c>
      <c r="C1410" s="25" t="s">
        <v>3065</v>
      </c>
      <c r="D1410" s="25" t="s">
        <v>3098</v>
      </c>
      <c r="E1410" s="25" t="s">
        <v>3088</v>
      </c>
      <c r="F1410" s="25" t="s">
        <v>3068</v>
      </c>
      <c r="G1410" s="25" t="s">
        <v>37</v>
      </c>
      <c r="H1410" s="25" t="s">
        <v>65</v>
      </c>
      <c r="I1410" s="25" t="s">
        <v>3039</v>
      </c>
      <c r="J1410" s="25" t="s">
        <v>3002</v>
      </c>
      <c r="K1410" s="25" t="s">
        <v>3069</v>
      </c>
      <c r="L1410" s="25"/>
      <c r="M1410" s="25"/>
      <c r="N1410" s="25"/>
      <c r="O1410" s="25"/>
      <c r="P1410" s="33" t="n">
        <v>2020</v>
      </c>
      <c r="Q1410" s="27" t="n">
        <f aca="false">INDEX(Markup_Vals,MATCH("Facade &amp; Structural Systems",MarkupCat_Keys,0))</f>
        <v>0.3</v>
      </c>
      <c r="R1410" s="28" t="n">
        <f aca="false">P1410*(1+Q1410)</f>
        <v>2626</v>
      </c>
      <c r="S1410" s="28" t="n">
        <f aca="false">R1410*(1-TradeDiscount)</f>
        <v>2310.88</v>
      </c>
      <c r="T1410" s="28" t="n">
        <f aca="false">R1410*(1-VolumeDiscount)</f>
        <v>2100.8</v>
      </c>
    </row>
    <row r="1411" customFormat="false" ht="15" hidden="false" customHeight="false" outlineLevel="0" collapsed="false">
      <c r="A1411" s="29" t="s">
        <v>3099</v>
      </c>
      <c r="B1411" s="29" t="s">
        <v>120</v>
      </c>
      <c r="C1411" s="29" t="s">
        <v>3065</v>
      </c>
      <c r="D1411" s="29" t="s">
        <v>3100</v>
      </c>
      <c r="E1411" s="29" t="s">
        <v>3088</v>
      </c>
      <c r="F1411" s="29" t="s">
        <v>3068</v>
      </c>
      <c r="G1411" s="29" t="s">
        <v>35</v>
      </c>
      <c r="H1411" s="29" t="s">
        <v>73</v>
      </c>
      <c r="I1411" s="29" t="s">
        <v>3039</v>
      </c>
      <c r="J1411" s="29" t="s">
        <v>3002</v>
      </c>
      <c r="K1411" s="29" t="s">
        <v>3069</v>
      </c>
      <c r="L1411" s="29"/>
      <c r="M1411" s="29"/>
      <c r="N1411" s="29"/>
      <c r="O1411" s="29"/>
      <c r="P1411" s="34" t="n">
        <v>2700</v>
      </c>
      <c r="Q1411" s="31" t="n">
        <f aca="false">INDEX(Markup_Vals,MATCH("Facade &amp; Structural Systems",MarkupCat_Keys,0))</f>
        <v>0.3</v>
      </c>
      <c r="R1411" s="32" t="n">
        <f aca="false">P1411*(1+Q1411)</f>
        <v>3510</v>
      </c>
      <c r="S1411" s="32" t="n">
        <f aca="false">R1411*(1-TradeDiscount)</f>
        <v>3088.8</v>
      </c>
      <c r="T1411" s="32" t="n">
        <f aca="false">R1411*(1-VolumeDiscount)</f>
        <v>2808</v>
      </c>
    </row>
    <row r="1412" customFormat="false" ht="15" hidden="false" customHeight="false" outlineLevel="0" collapsed="false">
      <c r="A1412" s="25" t="s">
        <v>3101</v>
      </c>
      <c r="B1412" s="25" t="s">
        <v>120</v>
      </c>
      <c r="C1412" s="25" t="s">
        <v>3065</v>
      </c>
      <c r="D1412" s="25" t="s">
        <v>3102</v>
      </c>
      <c r="E1412" s="25" t="s">
        <v>3088</v>
      </c>
      <c r="F1412" s="25" t="s">
        <v>3068</v>
      </c>
      <c r="G1412" s="25" t="s">
        <v>36</v>
      </c>
      <c r="H1412" s="25" t="s">
        <v>73</v>
      </c>
      <c r="I1412" s="25" t="s">
        <v>3039</v>
      </c>
      <c r="J1412" s="25" t="s">
        <v>3002</v>
      </c>
      <c r="K1412" s="25" t="s">
        <v>3069</v>
      </c>
      <c r="L1412" s="25"/>
      <c r="M1412" s="25"/>
      <c r="N1412" s="25"/>
      <c r="O1412" s="25"/>
      <c r="P1412" s="33" t="n">
        <v>2700</v>
      </c>
      <c r="Q1412" s="27" t="n">
        <f aca="false">INDEX(Markup_Vals,MATCH("Facade &amp; Structural Systems",MarkupCat_Keys,0))</f>
        <v>0.3</v>
      </c>
      <c r="R1412" s="28" t="n">
        <f aca="false">P1412*(1+Q1412)</f>
        <v>3510</v>
      </c>
      <c r="S1412" s="28" t="n">
        <f aca="false">R1412*(1-TradeDiscount)</f>
        <v>3088.8</v>
      </c>
      <c r="T1412" s="28" t="n">
        <f aca="false">R1412*(1-VolumeDiscount)</f>
        <v>2808</v>
      </c>
    </row>
    <row r="1413" customFormat="false" ht="15" hidden="false" customHeight="false" outlineLevel="0" collapsed="false">
      <c r="A1413" s="29" t="s">
        <v>3103</v>
      </c>
      <c r="B1413" s="29" t="s">
        <v>120</v>
      </c>
      <c r="C1413" s="29" t="s">
        <v>3065</v>
      </c>
      <c r="D1413" s="29" t="s">
        <v>3104</v>
      </c>
      <c r="E1413" s="29" t="s">
        <v>3088</v>
      </c>
      <c r="F1413" s="29" t="s">
        <v>3068</v>
      </c>
      <c r="G1413" s="29" t="s">
        <v>37</v>
      </c>
      <c r="H1413" s="29" t="s">
        <v>73</v>
      </c>
      <c r="I1413" s="29" t="s">
        <v>3039</v>
      </c>
      <c r="J1413" s="29" t="s">
        <v>3002</v>
      </c>
      <c r="K1413" s="29" t="s">
        <v>3069</v>
      </c>
      <c r="L1413" s="29"/>
      <c r="M1413" s="29"/>
      <c r="N1413" s="29"/>
      <c r="O1413" s="29"/>
      <c r="P1413" s="34" t="n">
        <v>2700</v>
      </c>
      <c r="Q1413" s="31" t="n">
        <f aca="false">INDEX(Markup_Vals,MATCH("Facade &amp; Structural Systems",MarkupCat_Keys,0))</f>
        <v>0.3</v>
      </c>
      <c r="R1413" s="32" t="n">
        <f aca="false">P1413*(1+Q1413)</f>
        <v>3510</v>
      </c>
      <c r="S1413" s="32" t="n">
        <f aca="false">R1413*(1-TradeDiscount)</f>
        <v>3088.8</v>
      </c>
      <c r="T1413" s="32" t="n">
        <f aca="false">R1413*(1-VolumeDiscount)</f>
        <v>2808</v>
      </c>
    </row>
    <row r="1414" customFormat="false" ht="15" hidden="false" customHeight="false" outlineLevel="0" collapsed="false">
      <c r="A1414" s="25" t="s">
        <v>3105</v>
      </c>
      <c r="B1414" s="25" t="s">
        <v>120</v>
      </c>
      <c r="C1414" s="25" t="s">
        <v>3065</v>
      </c>
      <c r="D1414" s="25" t="s">
        <v>3106</v>
      </c>
      <c r="E1414" s="25" t="s">
        <v>3107</v>
      </c>
      <c r="F1414" s="25" t="s">
        <v>3068</v>
      </c>
      <c r="G1414" s="25" t="s">
        <v>35</v>
      </c>
      <c r="H1414" s="25" t="s">
        <v>64</v>
      </c>
      <c r="I1414" s="25" t="s">
        <v>3039</v>
      </c>
      <c r="J1414" s="25" t="s">
        <v>3002</v>
      </c>
      <c r="K1414" s="25" t="s">
        <v>3069</v>
      </c>
      <c r="L1414" s="25"/>
      <c r="M1414" s="25"/>
      <c r="N1414" s="25"/>
      <c r="O1414" s="25"/>
      <c r="P1414" s="33" t="n">
        <v>3550</v>
      </c>
      <c r="Q1414" s="27" t="n">
        <f aca="false">INDEX(Markup_Vals,MATCH("Facade &amp; Structural Systems",MarkupCat_Keys,0))</f>
        <v>0.3</v>
      </c>
      <c r="R1414" s="28" t="n">
        <f aca="false">P1414*(1+Q1414)</f>
        <v>4615</v>
      </c>
      <c r="S1414" s="28" t="n">
        <f aca="false">R1414*(1-TradeDiscount)</f>
        <v>4061.2</v>
      </c>
      <c r="T1414" s="28" t="n">
        <f aca="false">R1414*(1-VolumeDiscount)</f>
        <v>3692</v>
      </c>
    </row>
    <row r="1415" customFormat="false" ht="15" hidden="false" customHeight="false" outlineLevel="0" collapsed="false">
      <c r="A1415" s="29" t="s">
        <v>3108</v>
      </c>
      <c r="B1415" s="29" t="s">
        <v>120</v>
      </c>
      <c r="C1415" s="29" t="s">
        <v>3065</v>
      </c>
      <c r="D1415" s="29" t="s">
        <v>3109</v>
      </c>
      <c r="E1415" s="29" t="s">
        <v>3107</v>
      </c>
      <c r="F1415" s="29" t="s">
        <v>3068</v>
      </c>
      <c r="G1415" s="29" t="s">
        <v>36</v>
      </c>
      <c r="H1415" s="29" t="s">
        <v>64</v>
      </c>
      <c r="I1415" s="29" t="s">
        <v>3039</v>
      </c>
      <c r="J1415" s="29" t="s">
        <v>3002</v>
      </c>
      <c r="K1415" s="29" t="s">
        <v>3069</v>
      </c>
      <c r="L1415" s="29"/>
      <c r="M1415" s="29"/>
      <c r="N1415" s="29"/>
      <c r="O1415" s="29"/>
      <c r="P1415" s="34" t="n">
        <v>3550</v>
      </c>
      <c r="Q1415" s="31" t="n">
        <f aca="false">INDEX(Markup_Vals,MATCH("Facade &amp; Structural Systems",MarkupCat_Keys,0))</f>
        <v>0.3</v>
      </c>
      <c r="R1415" s="32" t="n">
        <f aca="false">P1415*(1+Q1415)</f>
        <v>4615</v>
      </c>
      <c r="S1415" s="32" t="n">
        <f aca="false">R1415*(1-TradeDiscount)</f>
        <v>4061.2</v>
      </c>
      <c r="T1415" s="32" t="n">
        <f aca="false">R1415*(1-VolumeDiscount)</f>
        <v>3692</v>
      </c>
    </row>
    <row r="1416" customFormat="false" ht="15" hidden="false" customHeight="false" outlineLevel="0" collapsed="false">
      <c r="A1416" s="25" t="s">
        <v>3110</v>
      </c>
      <c r="B1416" s="25" t="s">
        <v>120</v>
      </c>
      <c r="C1416" s="25" t="s">
        <v>3065</v>
      </c>
      <c r="D1416" s="25" t="s">
        <v>3111</v>
      </c>
      <c r="E1416" s="25" t="s">
        <v>3107</v>
      </c>
      <c r="F1416" s="25" t="s">
        <v>3068</v>
      </c>
      <c r="G1416" s="25" t="s">
        <v>37</v>
      </c>
      <c r="H1416" s="25" t="s">
        <v>64</v>
      </c>
      <c r="I1416" s="25" t="s">
        <v>3039</v>
      </c>
      <c r="J1416" s="25" t="s">
        <v>3002</v>
      </c>
      <c r="K1416" s="25" t="s">
        <v>3069</v>
      </c>
      <c r="L1416" s="25"/>
      <c r="M1416" s="25"/>
      <c r="N1416" s="25"/>
      <c r="O1416" s="25"/>
      <c r="P1416" s="33" t="n">
        <v>3550</v>
      </c>
      <c r="Q1416" s="27" t="n">
        <f aca="false">INDEX(Markup_Vals,MATCH("Facade &amp; Structural Systems",MarkupCat_Keys,0))</f>
        <v>0.3</v>
      </c>
      <c r="R1416" s="28" t="n">
        <f aca="false">P1416*(1+Q1416)</f>
        <v>4615</v>
      </c>
      <c r="S1416" s="28" t="n">
        <f aca="false">R1416*(1-TradeDiscount)</f>
        <v>4061.2</v>
      </c>
      <c r="T1416" s="28" t="n">
        <f aca="false">R1416*(1-VolumeDiscount)</f>
        <v>3692</v>
      </c>
    </row>
    <row r="1417" customFormat="false" ht="15" hidden="false" customHeight="false" outlineLevel="0" collapsed="false">
      <c r="A1417" s="29" t="s">
        <v>3112</v>
      </c>
      <c r="B1417" s="29" t="s">
        <v>120</v>
      </c>
      <c r="C1417" s="29" t="s">
        <v>3065</v>
      </c>
      <c r="D1417" s="29" t="s">
        <v>3113</v>
      </c>
      <c r="E1417" s="29" t="s">
        <v>3107</v>
      </c>
      <c r="F1417" s="29" t="s">
        <v>3068</v>
      </c>
      <c r="G1417" s="29" t="s">
        <v>35</v>
      </c>
      <c r="H1417" s="29" t="s">
        <v>65</v>
      </c>
      <c r="I1417" s="29" t="s">
        <v>3039</v>
      </c>
      <c r="J1417" s="29" t="s">
        <v>3002</v>
      </c>
      <c r="K1417" s="29" t="s">
        <v>3069</v>
      </c>
      <c r="L1417" s="29"/>
      <c r="M1417" s="29"/>
      <c r="N1417" s="29"/>
      <c r="O1417" s="29"/>
      <c r="P1417" s="34" t="n">
        <v>3020</v>
      </c>
      <c r="Q1417" s="31" t="n">
        <f aca="false">INDEX(Markup_Vals,MATCH("Facade &amp; Structural Systems",MarkupCat_Keys,0))</f>
        <v>0.3</v>
      </c>
      <c r="R1417" s="32" t="n">
        <f aca="false">P1417*(1+Q1417)</f>
        <v>3926</v>
      </c>
      <c r="S1417" s="32" t="n">
        <f aca="false">R1417*(1-TradeDiscount)</f>
        <v>3454.88</v>
      </c>
      <c r="T1417" s="32" t="n">
        <f aca="false">R1417*(1-VolumeDiscount)</f>
        <v>3140.8</v>
      </c>
    </row>
    <row r="1418" customFormat="false" ht="15" hidden="false" customHeight="false" outlineLevel="0" collapsed="false">
      <c r="A1418" s="25" t="s">
        <v>3114</v>
      </c>
      <c r="B1418" s="25" t="s">
        <v>120</v>
      </c>
      <c r="C1418" s="25" t="s">
        <v>3065</v>
      </c>
      <c r="D1418" s="25" t="s">
        <v>3115</v>
      </c>
      <c r="E1418" s="25" t="s">
        <v>3107</v>
      </c>
      <c r="F1418" s="25" t="s">
        <v>3068</v>
      </c>
      <c r="G1418" s="25" t="s">
        <v>36</v>
      </c>
      <c r="H1418" s="25" t="s">
        <v>65</v>
      </c>
      <c r="I1418" s="25" t="s">
        <v>3039</v>
      </c>
      <c r="J1418" s="25" t="s">
        <v>3002</v>
      </c>
      <c r="K1418" s="25" t="s">
        <v>3069</v>
      </c>
      <c r="L1418" s="25"/>
      <c r="M1418" s="25"/>
      <c r="N1418" s="25"/>
      <c r="O1418" s="25"/>
      <c r="P1418" s="33" t="n">
        <v>3020</v>
      </c>
      <c r="Q1418" s="27" t="n">
        <f aca="false">INDEX(Markup_Vals,MATCH("Facade &amp; Structural Systems",MarkupCat_Keys,0))</f>
        <v>0.3</v>
      </c>
      <c r="R1418" s="28" t="n">
        <f aca="false">P1418*(1+Q1418)</f>
        <v>3926</v>
      </c>
      <c r="S1418" s="28" t="n">
        <f aca="false">R1418*(1-TradeDiscount)</f>
        <v>3454.88</v>
      </c>
      <c r="T1418" s="28" t="n">
        <f aca="false">R1418*(1-VolumeDiscount)</f>
        <v>3140.8</v>
      </c>
    </row>
    <row r="1419" customFormat="false" ht="15" hidden="false" customHeight="false" outlineLevel="0" collapsed="false">
      <c r="A1419" s="29" t="s">
        <v>3116</v>
      </c>
      <c r="B1419" s="29" t="s">
        <v>120</v>
      </c>
      <c r="C1419" s="29" t="s">
        <v>3065</v>
      </c>
      <c r="D1419" s="29" t="s">
        <v>3117</v>
      </c>
      <c r="E1419" s="29" t="s">
        <v>3107</v>
      </c>
      <c r="F1419" s="29" t="s">
        <v>3068</v>
      </c>
      <c r="G1419" s="29" t="s">
        <v>37</v>
      </c>
      <c r="H1419" s="29" t="s">
        <v>65</v>
      </c>
      <c r="I1419" s="29" t="s">
        <v>3039</v>
      </c>
      <c r="J1419" s="29" t="s">
        <v>3002</v>
      </c>
      <c r="K1419" s="29" t="s">
        <v>3069</v>
      </c>
      <c r="L1419" s="29"/>
      <c r="M1419" s="29"/>
      <c r="N1419" s="29"/>
      <c r="O1419" s="29"/>
      <c r="P1419" s="34" t="n">
        <v>3020</v>
      </c>
      <c r="Q1419" s="31" t="n">
        <f aca="false">INDEX(Markup_Vals,MATCH("Facade &amp; Structural Systems",MarkupCat_Keys,0))</f>
        <v>0.3</v>
      </c>
      <c r="R1419" s="32" t="n">
        <f aca="false">P1419*(1+Q1419)</f>
        <v>3926</v>
      </c>
      <c r="S1419" s="32" t="n">
        <f aca="false">R1419*(1-TradeDiscount)</f>
        <v>3454.88</v>
      </c>
      <c r="T1419" s="32" t="n">
        <f aca="false">R1419*(1-VolumeDiscount)</f>
        <v>3140.8</v>
      </c>
    </row>
    <row r="1420" customFormat="false" ht="15" hidden="false" customHeight="false" outlineLevel="0" collapsed="false">
      <c r="A1420" s="25" t="s">
        <v>3118</v>
      </c>
      <c r="B1420" s="25" t="s">
        <v>120</v>
      </c>
      <c r="C1420" s="25" t="s">
        <v>3065</v>
      </c>
      <c r="D1420" s="25" t="s">
        <v>3119</v>
      </c>
      <c r="E1420" s="25" t="s">
        <v>3107</v>
      </c>
      <c r="F1420" s="25" t="s">
        <v>3068</v>
      </c>
      <c r="G1420" s="25" t="s">
        <v>35</v>
      </c>
      <c r="H1420" s="25" t="s">
        <v>73</v>
      </c>
      <c r="I1420" s="25" t="s">
        <v>3039</v>
      </c>
      <c r="J1420" s="25" t="s">
        <v>3002</v>
      </c>
      <c r="K1420" s="25" t="s">
        <v>3069</v>
      </c>
      <c r="L1420" s="25"/>
      <c r="M1420" s="25"/>
      <c r="N1420" s="25"/>
      <c r="O1420" s="25"/>
      <c r="P1420" s="33" t="n">
        <v>3700</v>
      </c>
      <c r="Q1420" s="27" t="n">
        <f aca="false">INDEX(Markup_Vals,MATCH("Facade &amp; Structural Systems",MarkupCat_Keys,0))</f>
        <v>0.3</v>
      </c>
      <c r="R1420" s="28" t="n">
        <f aca="false">P1420*(1+Q1420)</f>
        <v>4810</v>
      </c>
      <c r="S1420" s="28" t="n">
        <f aca="false">R1420*(1-TradeDiscount)</f>
        <v>4232.8</v>
      </c>
      <c r="T1420" s="28" t="n">
        <f aca="false">R1420*(1-VolumeDiscount)</f>
        <v>3848</v>
      </c>
    </row>
    <row r="1421" customFormat="false" ht="15" hidden="false" customHeight="false" outlineLevel="0" collapsed="false">
      <c r="A1421" s="29" t="s">
        <v>3120</v>
      </c>
      <c r="B1421" s="29" t="s">
        <v>120</v>
      </c>
      <c r="C1421" s="29" t="s">
        <v>3065</v>
      </c>
      <c r="D1421" s="29" t="s">
        <v>3121</v>
      </c>
      <c r="E1421" s="29" t="s">
        <v>3107</v>
      </c>
      <c r="F1421" s="29" t="s">
        <v>3068</v>
      </c>
      <c r="G1421" s="29" t="s">
        <v>36</v>
      </c>
      <c r="H1421" s="29" t="s">
        <v>73</v>
      </c>
      <c r="I1421" s="29" t="s">
        <v>3039</v>
      </c>
      <c r="J1421" s="29" t="s">
        <v>3002</v>
      </c>
      <c r="K1421" s="29" t="s">
        <v>3069</v>
      </c>
      <c r="L1421" s="29"/>
      <c r="M1421" s="29"/>
      <c r="N1421" s="29"/>
      <c r="O1421" s="29"/>
      <c r="P1421" s="34" t="n">
        <v>3700</v>
      </c>
      <c r="Q1421" s="31" t="n">
        <f aca="false">INDEX(Markup_Vals,MATCH("Facade &amp; Structural Systems",MarkupCat_Keys,0))</f>
        <v>0.3</v>
      </c>
      <c r="R1421" s="32" t="n">
        <f aca="false">P1421*(1+Q1421)</f>
        <v>4810</v>
      </c>
      <c r="S1421" s="32" t="n">
        <f aca="false">R1421*(1-TradeDiscount)</f>
        <v>4232.8</v>
      </c>
      <c r="T1421" s="32" t="n">
        <f aca="false">R1421*(1-VolumeDiscount)</f>
        <v>3848</v>
      </c>
    </row>
    <row r="1422" customFormat="false" ht="15" hidden="false" customHeight="false" outlineLevel="0" collapsed="false">
      <c r="A1422" s="25" t="s">
        <v>3122</v>
      </c>
      <c r="B1422" s="25" t="s">
        <v>120</v>
      </c>
      <c r="C1422" s="25" t="s">
        <v>3065</v>
      </c>
      <c r="D1422" s="25" t="s">
        <v>3123</v>
      </c>
      <c r="E1422" s="25" t="s">
        <v>3107</v>
      </c>
      <c r="F1422" s="25" t="s">
        <v>3068</v>
      </c>
      <c r="G1422" s="25" t="s">
        <v>37</v>
      </c>
      <c r="H1422" s="25" t="s">
        <v>73</v>
      </c>
      <c r="I1422" s="25" t="s">
        <v>3039</v>
      </c>
      <c r="J1422" s="25" t="s">
        <v>3002</v>
      </c>
      <c r="K1422" s="25" t="s">
        <v>3069</v>
      </c>
      <c r="L1422" s="25"/>
      <c r="M1422" s="25"/>
      <c r="N1422" s="25"/>
      <c r="O1422" s="25"/>
      <c r="P1422" s="33" t="n">
        <v>3700</v>
      </c>
      <c r="Q1422" s="27" t="n">
        <f aca="false">INDEX(Markup_Vals,MATCH("Facade &amp; Structural Systems",MarkupCat_Keys,0))</f>
        <v>0.3</v>
      </c>
      <c r="R1422" s="28" t="n">
        <f aca="false">P1422*(1+Q1422)</f>
        <v>4810</v>
      </c>
      <c r="S1422" s="28" t="n">
        <f aca="false">R1422*(1-TradeDiscount)</f>
        <v>4232.8</v>
      </c>
      <c r="T1422" s="28" t="n">
        <f aca="false">R1422*(1-VolumeDiscount)</f>
        <v>3848</v>
      </c>
    </row>
    <row r="1423" customFormat="false" ht="15" hidden="false" customHeight="false" outlineLevel="0" collapsed="false">
      <c r="A1423" s="29" t="s">
        <v>3124</v>
      </c>
      <c r="B1423" s="29" t="s">
        <v>120</v>
      </c>
      <c r="C1423" s="29" t="s">
        <v>3065</v>
      </c>
      <c r="D1423" s="29" t="s">
        <v>3125</v>
      </c>
      <c r="E1423" s="29" t="s">
        <v>3126</v>
      </c>
      <c r="F1423" s="29" t="s">
        <v>3068</v>
      </c>
      <c r="G1423" s="29" t="s">
        <v>35</v>
      </c>
      <c r="H1423" s="29" t="s">
        <v>64</v>
      </c>
      <c r="I1423" s="29" t="s">
        <v>3127</v>
      </c>
      <c r="J1423" s="29" t="s">
        <v>3002</v>
      </c>
      <c r="K1423" s="29" t="s">
        <v>3069</v>
      </c>
      <c r="L1423" s="29"/>
      <c r="M1423" s="29"/>
      <c r="N1423" s="29"/>
      <c r="O1423" s="29"/>
      <c r="P1423" s="34" t="n">
        <v>2800</v>
      </c>
      <c r="Q1423" s="31" t="n">
        <f aca="false">INDEX(Markup_Vals,MATCH("Facade &amp; Structural Systems",MarkupCat_Keys,0))</f>
        <v>0.3</v>
      </c>
      <c r="R1423" s="32" t="n">
        <f aca="false">P1423*(1+Q1423)</f>
        <v>3640</v>
      </c>
      <c r="S1423" s="32" t="n">
        <f aca="false">R1423*(1-TradeDiscount)</f>
        <v>3203.2</v>
      </c>
      <c r="T1423" s="32" t="n">
        <f aca="false">R1423*(1-VolumeDiscount)</f>
        <v>2912</v>
      </c>
    </row>
    <row r="1424" customFormat="false" ht="15" hidden="false" customHeight="false" outlineLevel="0" collapsed="false">
      <c r="A1424" s="25" t="s">
        <v>3128</v>
      </c>
      <c r="B1424" s="25" t="s">
        <v>120</v>
      </c>
      <c r="C1424" s="25" t="s">
        <v>3065</v>
      </c>
      <c r="D1424" s="25" t="s">
        <v>3129</v>
      </c>
      <c r="E1424" s="25" t="s">
        <v>3126</v>
      </c>
      <c r="F1424" s="25" t="s">
        <v>3068</v>
      </c>
      <c r="G1424" s="25" t="s">
        <v>36</v>
      </c>
      <c r="H1424" s="25" t="s">
        <v>64</v>
      </c>
      <c r="I1424" s="25" t="s">
        <v>3127</v>
      </c>
      <c r="J1424" s="25" t="s">
        <v>3002</v>
      </c>
      <c r="K1424" s="25" t="s">
        <v>3069</v>
      </c>
      <c r="L1424" s="25"/>
      <c r="M1424" s="25"/>
      <c r="N1424" s="25"/>
      <c r="O1424" s="25"/>
      <c r="P1424" s="33" t="n">
        <v>2800</v>
      </c>
      <c r="Q1424" s="27" t="n">
        <f aca="false">INDEX(Markup_Vals,MATCH("Facade &amp; Structural Systems",MarkupCat_Keys,0))</f>
        <v>0.3</v>
      </c>
      <c r="R1424" s="28" t="n">
        <f aca="false">P1424*(1+Q1424)</f>
        <v>3640</v>
      </c>
      <c r="S1424" s="28" t="n">
        <f aca="false">R1424*(1-TradeDiscount)</f>
        <v>3203.2</v>
      </c>
      <c r="T1424" s="28" t="n">
        <f aca="false">R1424*(1-VolumeDiscount)</f>
        <v>2912</v>
      </c>
    </row>
    <row r="1425" customFormat="false" ht="15" hidden="false" customHeight="false" outlineLevel="0" collapsed="false">
      <c r="A1425" s="29" t="s">
        <v>3130</v>
      </c>
      <c r="B1425" s="29" t="s">
        <v>120</v>
      </c>
      <c r="C1425" s="29" t="s">
        <v>3065</v>
      </c>
      <c r="D1425" s="29" t="s">
        <v>3131</v>
      </c>
      <c r="E1425" s="29" t="s">
        <v>3126</v>
      </c>
      <c r="F1425" s="29" t="s">
        <v>3068</v>
      </c>
      <c r="G1425" s="29" t="s">
        <v>37</v>
      </c>
      <c r="H1425" s="29" t="s">
        <v>64</v>
      </c>
      <c r="I1425" s="29" t="s">
        <v>3127</v>
      </c>
      <c r="J1425" s="29" t="s">
        <v>3002</v>
      </c>
      <c r="K1425" s="29" t="s">
        <v>3069</v>
      </c>
      <c r="L1425" s="29"/>
      <c r="M1425" s="29"/>
      <c r="N1425" s="29"/>
      <c r="O1425" s="29"/>
      <c r="P1425" s="34" t="n">
        <v>2800</v>
      </c>
      <c r="Q1425" s="31" t="n">
        <f aca="false">INDEX(Markup_Vals,MATCH("Facade &amp; Structural Systems",MarkupCat_Keys,0))</f>
        <v>0.3</v>
      </c>
      <c r="R1425" s="32" t="n">
        <f aca="false">P1425*(1+Q1425)</f>
        <v>3640</v>
      </c>
      <c r="S1425" s="32" t="n">
        <f aca="false">R1425*(1-TradeDiscount)</f>
        <v>3203.2</v>
      </c>
      <c r="T1425" s="32" t="n">
        <f aca="false">R1425*(1-VolumeDiscount)</f>
        <v>2912</v>
      </c>
    </row>
    <row r="1426" customFormat="false" ht="15" hidden="false" customHeight="false" outlineLevel="0" collapsed="false">
      <c r="A1426" s="25" t="s">
        <v>3132</v>
      </c>
      <c r="B1426" s="25" t="s">
        <v>120</v>
      </c>
      <c r="C1426" s="25" t="s">
        <v>3065</v>
      </c>
      <c r="D1426" s="25" t="s">
        <v>3133</v>
      </c>
      <c r="E1426" s="25" t="s">
        <v>3126</v>
      </c>
      <c r="F1426" s="25" t="s">
        <v>3068</v>
      </c>
      <c r="G1426" s="25" t="s">
        <v>35</v>
      </c>
      <c r="H1426" s="25" t="s">
        <v>65</v>
      </c>
      <c r="I1426" s="25" t="s">
        <v>3127</v>
      </c>
      <c r="J1426" s="25" t="s">
        <v>3002</v>
      </c>
      <c r="K1426" s="25" t="s">
        <v>3069</v>
      </c>
      <c r="L1426" s="25"/>
      <c r="M1426" s="25"/>
      <c r="N1426" s="25"/>
      <c r="O1426" s="25"/>
      <c r="P1426" s="33" t="n">
        <v>2800</v>
      </c>
      <c r="Q1426" s="27" t="n">
        <f aca="false">INDEX(Markup_Vals,MATCH("Facade &amp; Structural Systems",MarkupCat_Keys,0))</f>
        <v>0.3</v>
      </c>
      <c r="R1426" s="28" t="n">
        <f aca="false">P1426*(1+Q1426)</f>
        <v>3640</v>
      </c>
      <c r="S1426" s="28" t="n">
        <f aca="false">R1426*(1-TradeDiscount)</f>
        <v>3203.2</v>
      </c>
      <c r="T1426" s="28" t="n">
        <f aca="false">R1426*(1-VolumeDiscount)</f>
        <v>2912</v>
      </c>
    </row>
    <row r="1427" customFormat="false" ht="15" hidden="false" customHeight="false" outlineLevel="0" collapsed="false">
      <c r="A1427" s="29" t="s">
        <v>3134</v>
      </c>
      <c r="B1427" s="29" t="s">
        <v>120</v>
      </c>
      <c r="C1427" s="29" t="s">
        <v>3065</v>
      </c>
      <c r="D1427" s="29" t="s">
        <v>3135</v>
      </c>
      <c r="E1427" s="29" t="s">
        <v>3126</v>
      </c>
      <c r="F1427" s="29" t="s">
        <v>3068</v>
      </c>
      <c r="G1427" s="29" t="s">
        <v>36</v>
      </c>
      <c r="H1427" s="29" t="s">
        <v>65</v>
      </c>
      <c r="I1427" s="29" t="s">
        <v>3127</v>
      </c>
      <c r="J1427" s="29" t="s">
        <v>3002</v>
      </c>
      <c r="K1427" s="29" t="s">
        <v>3069</v>
      </c>
      <c r="L1427" s="29"/>
      <c r="M1427" s="29"/>
      <c r="N1427" s="29"/>
      <c r="O1427" s="29"/>
      <c r="P1427" s="34" t="n">
        <v>2800</v>
      </c>
      <c r="Q1427" s="31" t="n">
        <f aca="false">INDEX(Markup_Vals,MATCH("Facade &amp; Structural Systems",MarkupCat_Keys,0))</f>
        <v>0.3</v>
      </c>
      <c r="R1427" s="32" t="n">
        <f aca="false">P1427*(1+Q1427)</f>
        <v>3640</v>
      </c>
      <c r="S1427" s="32" t="n">
        <f aca="false">R1427*(1-TradeDiscount)</f>
        <v>3203.2</v>
      </c>
      <c r="T1427" s="32" t="n">
        <f aca="false">R1427*(1-VolumeDiscount)</f>
        <v>2912</v>
      </c>
    </row>
    <row r="1428" customFormat="false" ht="15" hidden="false" customHeight="false" outlineLevel="0" collapsed="false">
      <c r="A1428" s="25" t="s">
        <v>3136</v>
      </c>
      <c r="B1428" s="25" t="s">
        <v>120</v>
      </c>
      <c r="C1428" s="25" t="s">
        <v>3065</v>
      </c>
      <c r="D1428" s="25" t="s">
        <v>3137</v>
      </c>
      <c r="E1428" s="25" t="s">
        <v>3126</v>
      </c>
      <c r="F1428" s="25" t="s">
        <v>3068</v>
      </c>
      <c r="G1428" s="25" t="s">
        <v>37</v>
      </c>
      <c r="H1428" s="25" t="s">
        <v>65</v>
      </c>
      <c r="I1428" s="25" t="s">
        <v>3127</v>
      </c>
      <c r="J1428" s="25" t="s">
        <v>3002</v>
      </c>
      <c r="K1428" s="25" t="s">
        <v>3069</v>
      </c>
      <c r="L1428" s="25"/>
      <c r="M1428" s="25"/>
      <c r="N1428" s="25"/>
      <c r="O1428" s="25"/>
      <c r="P1428" s="33" t="n">
        <v>2800</v>
      </c>
      <c r="Q1428" s="27" t="n">
        <f aca="false">INDEX(Markup_Vals,MATCH("Facade &amp; Structural Systems",MarkupCat_Keys,0))</f>
        <v>0.3</v>
      </c>
      <c r="R1428" s="28" t="n">
        <f aca="false">P1428*(1+Q1428)</f>
        <v>3640</v>
      </c>
      <c r="S1428" s="28" t="n">
        <f aca="false">R1428*(1-TradeDiscount)</f>
        <v>3203.2</v>
      </c>
      <c r="T1428" s="28" t="n">
        <f aca="false">R1428*(1-VolumeDiscount)</f>
        <v>2912</v>
      </c>
    </row>
    <row r="1429" customFormat="false" ht="15" hidden="false" customHeight="false" outlineLevel="0" collapsed="false">
      <c r="A1429" s="29" t="s">
        <v>3138</v>
      </c>
      <c r="B1429" s="29" t="s">
        <v>120</v>
      </c>
      <c r="C1429" s="29" t="s">
        <v>3065</v>
      </c>
      <c r="D1429" s="29" t="s">
        <v>3139</v>
      </c>
      <c r="E1429" s="29" t="s">
        <v>3126</v>
      </c>
      <c r="F1429" s="29" t="s">
        <v>3068</v>
      </c>
      <c r="G1429" s="29" t="s">
        <v>35</v>
      </c>
      <c r="H1429" s="29" t="s">
        <v>73</v>
      </c>
      <c r="I1429" s="29" t="s">
        <v>3127</v>
      </c>
      <c r="J1429" s="29" t="s">
        <v>3002</v>
      </c>
      <c r="K1429" s="29" t="s">
        <v>3069</v>
      </c>
      <c r="L1429" s="29"/>
      <c r="M1429" s="29"/>
      <c r="N1429" s="29"/>
      <c r="O1429" s="29"/>
      <c r="P1429" s="34" t="n">
        <v>2800</v>
      </c>
      <c r="Q1429" s="31" t="n">
        <f aca="false">INDEX(Markup_Vals,MATCH("Facade &amp; Structural Systems",MarkupCat_Keys,0))</f>
        <v>0.3</v>
      </c>
      <c r="R1429" s="32" t="n">
        <f aca="false">P1429*(1+Q1429)</f>
        <v>3640</v>
      </c>
      <c r="S1429" s="32" t="n">
        <f aca="false">R1429*(1-TradeDiscount)</f>
        <v>3203.2</v>
      </c>
      <c r="T1429" s="32" t="n">
        <f aca="false">R1429*(1-VolumeDiscount)</f>
        <v>2912</v>
      </c>
    </row>
    <row r="1430" customFormat="false" ht="15" hidden="false" customHeight="false" outlineLevel="0" collapsed="false">
      <c r="A1430" s="25" t="s">
        <v>3140</v>
      </c>
      <c r="B1430" s="25" t="s">
        <v>120</v>
      </c>
      <c r="C1430" s="25" t="s">
        <v>3065</v>
      </c>
      <c r="D1430" s="25" t="s">
        <v>3141</v>
      </c>
      <c r="E1430" s="25" t="s">
        <v>3126</v>
      </c>
      <c r="F1430" s="25" t="s">
        <v>3068</v>
      </c>
      <c r="G1430" s="25" t="s">
        <v>36</v>
      </c>
      <c r="H1430" s="25" t="s">
        <v>73</v>
      </c>
      <c r="I1430" s="25" t="s">
        <v>3127</v>
      </c>
      <c r="J1430" s="25" t="s">
        <v>3002</v>
      </c>
      <c r="K1430" s="25" t="s">
        <v>3069</v>
      </c>
      <c r="L1430" s="25"/>
      <c r="M1430" s="25"/>
      <c r="N1430" s="25"/>
      <c r="O1430" s="25"/>
      <c r="P1430" s="33" t="n">
        <v>2800</v>
      </c>
      <c r="Q1430" s="27" t="n">
        <f aca="false">INDEX(Markup_Vals,MATCH("Facade &amp; Structural Systems",MarkupCat_Keys,0))</f>
        <v>0.3</v>
      </c>
      <c r="R1430" s="28" t="n">
        <f aca="false">P1430*(1+Q1430)</f>
        <v>3640</v>
      </c>
      <c r="S1430" s="28" t="n">
        <f aca="false">R1430*(1-TradeDiscount)</f>
        <v>3203.2</v>
      </c>
      <c r="T1430" s="28" t="n">
        <f aca="false">R1430*(1-VolumeDiscount)</f>
        <v>2912</v>
      </c>
    </row>
    <row r="1431" customFormat="false" ht="15" hidden="false" customHeight="false" outlineLevel="0" collapsed="false">
      <c r="A1431" s="29" t="s">
        <v>3142</v>
      </c>
      <c r="B1431" s="29" t="s">
        <v>120</v>
      </c>
      <c r="C1431" s="29" t="s">
        <v>3065</v>
      </c>
      <c r="D1431" s="29" t="s">
        <v>3143</v>
      </c>
      <c r="E1431" s="29" t="s">
        <v>3126</v>
      </c>
      <c r="F1431" s="29" t="s">
        <v>3068</v>
      </c>
      <c r="G1431" s="29" t="s">
        <v>37</v>
      </c>
      <c r="H1431" s="29" t="s">
        <v>73</v>
      </c>
      <c r="I1431" s="29" t="s">
        <v>3127</v>
      </c>
      <c r="J1431" s="29" t="s">
        <v>3002</v>
      </c>
      <c r="K1431" s="29" t="s">
        <v>3069</v>
      </c>
      <c r="L1431" s="29"/>
      <c r="M1431" s="29"/>
      <c r="N1431" s="29"/>
      <c r="O1431" s="29"/>
      <c r="P1431" s="34" t="n">
        <v>2800</v>
      </c>
      <c r="Q1431" s="31" t="n">
        <f aca="false">INDEX(Markup_Vals,MATCH("Facade &amp; Structural Systems",MarkupCat_Keys,0))</f>
        <v>0.3</v>
      </c>
      <c r="R1431" s="32" t="n">
        <f aca="false">P1431*(1+Q1431)</f>
        <v>3640</v>
      </c>
      <c r="S1431" s="32" t="n">
        <f aca="false">R1431*(1-TradeDiscount)</f>
        <v>3203.2</v>
      </c>
      <c r="T1431" s="32" t="n">
        <f aca="false">R1431*(1-VolumeDiscount)</f>
        <v>2912</v>
      </c>
    </row>
    <row r="1432" customFormat="false" ht="15" hidden="false" customHeight="false" outlineLevel="0" collapsed="false">
      <c r="A1432" s="25" t="s">
        <v>3144</v>
      </c>
      <c r="B1432" s="25" t="s">
        <v>121</v>
      </c>
      <c r="C1432" s="25" t="s">
        <v>55</v>
      </c>
      <c r="D1432" s="25" t="s">
        <v>3145</v>
      </c>
      <c r="E1432" s="25" t="s">
        <v>3146</v>
      </c>
      <c r="F1432" s="25" t="s">
        <v>3147</v>
      </c>
      <c r="G1432" s="25" t="s">
        <v>35</v>
      </c>
      <c r="H1432" s="25" t="s">
        <v>3148</v>
      </c>
      <c r="I1432" s="25" t="s">
        <v>190</v>
      </c>
      <c r="J1432" s="25" t="s">
        <v>191</v>
      </c>
      <c r="K1432" s="25" t="s">
        <v>298</v>
      </c>
      <c r="L1432" s="25" t="s">
        <v>32</v>
      </c>
      <c r="M1432" s="25" t="n">
        <v>3000</v>
      </c>
      <c r="N1432" s="25" t="n">
        <v>3000</v>
      </c>
      <c r="O1432" s="25"/>
      <c r="P1432" s="26" t="n">
        <f aca="false">(M1432*N1432/1000000)*INDEX(AreaRate_Vals,MATCH(C1432,AreaRate_Keys,0))+IF(H1432="Aluminium Louvre Blade",(M1432*N1432/1000000)*INDEX(Glass_Vals,MATCH("6mm Toughened Louvre Blade",Glass_Keys,0)),0)+INDEX(Hardware_Vals,MATCH("Pergolas",Hardware_Keys,0))</f>
        <v>16620</v>
      </c>
      <c r="Q1432" s="27" t="n">
        <f aca="false">INDEX(Markup_Vals,MATCH("Outdoor Living &amp; Shading",MarkupCat_Keys,0))</f>
        <v>0.45</v>
      </c>
      <c r="R1432" s="28" t="n">
        <f aca="false">P1432*(1+Q1432)</f>
        <v>24099</v>
      </c>
      <c r="S1432" s="28" t="n">
        <f aca="false">R1432*(1-TradeDiscount)</f>
        <v>21207.12</v>
      </c>
      <c r="T1432" s="28" t="n">
        <f aca="false">R1432*(1-VolumeDiscount)</f>
        <v>19279.2</v>
      </c>
    </row>
    <row r="1433" customFormat="false" ht="15" hidden="false" customHeight="false" outlineLevel="0" collapsed="false">
      <c r="A1433" s="29" t="s">
        <v>3149</v>
      </c>
      <c r="B1433" s="29" t="s">
        <v>121</v>
      </c>
      <c r="C1433" s="29" t="s">
        <v>55</v>
      </c>
      <c r="D1433" s="29" t="s">
        <v>3150</v>
      </c>
      <c r="E1433" s="29" t="s">
        <v>3146</v>
      </c>
      <c r="F1433" s="29" t="s">
        <v>3147</v>
      </c>
      <c r="G1433" s="29" t="s">
        <v>36</v>
      </c>
      <c r="H1433" s="29" t="s">
        <v>3148</v>
      </c>
      <c r="I1433" s="29" t="s">
        <v>190</v>
      </c>
      <c r="J1433" s="29" t="s">
        <v>191</v>
      </c>
      <c r="K1433" s="29" t="s">
        <v>298</v>
      </c>
      <c r="L1433" s="29" t="s">
        <v>32</v>
      </c>
      <c r="M1433" s="29" t="n">
        <v>3000</v>
      </c>
      <c r="N1433" s="29" t="n">
        <v>3000</v>
      </c>
      <c r="O1433" s="29"/>
      <c r="P1433" s="30" t="n">
        <f aca="false">(M1433*N1433/1000000)*INDEX(AreaRate_Vals,MATCH(C1433,AreaRate_Keys,0))+IF(H1433="Aluminium Louvre Blade",(M1433*N1433/1000000)*INDEX(Glass_Vals,MATCH("6mm Toughened Louvre Blade",Glass_Keys,0)),0)+INDEX(Hardware_Vals,MATCH("Pergolas",Hardware_Keys,0))</f>
        <v>16620</v>
      </c>
      <c r="Q1433" s="31" t="n">
        <f aca="false">INDEX(Markup_Vals,MATCH("Outdoor Living &amp; Shading",MarkupCat_Keys,0))</f>
        <v>0.45</v>
      </c>
      <c r="R1433" s="32" t="n">
        <f aca="false">P1433*(1+Q1433)</f>
        <v>24099</v>
      </c>
      <c r="S1433" s="32" t="n">
        <f aca="false">R1433*(1-TradeDiscount)</f>
        <v>21207.12</v>
      </c>
      <c r="T1433" s="32" t="n">
        <f aca="false">R1433*(1-VolumeDiscount)</f>
        <v>19279.2</v>
      </c>
    </row>
    <row r="1434" customFormat="false" ht="15" hidden="false" customHeight="false" outlineLevel="0" collapsed="false">
      <c r="A1434" s="25" t="s">
        <v>3151</v>
      </c>
      <c r="B1434" s="25" t="s">
        <v>121</v>
      </c>
      <c r="C1434" s="25" t="s">
        <v>55</v>
      </c>
      <c r="D1434" s="25" t="s">
        <v>3152</v>
      </c>
      <c r="E1434" s="25" t="s">
        <v>3146</v>
      </c>
      <c r="F1434" s="25" t="s">
        <v>3147</v>
      </c>
      <c r="G1434" s="25" t="s">
        <v>37</v>
      </c>
      <c r="H1434" s="25" t="s">
        <v>3148</v>
      </c>
      <c r="I1434" s="25" t="s">
        <v>190</v>
      </c>
      <c r="J1434" s="25" t="s">
        <v>191</v>
      </c>
      <c r="K1434" s="25" t="s">
        <v>298</v>
      </c>
      <c r="L1434" s="25" t="s">
        <v>32</v>
      </c>
      <c r="M1434" s="25" t="n">
        <v>3000</v>
      </c>
      <c r="N1434" s="25" t="n">
        <v>3000</v>
      </c>
      <c r="O1434" s="25"/>
      <c r="P1434" s="26" t="n">
        <f aca="false">(M1434*N1434/1000000)*INDEX(AreaRate_Vals,MATCH(C1434,AreaRate_Keys,0))+IF(H1434="Aluminium Louvre Blade",(M1434*N1434/1000000)*INDEX(Glass_Vals,MATCH("6mm Toughened Louvre Blade",Glass_Keys,0)),0)+INDEX(Hardware_Vals,MATCH("Pergolas",Hardware_Keys,0))</f>
        <v>16620</v>
      </c>
      <c r="Q1434" s="27" t="n">
        <f aca="false">INDEX(Markup_Vals,MATCH("Outdoor Living &amp; Shading",MarkupCat_Keys,0))</f>
        <v>0.45</v>
      </c>
      <c r="R1434" s="28" t="n">
        <f aca="false">P1434*(1+Q1434)</f>
        <v>24099</v>
      </c>
      <c r="S1434" s="28" t="n">
        <f aca="false">R1434*(1-TradeDiscount)</f>
        <v>21207.12</v>
      </c>
      <c r="T1434" s="28" t="n">
        <f aca="false">R1434*(1-VolumeDiscount)</f>
        <v>19279.2</v>
      </c>
    </row>
    <row r="1435" customFormat="false" ht="15" hidden="false" customHeight="false" outlineLevel="0" collapsed="false">
      <c r="A1435" s="29" t="s">
        <v>3153</v>
      </c>
      <c r="B1435" s="29" t="s">
        <v>121</v>
      </c>
      <c r="C1435" s="29" t="s">
        <v>55</v>
      </c>
      <c r="D1435" s="29" t="s">
        <v>3154</v>
      </c>
      <c r="E1435" s="29" t="s">
        <v>3146</v>
      </c>
      <c r="F1435" s="29" t="s">
        <v>3147</v>
      </c>
      <c r="G1435" s="29" t="s">
        <v>39</v>
      </c>
      <c r="H1435" s="29" t="s">
        <v>3148</v>
      </c>
      <c r="I1435" s="29" t="s">
        <v>190</v>
      </c>
      <c r="J1435" s="29" t="s">
        <v>191</v>
      </c>
      <c r="K1435" s="29" t="s">
        <v>298</v>
      </c>
      <c r="L1435" s="29" t="s">
        <v>32</v>
      </c>
      <c r="M1435" s="29" t="n">
        <v>3000</v>
      </c>
      <c r="N1435" s="29" t="n">
        <v>3000</v>
      </c>
      <c r="O1435" s="29"/>
      <c r="P1435" s="30" t="n">
        <f aca="false">(M1435*N1435/1000000)*INDEX(AreaRate_Vals,MATCH(C1435,AreaRate_Keys,0))+IF(H1435="Aluminium Louvre Blade",(M1435*N1435/1000000)*INDEX(Glass_Vals,MATCH("6mm Toughened Louvre Blade",Glass_Keys,0)),0)+INDEX(Hardware_Vals,MATCH("Pergolas",Hardware_Keys,0))</f>
        <v>16620</v>
      </c>
      <c r="Q1435" s="31" t="n">
        <f aca="false">INDEX(Markup_Vals,MATCH("Outdoor Living &amp; Shading",MarkupCat_Keys,0))</f>
        <v>0.45</v>
      </c>
      <c r="R1435" s="32" t="n">
        <f aca="false">P1435*(1+Q1435)</f>
        <v>24099</v>
      </c>
      <c r="S1435" s="32" t="n">
        <f aca="false">R1435*(1-TradeDiscount)</f>
        <v>21207.12</v>
      </c>
      <c r="T1435" s="32" t="n">
        <f aca="false">R1435*(1-VolumeDiscount)</f>
        <v>19279.2</v>
      </c>
    </row>
    <row r="1436" customFormat="false" ht="15" hidden="false" customHeight="false" outlineLevel="0" collapsed="false">
      <c r="A1436" s="25" t="s">
        <v>3155</v>
      </c>
      <c r="B1436" s="25" t="s">
        <v>121</v>
      </c>
      <c r="C1436" s="25" t="s">
        <v>55</v>
      </c>
      <c r="D1436" s="25" t="s">
        <v>3156</v>
      </c>
      <c r="E1436" s="25" t="s">
        <v>3146</v>
      </c>
      <c r="F1436" s="25" t="s">
        <v>3157</v>
      </c>
      <c r="G1436" s="25" t="s">
        <v>35</v>
      </c>
      <c r="H1436" s="25" t="s">
        <v>3148</v>
      </c>
      <c r="I1436" s="25" t="s">
        <v>190</v>
      </c>
      <c r="J1436" s="25" t="s">
        <v>191</v>
      </c>
      <c r="K1436" s="25" t="s">
        <v>298</v>
      </c>
      <c r="L1436" s="25" t="s">
        <v>32</v>
      </c>
      <c r="M1436" s="25" t="n">
        <v>3000</v>
      </c>
      <c r="N1436" s="25" t="n">
        <v>4000</v>
      </c>
      <c r="O1436" s="25"/>
      <c r="P1436" s="26" t="n">
        <f aca="false">(M1436*N1436/1000000)*INDEX(AreaRate_Vals,MATCH(C1436,AreaRate_Keys,0))+IF(H1436="Aluminium Louvre Blade",(M1436*N1436/1000000)*INDEX(Glass_Vals,MATCH("6mm Toughened Louvre Blade",Glass_Keys,0)),0)+INDEX(Hardware_Vals,MATCH("Pergolas",Hardware_Keys,0))</f>
        <v>22020</v>
      </c>
      <c r="Q1436" s="27" t="n">
        <f aca="false">INDEX(Markup_Vals,MATCH("Outdoor Living &amp; Shading",MarkupCat_Keys,0))</f>
        <v>0.45</v>
      </c>
      <c r="R1436" s="28" t="n">
        <f aca="false">P1436*(1+Q1436)</f>
        <v>31929</v>
      </c>
      <c r="S1436" s="28" t="n">
        <f aca="false">R1436*(1-TradeDiscount)</f>
        <v>28097.52</v>
      </c>
      <c r="T1436" s="28" t="n">
        <f aca="false">R1436*(1-VolumeDiscount)</f>
        <v>25543.2</v>
      </c>
    </row>
    <row r="1437" customFormat="false" ht="15" hidden="false" customHeight="false" outlineLevel="0" collapsed="false">
      <c r="A1437" s="29" t="s">
        <v>3158</v>
      </c>
      <c r="B1437" s="29" t="s">
        <v>121</v>
      </c>
      <c r="C1437" s="29" t="s">
        <v>55</v>
      </c>
      <c r="D1437" s="29" t="s">
        <v>3159</v>
      </c>
      <c r="E1437" s="29" t="s">
        <v>3146</v>
      </c>
      <c r="F1437" s="29" t="s">
        <v>3157</v>
      </c>
      <c r="G1437" s="29" t="s">
        <v>36</v>
      </c>
      <c r="H1437" s="29" t="s">
        <v>3148</v>
      </c>
      <c r="I1437" s="29" t="s">
        <v>190</v>
      </c>
      <c r="J1437" s="29" t="s">
        <v>191</v>
      </c>
      <c r="K1437" s="29" t="s">
        <v>298</v>
      </c>
      <c r="L1437" s="29" t="s">
        <v>32</v>
      </c>
      <c r="M1437" s="29" t="n">
        <v>3000</v>
      </c>
      <c r="N1437" s="29" t="n">
        <v>4000</v>
      </c>
      <c r="O1437" s="29"/>
      <c r="P1437" s="30" t="n">
        <f aca="false">(M1437*N1437/1000000)*INDEX(AreaRate_Vals,MATCH(C1437,AreaRate_Keys,0))+IF(H1437="Aluminium Louvre Blade",(M1437*N1437/1000000)*INDEX(Glass_Vals,MATCH("6mm Toughened Louvre Blade",Glass_Keys,0)),0)+INDEX(Hardware_Vals,MATCH("Pergolas",Hardware_Keys,0))</f>
        <v>22020</v>
      </c>
      <c r="Q1437" s="31" t="n">
        <f aca="false">INDEX(Markup_Vals,MATCH("Outdoor Living &amp; Shading",MarkupCat_Keys,0))</f>
        <v>0.45</v>
      </c>
      <c r="R1437" s="32" t="n">
        <f aca="false">P1437*(1+Q1437)</f>
        <v>31929</v>
      </c>
      <c r="S1437" s="32" t="n">
        <f aca="false">R1437*(1-TradeDiscount)</f>
        <v>28097.52</v>
      </c>
      <c r="T1437" s="32" t="n">
        <f aca="false">R1437*(1-VolumeDiscount)</f>
        <v>25543.2</v>
      </c>
    </row>
    <row r="1438" customFormat="false" ht="15" hidden="false" customHeight="false" outlineLevel="0" collapsed="false">
      <c r="A1438" s="25" t="s">
        <v>3160</v>
      </c>
      <c r="B1438" s="25" t="s">
        <v>121</v>
      </c>
      <c r="C1438" s="25" t="s">
        <v>55</v>
      </c>
      <c r="D1438" s="25" t="s">
        <v>3161</v>
      </c>
      <c r="E1438" s="25" t="s">
        <v>3146</v>
      </c>
      <c r="F1438" s="25" t="s">
        <v>3157</v>
      </c>
      <c r="G1438" s="25" t="s">
        <v>37</v>
      </c>
      <c r="H1438" s="25" t="s">
        <v>3148</v>
      </c>
      <c r="I1438" s="25" t="s">
        <v>190</v>
      </c>
      <c r="J1438" s="25" t="s">
        <v>191</v>
      </c>
      <c r="K1438" s="25" t="s">
        <v>298</v>
      </c>
      <c r="L1438" s="25" t="s">
        <v>32</v>
      </c>
      <c r="M1438" s="25" t="n">
        <v>3000</v>
      </c>
      <c r="N1438" s="25" t="n">
        <v>4000</v>
      </c>
      <c r="O1438" s="25"/>
      <c r="P1438" s="26" t="n">
        <f aca="false">(M1438*N1438/1000000)*INDEX(AreaRate_Vals,MATCH(C1438,AreaRate_Keys,0))+IF(H1438="Aluminium Louvre Blade",(M1438*N1438/1000000)*INDEX(Glass_Vals,MATCH("6mm Toughened Louvre Blade",Glass_Keys,0)),0)+INDEX(Hardware_Vals,MATCH("Pergolas",Hardware_Keys,0))</f>
        <v>22020</v>
      </c>
      <c r="Q1438" s="27" t="n">
        <f aca="false">INDEX(Markup_Vals,MATCH("Outdoor Living &amp; Shading",MarkupCat_Keys,0))</f>
        <v>0.45</v>
      </c>
      <c r="R1438" s="28" t="n">
        <f aca="false">P1438*(1+Q1438)</f>
        <v>31929</v>
      </c>
      <c r="S1438" s="28" t="n">
        <f aca="false">R1438*(1-TradeDiscount)</f>
        <v>28097.52</v>
      </c>
      <c r="T1438" s="28" t="n">
        <f aca="false">R1438*(1-VolumeDiscount)</f>
        <v>25543.2</v>
      </c>
    </row>
    <row r="1439" customFormat="false" ht="15" hidden="false" customHeight="false" outlineLevel="0" collapsed="false">
      <c r="A1439" s="29" t="s">
        <v>3162</v>
      </c>
      <c r="B1439" s="29" t="s">
        <v>121</v>
      </c>
      <c r="C1439" s="29" t="s">
        <v>55</v>
      </c>
      <c r="D1439" s="29" t="s">
        <v>3163</v>
      </c>
      <c r="E1439" s="29" t="s">
        <v>3146</v>
      </c>
      <c r="F1439" s="29" t="s">
        <v>3157</v>
      </c>
      <c r="G1439" s="29" t="s">
        <v>39</v>
      </c>
      <c r="H1439" s="29" t="s">
        <v>3148</v>
      </c>
      <c r="I1439" s="29" t="s">
        <v>190</v>
      </c>
      <c r="J1439" s="29" t="s">
        <v>191</v>
      </c>
      <c r="K1439" s="29" t="s">
        <v>298</v>
      </c>
      <c r="L1439" s="29" t="s">
        <v>32</v>
      </c>
      <c r="M1439" s="29" t="n">
        <v>3000</v>
      </c>
      <c r="N1439" s="29" t="n">
        <v>4000</v>
      </c>
      <c r="O1439" s="29"/>
      <c r="P1439" s="30" t="n">
        <f aca="false">(M1439*N1439/1000000)*INDEX(AreaRate_Vals,MATCH(C1439,AreaRate_Keys,0))+IF(H1439="Aluminium Louvre Blade",(M1439*N1439/1000000)*INDEX(Glass_Vals,MATCH("6mm Toughened Louvre Blade",Glass_Keys,0)),0)+INDEX(Hardware_Vals,MATCH("Pergolas",Hardware_Keys,0))</f>
        <v>22020</v>
      </c>
      <c r="Q1439" s="31" t="n">
        <f aca="false">INDEX(Markup_Vals,MATCH("Outdoor Living &amp; Shading",MarkupCat_Keys,0))</f>
        <v>0.45</v>
      </c>
      <c r="R1439" s="32" t="n">
        <f aca="false">P1439*(1+Q1439)</f>
        <v>31929</v>
      </c>
      <c r="S1439" s="32" t="n">
        <f aca="false">R1439*(1-TradeDiscount)</f>
        <v>28097.52</v>
      </c>
      <c r="T1439" s="32" t="n">
        <f aca="false">R1439*(1-VolumeDiscount)</f>
        <v>25543.2</v>
      </c>
    </row>
    <row r="1440" customFormat="false" ht="15" hidden="false" customHeight="false" outlineLevel="0" collapsed="false">
      <c r="A1440" s="25" t="s">
        <v>3164</v>
      </c>
      <c r="B1440" s="25" t="s">
        <v>121</v>
      </c>
      <c r="C1440" s="25" t="s">
        <v>55</v>
      </c>
      <c r="D1440" s="25" t="s">
        <v>3165</v>
      </c>
      <c r="E1440" s="25" t="s">
        <v>3146</v>
      </c>
      <c r="F1440" s="25" t="s">
        <v>3166</v>
      </c>
      <c r="G1440" s="25" t="s">
        <v>35</v>
      </c>
      <c r="H1440" s="25" t="s">
        <v>3148</v>
      </c>
      <c r="I1440" s="25" t="s">
        <v>190</v>
      </c>
      <c r="J1440" s="25" t="s">
        <v>191</v>
      </c>
      <c r="K1440" s="25" t="s">
        <v>298</v>
      </c>
      <c r="L1440" s="25" t="s">
        <v>32</v>
      </c>
      <c r="M1440" s="25" t="n">
        <v>4000</v>
      </c>
      <c r="N1440" s="25" t="n">
        <v>4000</v>
      </c>
      <c r="O1440" s="25"/>
      <c r="P1440" s="26" t="n">
        <f aca="false">(M1440*N1440/1000000)*INDEX(AreaRate_Vals,MATCH(C1440,AreaRate_Keys,0))+IF(H1440="Aluminium Louvre Blade",(M1440*N1440/1000000)*INDEX(Glass_Vals,MATCH("6mm Toughened Louvre Blade",Glass_Keys,0)),0)+INDEX(Hardware_Vals,MATCH("Pergolas",Hardware_Keys,0))</f>
        <v>29220</v>
      </c>
      <c r="Q1440" s="27" t="n">
        <f aca="false">INDEX(Markup_Vals,MATCH("Outdoor Living &amp; Shading",MarkupCat_Keys,0))</f>
        <v>0.45</v>
      </c>
      <c r="R1440" s="28" t="n">
        <f aca="false">P1440*(1+Q1440)</f>
        <v>42369</v>
      </c>
      <c r="S1440" s="28" t="n">
        <f aca="false">R1440*(1-TradeDiscount)</f>
        <v>37284.72</v>
      </c>
      <c r="T1440" s="28" t="n">
        <f aca="false">R1440*(1-VolumeDiscount)</f>
        <v>33895.2</v>
      </c>
    </row>
    <row r="1441" customFormat="false" ht="15" hidden="false" customHeight="false" outlineLevel="0" collapsed="false">
      <c r="A1441" s="29" t="s">
        <v>3167</v>
      </c>
      <c r="B1441" s="29" t="s">
        <v>121</v>
      </c>
      <c r="C1441" s="29" t="s">
        <v>55</v>
      </c>
      <c r="D1441" s="29" t="s">
        <v>3168</v>
      </c>
      <c r="E1441" s="29" t="s">
        <v>3146</v>
      </c>
      <c r="F1441" s="29" t="s">
        <v>3166</v>
      </c>
      <c r="G1441" s="29" t="s">
        <v>36</v>
      </c>
      <c r="H1441" s="29" t="s">
        <v>3148</v>
      </c>
      <c r="I1441" s="29" t="s">
        <v>190</v>
      </c>
      <c r="J1441" s="29" t="s">
        <v>191</v>
      </c>
      <c r="K1441" s="29" t="s">
        <v>298</v>
      </c>
      <c r="L1441" s="29" t="s">
        <v>32</v>
      </c>
      <c r="M1441" s="29" t="n">
        <v>4000</v>
      </c>
      <c r="N1441" s="29" t="n">
        <v>4000</v>
      </c>
      <c r="O1441" s="29"/>
      <c r="P1441" s="30" t="n">
        <f aca="false">(M1441*N1441/1000000)*INDEX(AreaRate_Vals,MATCH(C1441,AreaRate_Keys,0))+IF(H1441="Aluminium Louvre Blade",(M1441*N1441/1000000)*INDEX(Glass_Vals,MATCH("6mm Toughened Louvre Blade",Glass_Keys,0)),0)+INDEX(Hardware_Vals,MATCH("Pergolas",Hardware_Keys,0))</f>
        <v>29220</v>
      </c>
      <c r="Q1441" s="31" t="n">
        <f aca="false">INDEX(Markup_Vals,MATCH("Outdoor Living &amp; Shading",MarkupCat_Keys,0))</f>
        <v>0.45</v>
      </c>
      <c r="R1441" s="32" t="n">
        <f aca="false">P1441*(1+Q1441)</f>
        <v>42369</v>
      </c>
      <c r="S1441" s="32" t="n">
        <f aca="false">R1441*(1-TradeDiscount)</f>
        <v>37284.72</v>
      </c>
      <c r="T1441" s="32" t="n">
        <f aca="false">R1441*(1-VolumeDiscount)</f>
        <v>33895.2</v>
      </c>
    </row>
    <row r="1442" customFormat="false" ht="15" hidden="false" customHeight="false" outlineLevel="0" collapsed="false">
      <c r="A1442" s="25" t="s">
        <v>3169</v>
      </c>
      <c r="B1442" s="25" t="s">
        <v>121</v>
      </c>
      <c r="C1442" s="25" t="s">
        <v>55</v>
      </c>
      <c r="D1442" s="25" t="s">
        <v>3170</v>
      </c>
      <c r="E1442" s="25" t="s">
        <v>3146</v>
      </c>
      <c r="F1442" s="25" t="s">
        <v>3166</v>
      </c>
      <c r="G1442" s="25" t="s">
        <v>37</v>
      </c>
      <c r="H1442" s="25" t="s">
        <v>3148</v>
      </c>
      <c r="I1442" s="25" t="s">
        <v>190</v>
      </c>
      <c r="J1442" s="25" t="s">
        <v>191</v>
      </c>
      <c r="K1442" s="25" t="s">
        <v>298</v>
      </c>
      <c r="L1442" s="25" t="s">
        <v>32</v>
      </c>
      <c r="M1442" s="25" t="n">
        <v>4000</v>
      </c>
      <c r="N1442" s="25" t="n">
        <v>4000</v>
      </c>
      <c r="O1442" s="25"/>
      <c r="P1442" s="26" t="n">
        <f aca="false">(M1442*N1442/1000000)*INDEX(AreaRate_Vals,MATCH(C1442,AreaRate_Keys,0))+IF(H1442="Aluminium Louvre Blade",(M1442*N1442/1000000)*INDEX(Glass_Vals,MATCH("6mm Toughened Louvre Blade",Glass_Keys,0)),0)+INDEX(Hardware_Vals,MATCH("Pergolas",Hardware_Keys,0))</f>
        <v>29220</v>
      </c>
      <c r="Q1442" s="27" t="n">
        <f aca="false">INDEX(Markup_Vals,MATCH("Outdoor Living &amp; Shading",MarkupCat_Keys,0))</f>
        <v>0.45</v>
      </c>
      <c r="R1442" s="28" t="n">
        <f aca="false">P1442*(1+Q1442)</f>
        <v>42369</v>
      </c>
      <c r="S1442" s="28" t="n">
        <f aca="false">R1442*(1-TradeDiscount)</f>
        <v>37284.72</v>
      </c>
      <c r="T1442" s="28" t="n">
        <f aca="false">R1442*(1-VolumeDiscount)</f>
        <v>33895.2</v>
      </c>
    </row>
    <row r="1443" customFormat="false" ht="15" hidden="false" customHeight="false" outlineLevel="0" collapsed="false">
      <c r="A1443" s="29" t="s">
        <v>3171</v>
      </c>
      <c r="B1443" s="29" t="s">
        <v>121</v>
      </c>
      <c r="C1443" s="29" t="s">
        <v>55</v>
      </c>
      <c r="D1443" s="29" t="s">
        <v>3172</v>
      </c>
      <c r="E1443" s="29" t="s">
        <v>3146</v>
      </c>
      <c r="F1443" s="29" t="s">
        <v>3166</v>
      </c>
      <c r="G1443" s="29" t="s">
        <v>39</v>
      </c>
      <c r="H1443" s="29" t="s">
        <v>3148</v>
      </c>
      <c r="I1443" s="29" t="s">
        <v>190</v>
      </c>
      <c r="J1443" s="29" t="s">
        <v>191</v>
      </c>
      <c r="K1443" s="29" t="s">
        <v>298</v>
      </c>
      <c r="L1443" s="29" t="s">
        <v>32</v>
      </c>
      <c r="M1443" s="29" t="n">
        <v>4000</v>
      </c>
      <c r="N1443" s="29" t="n">
        <v>4000</v>
      </c>
      <c r="O1443" s="29"/>
      <c r="P1443" s="30" t="n">
        <f aca="false">(M1443*N1443/1000000)*INDEX(AreaRate_Vals,MATCH(C1443,AreaRate_Keys,0))+IF(H1443="Aluminium Louvre Blade",(M1443*N1443/1000000)*INDEX(Glass_Vals,MATCH("6mm Toughened Louvre Blade",Glass_Keys,0)),0)+INDEX(Hardware_Vals,MATCH("Pergolas",Hardware_Keys,0))</f>
        <v>29220</v>
      </c>
      <c r="Q1443" s="31" t="n">
        <f aca="false">INDEX(Markup_Vals,MATCH("Outdoor Living &amp; Shading",MarkupCat_Keys,0))</f>
        <v>0.45</v>
      </c>
      <c r="R1443" s="32" t="n">
        <f aca="false">P1443*(1+Q1443)</f>
        <v>42369</v>
      </c>
      <c r="S1443" s="32" t="n">
        <f aca="false">R1443*(1-TradeDiscount)</f>
        <v>37284.72</v>
      </c>
      <c r="T1443" s="32" t="n">
        <f aca="false">R1443*(1-VolumeDiscount)</f>
        <v>33895.2</v>
      </c>
    </row>
    <row r="1444" customFormat="false" ht="15" hidden="false" customHeight="false" outlineLevel="0" collapsed="false">
      <c r="A1444" s="25" t="s">
        <v>3173</v>
      </c>
      <c r="B1444" s="25" t="s">
        <v>121</v>
      </c>
      <c r="C1444" s="25" t="s">
        <v>55</v>
      </c>
      <c r="D1444" s="25" t="s">
        <v>3174</v>
      </c>
      <c r="E1444" s="25" t="s">
        <v>3146</v>
      </c>
      <c r="F1444" s="25" t="s">
        <v>3175</v>
      </c>
      <c r="G1444" s="25" t="s">
        <v>35</v>
      </c>
      <c r="H1444" s="25" t="s">
        <v>3148</v>
      </c>
      <c r="I1444" s="25" t="s">
        <v>190</v>
      </c>
      <c r="J1444" s="25" t="s">
        <v>191</v>
      </c>
      <c r="K1444" s="25" t="s">
        <v>298</v>
      </c>
      <c r="L1444" s="25" t="s">
        <v>32</v>
      </c>
      <c r="M1444" s="25" t="n">
        <v>4000</v>
      </c>
      <c r="N1444" s="25" t="n">
        <v>5000</v>
      </c>
      <c r="O1444" s="25"/>
      <c r="P1444" s="26" t="n">
        <f aca="false">(M1444*N1444/1000000)*INDEX(AreaRate_Vals,MATCH(C1444,AreaRate_Keys,0))+IF(H1444="Aluminium Louvre Blade",(M1444*N1444/1000000)*INDEX(Glass_Vals,MATCH("6mm Toughened Louvre Blade",Glass_Keys,0)),0)+INDEX(Hardware_Vals,MATCH("Pergolas",Hardware_Keys,0))</f>
        <v>36420</v>
      </c>
      <c r="Q1444" s="27" t="n">
        <f aca="false">INDEX(Markup_Vals,MATCH("Outdoor Living &amp; Shading",MarkupCat_Keys,0))</f>
        <v>0.45</v>
      </c>
      <c r="R1444" s="28" t="n">
        <f aca="false">P1444*(1+Q1444)</f>
        <v>52809</v>
      </c>
      <c r="S1444" s="28" t="n">
        <f aca="false">R1444*(1-TradeDiscount)</f>
        <v>46471.92</v>
      </c>
      <c r="T1444" s="28" t="n">
        <f aca="false">R1444*(1-VolumeDiscount)</f>
        <v>42247.2</v>
      </c>
    </row>
    <row r="1445" customFormat="false" ht="15" hidden="false" customHeight="false" outlineLevel="0" collapsed="false">
      <c r="A1445" s="29" t="s">
        <v>3176</v>
      </c>
      <c r="B1445" s="29" t="s">
        <v>121</v>
      </c>
      <c r="C1445" s="29" t="s">
        <v>55</v>
      </c>
      <c r="D1445" s="29" t="s">
        <v>3177</v>
      </c>
      <c r="E1445" s="29" t="s">
        <v>3146</v>
      </c>
      <c r="F1445" s="29" t="s">
        <v>3175</v>
      </c>
      <c r="G1445" s="29" t="s">
        <v>36</v>
      </c>
      <c r="H1445" s="29" t="s">
        <v>3148</v>
      </c>
      <c r="I1445" s="29" t="s">
        <v>190</v>
      </c>
      <c r="J1445" s="29" t="s">
        <v>191</v>
      </c>
      <c r="K1445" s="29" t="s">
        <v>298</v>
      </c>
      <c r="L1445" s="29" t="s">
        <v>32</v>
      </c>
      <c r="M1445" s="29" t="n">
        <v>4000</v>
      </c>
      <c r="N1445" s="29" t="n">
        <v>5000</v>
      </c>
      <c r="O1445" s="29"/>
      <c r="P1445" s="30" t="n">
        <f aca="false">(M1445*N1445/1000000)*INDEX(AreaRate_Vals,MATCH(C1445,AreaRate_Keys,0))+IF(H1445="Aluminium Louvre Blade",(M1445*N1445/1000000)*INDEX(Glass_Vals,MATCH("6mm Toughened Louvre Blade",Glass_Keys,0)),0)+INDEX(Hardware_Vals,MATCH("Pergolas",Hardware_Keys,0))</f>
        <v>36420</v>
      </c>
      <c r="Q1445" s="31" t="n">
        <f aca="false">INDEX(Markup_Vals,MATCH("Outdoor Living &amp; Shading",MarkupCat_Keys,0))</f>
        <v>0.45</v>
      </c>
      <c r="R1445" s="32" t="n">
        <f aca="false">P1445*(1+Q1445)</f>
        <v>52809</v>
      </c>
      <c r="S1445" s="32" t="n">
        <f aca="false">R1445*(1-TradeDiscount)</f>
        <v>46471.92</v>
      </c>
      <c r="T1445" s="32" t="n">
        <f aca="false">R1445*(1-VolumeDiscount)</f>
        <v>42247.2</v>
      </c>
    </row>
    <row r="1446" customFormat="false" ht="15" hidden="false" customHeight="false" outlineLevel="0" collapsed="false">
      <c r="A1446" s="25" t="s">
        <v>3178</v>
      </c>
      <c r="B1446" s="25" t="s">
        <v>121</v>
      </c>
      <c r="C1446" s="25" t="s">
        <v>55</v>
      </c>
      <c r="D1446" s="25" t="s">
        <v>3179</v>
      </c>
      <c r="E1446" s="25" t="s">
        <v>3146</v>
      </c>
      <c r="F1446" s="25" t="s">
        <v>3175</v>
      </c>
      <c r="G1446" s="25" t="s">
        <v>37</v>
      </c>
      <c r="H1446" s="25" t="s">
        <v>3148</v>
      </c>
      <c r="I1446" s="25" t="s">
        <v>190</v>
      </c>
      <c r="J1446" s="25" t="s">
        <v>191</v>
      </c>
      <c r="K1446" s="25" t="s">
        <v>298</v>
      </c>
      <c r="L1446" s="25" t="s">
        <v>32</v>
      </c>
      <c r="M1446" s="25" t="n">
        <v>4000</v>
      </c>
      <c r="N1446" s="25" t="n">
        <v>5000</v>
      </c>
      <c r="O1446" s="25"/>
      <c r="P1446" s="26" t="n">
        <f aca="false">(M1446*N1446/1000000)*INDEX(AreaRate_Vals,MATCH(C1446,AreaRate_Keys,0))+IF(H1446="Aluminium Louvre Blade",(M1446*N1446/1000000)*INDEX(Glass_Vals,MATCH("6mm Toughened Louvre Blade",Glass_Keys,0)),0)+INDEX(Hardware_Vals,MATCH("Pergolas",Hardware_Keys,0))</f>
        <v>36420</v>
      </c>
      <c r="Q1446" s="27" t="n">
        <f aca="false">INDEX(Markup_Vals,MATCH("Outdoor Living &amp; Shading",MarkupCat_Keys,0))</f>
        <v>0.45</v>
      </c>
      <c r="R1446" s="28" t="n">
        <f aca="false">P1446*(1+Q1446)</f>
        <v>52809</v>
      </c>
      <c r="S1446" s="28" t="n">
        <f aca="false">R1446*(1-TradeDiscount)</f>
        <v>46471.92</v>
      </c>
      <c r="T1446" s="28" t="n">
        <f aca="false">R1446*(1-VolumeDiscount)</f>
        <v>42247.2</v>
      </c>
    </row>
    <row r="1447" customFormat="false" ht="15" hidden="false" customHeight="false" outlineLevel="0" collapsed="false">
      <c r="A1447" s="29" t="s">
        <v>3180</v>
      </c>
      <c r="B1447" s="29" t="s">
        <v>121</v>
      </c>
      <c r="C1447" s="29" t="s">
        <v>55</v>
      </c>
      <c r="D1447" s="29" t="s">
        <v>3181</v>
      </c>
      <c r="E1447" s="29" t="s">
        <v>3146</v>
      </c>
      <c r="F1447" s="29" t="s">
        <v>3175</v>
      </c>
      <c r="G1447" s="29" t="s">
        <v>39</v>
      </c>
      <c r="H1447" s="29" t="s">
        <v>3148</v>
      </c>
      <c r="I1447" s="29" t="s">
        <v>190</v>
      </c>
      <c r="J1447" s="29" t="s">
        <v>191</v>
      </c>
      <c r="K1447" s="29" t="s">
        <v>298</v>
      </c>
      <c r="L1447" s="29" t="s">
        <v>32</v>
      </c>
      <c r="M1447" s="29" t="n">
        <v>4000</v>
      </c>
      <c r="N1447" s="29" t="n">
        <v>5000</v>
      </c>
      <c r="O1447" s="29"/>
      <c r="P1447" s="30" t="n">
        <f aca="false">(M1447*N1447/1000000)*INDEX(AreaRate_Vals,MATCH(C1447,AreaRate_Keys,0))+IF(H1447="Aluminium Louvre Blade",(M1447*N1447/1000000)*INDEX(Glass_Vals,MATCH("6mm Toughened Louvre Blade",Glass_Keys,0)),0)+INDEX(Hardware_Vals,MATCH("Pergolas",Hardware_Keys,0))</f>
        <v>36420</v>
      </c>
      <c r="Q1447" s="31" t="n">
        <f aca="false">INDEX(Markup_Vals,MATCH("Outdoor Living &amp; Shading",MarkupCat_Keys,0))</f>
        <v>0.45</v>
      </c>
      <c r="R1447" s="32" t="n">
        <f aca="false">P1447*(1+Q1447)</f>
        <v>52809</v>
      </c>
      <c r="S1447" s="32" t="n">
        <f aca="false">R1447*(1-TradeDiscount)</f>
        <v>46471.92</v>
      </c>
      <c r="T1447" s="32" t="n">
        <f aca="false">R1447*(1-VolumeDiscount)</f>
        <v>42247.2</v>
      </c>
    </row>
    <row r="1448" customFormat="false" ht="15" hidden="false" customHeight="false" outlineLevel="0" collapsed="false">
      <c r="A1448" s="25" t="s">
        <v>3182</v>
      </c>
      <c r="B1448" s="25" t="s">
        <v>121</v>
      </c>
      <c r="C1448" s="25" t="s">
        <v>55</v>
      </c>
      <c r="D1448" s="25" t="s">
        <v>3183</v>
      </c>
      <c r="E1448" s="25" t="s">
        <v>3146</v>
      </c>
      <c r="F1448" s="25" t="s">
        <v>3184</v>
      </c>
      <c r="G1448" s="25" t="s">
        <v>35</v>
      </c>
      <c r="H1448" s="25" t="s">
        <v>3148</v>
      </c>
      <c r="I1448" s="25" t="s">
        <v>190</v>
      </c>
      <c r="J1448" s="25" t="s">
        <v>191</v>
      </c>
      <c r="K1448" s="25" t="s">
        <v>298</v>
      </c>
      <c r="L1448" s="25" t="s">
        <v>32</v>
      </c>
      <c r="M1448" s="25" t="n">
        <v>5000</v>
      </c>
      <c r="N1448" s="25" t="n">
        <v>5000</v>
      </c>
      <c r="O1448" s="25"/>
      <c r="P1448" s="26" t="n">
        <f aca="false">(M1448*N1448/1000000)*INDEX(AreaRate_Vals,MATCH(C1448,AreaRate_Keys,0))+IF(H1448="Aluminium Louvre Blade",(M1448*N1448/1000000)*INDEX(Glass_Vals,MATCH("6mm Toughened Louvre Blade",Glass_Keys,0)),0)+INDEX(Hardware_Vals,MATCH("Pergolas",Hardware_Keys,0))</f>
        <v>45420</v>
      </c>
      <c r="Q1448" s="27" t="n">
        <f aca="false">INDEX(Markup_Vals,MATCH("Outdoor Living &amp; Shading",MarkupCat_Keys,0))</f>
        <v>0.45</v>
      </c>
      <c r="R1448" s="28" t="n">
        <f aca="false">P1448*(1+Q1448)</f>
        <v>65859</v>
      </c>
      <c r="S1448" s="28" t="n">
        <f aca="false">R1448*(1-TradeDiscount)</f>
        <v>57955.92</v>
      </c>
      <c r="T1448" s="28" t="n">
        <f aca="false">R1448*(1-VolumeDiscount)</f>
        <v>52687.2</v>
      </c>
    </row>
    <row r="1449" customFormat="false" ht="15" hidden="false" customHeight="false" outlineLevel="0" collapsed="false">
      <c r="A1449" s="29" t="s">
        <v>3185</v>
      </c>
      <c r="B1449" s="29" t="s">
        <v>121</v>
      </c>
      <c r="C1449" s="29" t="s">
        <v>55</v>
      </c>
      <c r="D1449" s="29" t="s">
        <v>3186</v>
      </c>
      <c r="E1449" s="29" t="s">
        <v>3146</v>
      </c>
      <c r="F1449" s="29" t="s">
        <v>3184</v>
      </c>
      <c r="G1449" s="29" t="s">
        <v>36</v>
      </c>
      <c r="H1449" s="29" t="s">
        <v>3148</v>
      </c>
      <c r="I1449" s="29" t="s">
        <v>190</v>
      </c>
      <c r="J1449" s="29" t="s">
        <v>191</v>
      </c>
      <c r="K1449" s="29" t="s">
        <v>298</v>
      </c>
      <c r="L1449" s="29" t="s">
        <v>32</v>
      </c>
      <c r="M1449" s="29" t="n">
        <v>5000</v>
      </c>
      <c r="N1449" s="29" t="n">
        <v>5000</v>
      </c>
      <c r="O1449" s="29"/>
      <c r="P1449" s="30" t="n">
        <f aca="false">(M1449*N1449/1000000)*INDEX(AreaRate_Vals,MATCH(C1449,AreaRate_Keys,0))+IF(H1449="Aluminium Louvre Blade",(M1449*N1449/1000000)*INDEX(Glass_Vals,MATCH("6mm Toughened Louvre Blade",Glass_Keys,0)),0)+INDEX(Hardware_Vals,MATCH("Pergolas",Hardware_Keys,0))</f>
        <v>45420</v>
      </c>
      <c r="Q1449" s="31" t="n">
        <f aca="false">INDEX(Markup_Vals,MATCH("Outdoor Living &amp; Shading",MarkupCat_Keys,0))</f>
        <v>0.45</v>
      </c>
      <c r="R1449" s="32" t="n">
        <f aca="false">P1449*(1+Q1449)</f>
        <v>65859</v>
      </c>
      <c r="S1449" s="32" t="n">
        <f aca="false">R1449*(1-TradeDiscount)</f>
        <v>57955.92</v>
      </c>
      <c r="T1449" s="32" t="n">
        <f aca="false">R1449*(1-VolumeDiscount)</f>
        <v>52687.2</v>
      </c>
    </row>
    <row r="1450" customFormat="false" ht="15" hidden="false" customHeight="false" outlineLevel="0" collapsed="false">
      <c r="A1450" s="25" t="s">
        <v>3187</v>
      </c>
      <c r="B1450" s="25" t="s">
        <v>121</v>
      </c>
      <c r="C1450" s="25" t="s">
        <v>55</v>
      </c>
      <c r="D1450" s="25" t="s">
        <v>3188</v>
      </c>
      <c r="E1450" s="25" t="s">
        <v>3146</v>
      </c>
      <c r="F1450" s="25" t="s">
        <v>3184</v>
      </c>
      <c r="G1450" s="25" t="s">
        <v>37</v>
      </c>
      <c r="H1450" s="25" t="s">
        <v>3148</v>
      </c>
      <c r="I1450" s="25" t="s">
        <v>190</v>
      </c>
      <c r="J1450" s="25" t="s">
        <v>191</v>
      </c>
      <c r="K1450" s="25" t="s">
        <v>298</v>
      </c>
      <c r="L1450" s="25" t="s">
        <v>32</v>
      </c>
      <c r="M1450" s="25" t="n">
        <v>5000</v>
      </c>
      <c r="N1450" s="25" t="n">
        <v>5000</v>
      </c>
      <c r="O1450" s="25"/>
      <c r="P1450" s="26" t="n">
        <f aca="false">(M1450*N1450/1000000)*INDEX(AreaRate_Vals,MATCH(C1450,AreaRate_Keys,0))+IF(H1450="Aluminium Louvre Blade",(M1450*N1450/1000000)*INDEX(Glass_Vals,MATCH("6mm Toughened Louvre Blade",Glass_Keys,0)),0)+INDEX(Hardware_Vals,MATCH("Pergolas",Hardware_Keys,0))</f>
        <v>45420</v>
      </c>
      <c r="Q1450" s="27" t="n">
        <f aca="false">INDEX(Markup_Vals,MATCH("Outdoor Living &amp; Shading",MarkupCat_Keys,0))</f>
        <v>0.45</v>
      </c>
      <c r="R1450" s="28" t="n">
        <f aca="false">P1450*(1+Q1450)</f>
        <v>65859</v>
      </c>
      <c r="S1450" s="28" t="n">
        <f aca="false">R1450*(1-TradeDiscount)</f>
        <v>57955.92</v>
      </c>
      <c r="T1450" s="28" t="n">
        <f aca="false">R1450*(1-VolumeDiscount)</f>
        <v>52687.2</v>
      </c>
    </row>
    <row r="1451" customFormat="false" ht="15" hidden="false" customHeight="false" outlineLevel="0" collapsed="false">
      <c r="A1451" s="29" t="s">
        <v>3189</v>
      </c>
      <c r="B1451" s="29" t="s">
        <v>121</v>
      </c>
      <c r="C1451" s="29" t="s">
        <v>55</v>
      </c>
      <c r="D1451" s="29" t="s">
        <v>3190</v>
      </c>
      <c r="E1451" s="29" t="s">
        <v>3146</v>
      </c>
      <c r="F1451" s="29" t="s">
        <v>3184</v>
      </c>
      <c r="G1451" s="29" t="s">
        <v>39</v>
      </c>
      <c r="H1451" s="29" t="s">
        <v>3148</v>
      </c>
      <c r="I1451" s="29" t="s">
        <v>190</v>
      </c>
      <c r="J1451" s="29" t="s">
        <v>191</v>
      </c>
      <c r="K1451" s="29" t="s">
        <v>298</v>
      </c>
      <c r="L1451" s="29" t="s">
        <v>32</v>
      </c>
      <c r="M1451" s="29" t="n">
        <v>5000</v>
      </c>
      <c r="N1451" s="29" t="n">
        <v>5000</v>
      </c>
      <c r="O1451" s="29"/>
      <c r="P1451" s="30" t="n">
        <f aca="false">(M1451*N1451/1000000)*INDEX(AreaRate_Vals,MATCH(C1451,AreaRate_Keys,0))+IF(H1451="Aluminium Louvre Blade",(M1451*N1451/1000000)*INDEX(Glass_Vals,MATCH("6mm Toughened Louvre Blade",Glass_Keys,0)),0)+INDEX(Hardware_Vals,MATCH("Pergolas",Hardware_Keys,0))</f>
        <v>45420</v>
      </c>
      <c r="Q1451" s="31" t="n">
        <f aca="false">INDEX(Markup_Vals,MATCH("Outdoor Living &amp; Shading",MarkupCat_Keys,0))</f>
        <v>0.45</v>
      </c>
      <c r="R1451" s="32" t="n">
        <f aca="false">P1451*(1+Q1451)</f>
        <v>65859</v>
      </c>
      <c r="S1451" s="32" t="n">
        <f aca="false">R1451*(1-TradeDiscount)</f>
        <v>57955.92</v>
      </c>
      <c r="T1451" s="32" t="n">
        <f aca="false">R1451*(1-VolumeDiscount)</f>
        <v>52687.2</v>
      </c>
    </row>
    <row r="1452" customFormat="false" ht="15" hidden="false" customHeight="false" outlineLevel="0" collapsed="false">
      <c r="A1452" s="25" t="s">
        <v>3191</v>
      </c>
      <c r="B1452" s="25" t="s">
        <v>121</v>
      </c>
      <c r="C1452" s="25" t="s">
        <v>55</v>
      </c>
      <c r="D1452" s="25" t="s">
        <v>3192</v>
      </c>
      <c r="E1452" s="25" t="s">
        <v>3146</v>
      </c>
      <c r="F1452" s="25" t="s">
        <v>3193</v>
      </c>
      <c r="G1452" s="25" t="s">
        <v>35</v>
      </c>
      <c r="H1452" s="25" t="s">
        <v>3148</v>
      </c>
      <c r="I1452" s="25" t="s">
        <v>190</v>
      </c>
      <c r="J1452" s="25" t="s">
        <v>191</v>
      </c>
      <c r="K1452" s="25" t="s">
        <v>298</v>
      </c>
      <c r="L1452" s="25" t="s">
        <v>32</v>
      </c>
      <c r="M1452" s="25" t="n">
        <v>6000</v>
      </c>
      <c r="N1452" s="25" t="n">
        <v>4000</v>
      </c>
      <c r="O1452" s="25"/>
      <c r="P1452" s="26" t="n">
        <f aca="false">(M1452*N1452/1000000)*INDEX(AreaRate_Vals,MATCH(C1452,AreaRate_Keys,0))+IF(H1452="Aluminium Louvre Blade",(M1452*N1452/1000000)*INDEX(Glass_Vals,MATCH("6mm Toughened Louvre Blade",Glass_Keys,0)),0)+INDEX(Hardware_Vals,MATCH("Pergolas",Hardware_Keys,0))</f>
        <v>43620</v>
      </c>
      <c r="Q1452" s="27" t="n">
        <f aca="false">INDEX(Markup_Vals,MATCH("Outdoor Living &amp; Shading",MarkupCat_Keys,0))</f>
        <v>0.45</v>
      </c>
      <c r="R1452" s="28" t="n">
        <f aca="false">P1452*(1+Q1452)</f>
        <v>63249</v>
      </c>
      <c r="S1452" s="28" t="n">
        <f aca="false">R1452*(1-TradeDiscount)</f>
        <v>55659.12</v>
      </c>
      <c r="T1452" s="28" t="n">
        <f aca="false">R1452*(1-VolumeDiscount)</f>
        <v>50599.2</v>
      </c>
    </row>
    <row r="1453" customFormat="false" ht="15" hidden="false" customHeight="false" outlineLevel="0" collapsed="false">
      <c r="A1453" s="29" t="s">
        <v>3194</v>
      </c>
      <c r="B1453" s="29" t="s">
        <v>121</v>
      </c>
      <c r="C1453" s="29" t="s">
        <v>55</v>
      </c>
      <c r="D1453" s="29" t="s">
        <v>3195</v>
      </c>
      <c r="E1453" s="29" t="s">
        <v>3146</v>
      </c>
      <c r="F1453" s="29" t="s">
        <v>3193</v>
      </c>
      <c r="G1453" s="29" t="s">
        <v>36</v>
      </c>
      <c r="H1453" s="29" t="s">
        <v>3148</v>
      </c>
      <c r="I1453" s="29" t="s">
        <v>190</v>
      </c>
      <c r="J1453" s="29" t="s">
        <v>191</v>
      </c>
      <c r="K1453" s="29" t="s">
        <v>298</v>
      </c>
      <c r="L1453" s="29" t="s">
        <v>32</v>
      </c>
      <c r="M1453" s="29" t="n">
        <v>6000</v>
      </c>
      <c r="N1453" s="29" t="n">
        <v>4000</v>
      </c>
      <c r="O1453" s="29"/>
      <c r="P1453" s="30" t="n">
        <f aca="false">(M1453*N1453/1000000)*INDEX(AreaRate_Vals,MATCH(C1453,AreaRate_Keys,0))+IF(H1453="Aluminium Louvre Blade",(M1453*N1453/1000000)*INDEX(Glass_Vals,MATCH("6mm Toughened Louvre Blade",Glass_Keys,0)),0)+INDEX(Hardware_Vals,MATCH("Pergolas",Hardware_Keys,0))</f>
        <v>43620</v>
      </c>
      <c r="Q1453" s="31" t="n">
        <f aca="false">INDEX(Markup_Vals,MATCH("Outdoor Living &amp; Shading",MarkupCat_Keys,0))</f>
        <v>0.45</v>
      </c>
      <c r="R1453" s="32" t="n">
        <f aca="false">P1453*(1+Q1453)</f>
        <v>63249</v>
      </c>
      <c r="S1453" s="32" t="n">
        <f aca="false">R1453*(1-TradeDiscount)</f>
        <v>55659.12</v>
      </c>
      <c r="T1453" s="32" t="n">
        <f aca="false">R1453*(1-VolumeDiscount)</f>
        <v>50599.2</v>
      </c>
    </row>
    <row r="1454" customFormat="false" ht="15" hidden="false" customHeight="false" outlineLevel="0" collapsed="false">
      <c r="A1454" s="25" t="s">
        <v>3196</v>
      </c>
      <c r="B1454" s="25" t="s">
        <v>121</v>
      </c>
      <c r="C1454" s="25" t="s">
        <v>55</v>
      </c>
      <c r="D1454" s="25" t="s">
        <v>3197</v>
      </c>
      <c r="E1454" s="25" t="s">
        <v>3146</v>
      </c>
      <c r="F1454" s="25" t="s">
        <v>3193</v>
      </c>
      <c r="G1454" s="25" t="s">
        <v>37</v>
      </c>
      <c r="H1454" s="25" t="s">
        <v>3148</v>
      </c>
      <c r="I1454" s="25" t="s">
        <v>190</v>
      </c>
      <c r="J1454" s="25" t="s">
        <v>191</v>
      </c>
      <c r="K1454" s="25" t="s">
        <v>298</v>
      </c>
      <c r="L1454" s="25" t="s">
        <v>32</v>
      </c>
      <c r="M1454" s="25" t="n">
        <v>6000</v>
      </c>
      <c r="N1454" s="25" t="n">
        <v>4000</v>
      </c>
      <c r="O1454" s="25"/>
      <c r="P1454" s="26" t="n">
        <f aca="false">(M1454*N1454/1000000)*INDEX(AreaRate_Vals,MATCH(C1454,AreaRate_Keys,0))+IF(H1454="Aluminium Louvre Blade",(M1454*N1454/1000000)*INDEX(Glass_Vals,MATCH("6mm Toughened Louvre Blade",Glass_Keys,0)),0)+INDEX(Hardware_Vals,MATCH("Pergolas",Hardware_Keys,0))</f>
        <v>43620</v>
      </c>
      <c r="Q1454" s="27" t="n">
        <f aca="false">INDEX(Markup_Vals,MATCH("Outdoor Living &amp; Shading",MarkupCat_Keys,0))</f>
        <v>0.45</v>
      </c>
      <c r="R1454" s="28" t="n">
        <f aca="false">P1454*(1+Q1454)</f>
        <v>63249</v>
      </c>
      <c r="S1454" s="28" t="n">
        <f aca="false">R1454*(1-TradeDiscount)</f>
        <v>55659.12</v>
      </c>
      <c r="T1454" s="28" t="n">
        <f aca="false">R1454*(1-VolumeDiscount)</f>
        <v>50599.2</v>
      </c>
    </row>
    <row r="1455" customFormat="false" ht="15" hidden="false" customHeight="false" outlineLevel="0" collapsed="false">
      <c r="A1455" s="29" t="s">
        <v>3198</v>
      </c>
      <c r="B1455" s="29" t="s">
        <v>121</v>
      </c>
      <c r="C1455" s="29" t="s">
        <v>55</v>
      </c>
      <c r="D1455" s="29" t="s">
        <v>3199</v>
      </c>
      <c r="E1455" s="29" t="s">
        <v>3146</v>
      </c>
      <c r="F1455" s="29" t="s">
        <v>3193</v>
      </c>
      <c r="G1455" s="29" t="s">
        <v>39</v>
      </c>
      <c r="H1455" s="29" t="s">
        <v>3148</v>
      </c>
      <c r="I1455" s="29" t="s">
        <v>190</v>
      </c>
      <c r="J1455" s="29" t="s">
        <v>191</v>
      </c>
      <c r="K1455" s="29" t="s">
        <v>298</v>
      </c>
      <c r="L1455" s="29" t="s">
        <v>32</v>
      </c>
      <c r="M1455" s="29" t="n">
        <v>6000</v>
      </c>
      <c r="N1455" s="29" t="n">
        <v>4000</v>
      </c>
      <c r="O1455" s="29"/>
      <c r="P1455" s="30" t="n">
        <f aca="false">(M1455*N1455/1000000)*INDEX(AreaRate_Vals,MATCH(C1455,AreaRate_Keys,0))+IF(H1455="Aluminium Louvre Blade",(M1455*N1455/1000000)*INDEX(Glass_Vals,MATCH("6mm Toughened Louvre Blade",Glass_Keys,0)),0)+INDEX(Hardware_Vals,MATCH("Pergolas",Hardware_Keys,0))</f>
        <v>43620</v>
      </c>
      <c r="Q1455" s="31" t="n">
        <f aca="false">INDEX(Markup_Vals,MATCH("Outdoor Living &amp; Shading",MarkupCat_Keys,0))</f>
        <v>0.45</v>
      </c>
      <c r="R1455" s="32" t="n">
        <f aca="false">P1455*(1+Q1455)</f>
        <v>63249</v>
      </c>
      <c r="S1455" s="32" t="n">
        <f aca="false">R1455*(1-TradeDiscount)</f>
        <v>55659.12</v>
      </c>
      <c r="T1455" s="32" t="n">
        <f aca="false">R1455*(1-VolumeDiscount)</f>
        <v>50599.2</v>
      </c>
    </row>
    <row r="1456" customFormat="false" ht="15" hidden="false" customHeight="false" outlineLevel="0" collapsed="false">
      <c r="A1456" s="25" t="s">
        <v>3200</v>
      </c>
      <c r="B1456" s="25" t="s">
        <v>121</v>
      </c>
      <c r="C1456" s="25" t="s">
        <v>55</v>
      </c>
      <c r="D1456" s="25" t="s">
        <v>3201</v>
      </c>
      <c r="E1456" s="25" t="s">
        <v>3202</v>
      </c>
      <c r="F1456" s="25" t="s">
        <v>3147</v>
      </c>
      <c r="G1456" s="25" t="s">
        <v>35</v>
      </c>
      <c r="H1456" s="25" t="s">
        <v>69</v>
      </c>
      <c r="I1456" s="25" t="s">
        <v>190</v>
      </c>
      <c r="J1456" s="25" t="s">
        <v>191</v>
      </c>
      <c r="K1456" s="25" t="s">
        <v>298</v>
      </c>
      <c r="L1456" s="25" t="s">
        <v>32</v>
      </c>
      <c r="M1456" s="25" t="n">
        <v>3000</v>
      </c>
      <c r="N1456" s="25" t="n">
        <v>3000</v>
      </c>
      <c r="O1456" s="25"/>
      <c r="P1456" s="26" t="n">
        <f aca="false">(M1456*N1456/1000000)*INDEX(AreaRate_Vals,MATCH(C1456,AreaRate_Keys,0))+IF(H1456="Aluminium Louvre Blade",(M1456*N1456/1000000)*INDEX(Glass_Vals,MATCH("6mm Toughened Louvre Blade",Glass_Keys,0)),0)+INDEX(Hardware_Vals,MATCH("Pergolas",Hardware_Keys,0))</f>
        <v>19500</v>
      </c>
      <c r="Q1456" s="27" t="n">
        <f aca="false">INDEX(Markup_Vals,MATCH("Outdoor Living &amp; Shading",MarkupCat_Keys,0))</f>
        <v>0.45</v>
      </c>
      <c r="R1456" s="28" t="n">
        <f aca="false">P1456*(1+Q1456)</f>
        <v>28275</v>
      </c>
      <c r="S1456" s="28" t="n">
        <f aca="false">R1456*(1-TradeDiscount)</f>
        <v>24882</v>
      </c>
      <c r="T1456" s="28" t="n">
        <f aca="false">R1456*(1-VolumeDiscount)</f>
        <v>22620</v>
      </c>
    </row>
    <row r="1457" customFormat="false" ht="15" hidden="false" customHeight="false" outlineLevel="0" collapsed="false">
      <c r="A1457" s="29" t="s">
        <v>3203</v>
      </c>
      <c r="B1457" s="29" t="s">
        <v>121</v>
      </c>
      <c r="C1457" s="29" t="s">
        <v>55</v>
      </c>
      <c r="D1457" s="29" t="s">
        <v>3204</v>
      </c>
      <c r="E1457" s="29" t="s">
        <v>3202</v>
      </c>
      <c r="F1457" s="29" t="s">
        <v>3147</v>
      </c>
      <c r="G1457" s="29" t="s">
        <v>36</v>
      </c>
      <c r="H1457" s="29" t="s">
        <v>69</v>
      </c>
      <c r="I1457" s="29" t="s">
        <v>190</v>
      </c>
      <c r="J1457" s="29" t="s">
        <v>191</v>
      </c>
      <c r="K1457" s="29" t="s">
        <v>298</v>
      </c>
      <c r="L1457" s="29" t="s">
        <v>32</v>
      </c>
      <c r="M1457" s="29" t="n">
        <v>3000</v>
      </c>
      <c r="N1457" s="29" t="n">
        <v>3000</v>
      </c>
      <c r="O1457" s="29"/>
      <c r="P1457" s="30" t="n">
        <f aca="false">(M1457*N1457/1000000)*INDEX(AreaRate_Vals,MATCH(C1457,AreaRate_Keys,0))+IF(H1457="Aluminium Louvre Blade",(M1457*N1457/1000000)*INDEX(Glass_Vals,MATCH("6mm Toughened Louvre Blade",Glass_Keys,0)),0)+INDEX(Hardware_Vals,MATCH("Pergolas",Hardware_Keys,0))</f>
        <v>19500</v>
      </c>
      <c r="Q1457" s="31" t="n">
        <f aca="false">INDEX(Markup_Vals,MATCH("Outdoor Living &amp; Shading",MarkupCat_Keys,0))</f>
        <v>0.45</v>
      </c>
      <c r="R1457" s="32" t="n">
        <f aca="false">P1457*(1+Q1457)</f>
        <v>28275</v>
      </c>
      <c r="S1457" s="32" t="n">
        <f aca="false">R1457*(1-TradeDiscount)</f>
        <v>24882</v>
      </c>
      <c r="T1457" s="32" t="n">
        <f aca="false">R1457*(1-VolumeDiscount)</f>
        <v>22620</v>
      </c>
    </row>
    <row r="1458" customFormat="false" ht="15" hidden="false" customHeight="false" outlineLevel="0" collapsed="false">
      <c r="A1458" s="25" t="s">
        <v>3205</v>
      </c>
      <c r="B1458" s="25" t="s">
        <v>121</v>
      </c>
      <c r="C1458" s="25" t="s">
        <v>55</v>
      </c>
      <c r="D1458" s="25" t="s">
        <v>3206</v>
      </c>
      <c r="E1458" s="25" t="s">
        <v>3202</v>
      </c>
      <c r="F1458" s="25" t="s">
        <v>3147</v>
      </c>
      <c r="G1458" s="25" t="s">
        <v>37</v>
      </c>
      <c r="H1458" s="25" t="s">
        <v>69</v>
      </c>
      <c r="I1458" s="25" t="s">
        <v>190</v>
      </c>
      <c r="J1458" s="25" t="s">
        <v>191</v>
      </c>
      <c r="K1458" s="25" t="s">
        <v>298</v>
      </c>
      <c r="L1458" s="25" t="s">
        <v>32</v>
      </c>
      <c r="M1458" s="25" t="n">
        <v>3000</v>
      </c>
      <c r="N1458" s="25" t="n">
        <v>3000</v>
      </c>
      <c r="O1458" s="25"/>
      <c r="P1458" s="26" t="n">
        <f aca="false">(M1458*N1458/1000000)*INDEX(AreaRate_Vals,MATCH(C1458,AreaRate_Keys,0))+IF(H1458="Aluminium Louvre Blade",(M1458*N1458/1000000)*INDEX(Glass_Vals,MATCH("6mm Toughened Louvre Blade",Glass_Keys,0)),0)+INDEX(Hardware_Vals,MATCH("Pergolas",Hardware_Keys,0))</f>
        <v>19500</v>
      </c>
      <c r="Q1458" s="27" t="n">
        <f aca="false">INDEX(Markup_Vals,MATCH("Outdoor Living &amp; Shading",MarkupCat_Keys,0))</f>
        <v>0.45</v>
      </c>
      <c r="R1458" s="28" t="n">
        <f aca="false">P1458*(1+Q1458)</f>
        <v>28275</v>
      </c>
      <c r="S1458" s="28" t="n">
        <f aca="false">R1458*(1-TradeDiscount)</f>
        <v>24882</v>
      </c>
      <c r="T1458" s="28" t="n">
        <f aca="false">R1458*(1-VolumeDiscount)</f>
        <v>22620</v>
      </c>
    </row>
    <row r="1459" customFormat="false" ht="15" hidden="false" customHeight="false" outlineLevel="0" collapsed="false">
      <c r="A1459" s="29" t="s">
        <v>3207</v>
      </c>
      <c r="B1459" s="29" t="s">
        <v>121</v>
      </c>
      <c r="C1459" s="29" t="s">
        <v>55</v>
      </c>
      <c r="D1459" s="29" t="s">
        <v>3208</v>
      </c>
      <c r="E1459" s="29" t="s">
        <v>3202</v>
      </c>
      <c r="F1459" s="29" t="s">
        <v>3147</v>
      </c>
      <c r="G1459" s="29" t="s">
        <v>39</v>
      </c>
      <c r="H1459" s="29" t="s">
        <v>69</v>
      </c>
      <c r="I1459" s="29" t="s">
        <v>190</v>
      </c>
      <c r="J1459" s="29" t="s">
        <v>191</v>
      </c>
      <c r="K1459" s="29" t="s">
        <v>298</v>
      </c>
      <c r="L1459" s="29" t="s">
        <v>32</v>
      </c>
      <c r="M1459" s="29" t="n">
        <v>3000</v>
      </c>
      <c r="N1459" s="29" t="n">
        <v>3000</v>
      </c>
      <c r="O1459" s="29"/>
      <c r="P1459" s="30" t="n">
        <f aca="false">(M1459*N1459/1000000)*INDEX(AreaRate_Vals,MATCH(C1459,AreaRate_Keys,0))+IF(H1459="Aluminium Louvre Blade",(M1459*N1459/1000000)*INDEX(Glass_Vals,MATCH("6mm Toughened Louvre Blade",Glass_Keys,0)),0)+INDEX(Hardware_Vals,MATCH("Pergolas",Hardware_Keys,0))</f>
        <v>19500</v>
      </c>
      <c r="Q1459" s="31" t="n">
        <f aca="false">INDEX(Markup_Vals,MATCH("Outdoor Living &amp; Shading",MarkupCat_Keys,0))</f>
        <v>0.45</v>
      </c>
      <c r="R1459" s="32" t="n">
        <f aca="false">P1459*(1+Q1459)</f>
        <v>28275</v>
      </c>
      <c r="S1459" s="32" t="n">
        <f aca="false">R1459*(1-TradeDiscount)</f>
        <v>24882</v>
      </c>
      <c r="T1459" s="32" t="n">
        <f aca="false">R1459*(1-VolumeDiscount)</f>
        <v>22620</v>
      </c>
    </row>
    <row r="1460" customFormat="false" ht="15" hidden="false" customHeight="false" outlineLevel="0" collapsed="false">
      <c r="A1460" s="25" t="s">
        <v>3209</v>
      </c>
      <c r="B1460" s="25" t="s">
        <v>121</v>
      </c>
      <c r="C1460" s="25" t="s">
        <v>55</v>
      </c>
      <c r="D1460" s="25" t="s">
        <v>3210</v>
      </c>
      <c r="E1460" s="25" t="s">
        <v>3202</v>
      </c>
      <c r="F1460" s="25" t="s">
        <v>3157</v>
      </c>
      <c r="G1460" s="25" t="s">
        <v>35</v>
      </c>
      <c r="H1460" s="25" t="s">
        <v>69</v>
      </c>
      <c r="I1460" s="25" t="s">
        <v>190</v>
      </c>
      <c r="J1460" s="25" t="s">
        <v>191</v>
      </c>
      <c r="K1460" s="25" t="s">
        <v>298</v>
      </c>
      <c r="L1460" s="25" t="s">
        <v>32</v>
      </c>
      <c r="M1460" s="25" t="n">
        <v>3000</v>
      </c>
      <c r="N1460" s="25" t="n">
        <v>4000</v>
      </c>
      <c r="O1460" s="25"/>
      <c r="P1460" s="26" t="n">
        <f aca="false">(M1460*N1460/1000000)*INDEX(AreaRate_Vals,MATCH(C1460,AreaRate_Keys,0))+IF(H1460="Aluminium Louvre Blade",(M1460*N1460/1000000)*INDEX(Glass_Vals,MATCH("6mm Toughened Louvre Blade",Glass_Keys,0)),0)+INDEX(Hardware_Vals,MATCH("Pergolas",Hardware_Keys,0))</f>
        <v>25860</v>
      </c>
      <c r="Q1460" s="27" t="n">
        <f aca="false">INDEX(Markup_Vals,MATCH("Outdoor Living &amp; Shading",MarkupCat_Keys,0))</f>
        <v>0.45</v>
      </c>
      <c r="R1460" s="28" t="n">
        <f aca="false">P1460*(1+Q1460)</f>
        <v>37497</v>
      </c>
      <c r="S1460" s="28" t="n">
        <f aca="false">R1460*(1-TradeDiscount)</f>
        <v>32997.36</v>
      </c>
      <c r="T1460" s="28" t="n">
        <f aca="false">R1460*(1-VolumeDiscount)</f>
        <v>29997.6</v>
      </c>
    </row>
    <row r="1461" customFormat="false" ht="15" hidden="false" customHeight="false" outlineLevel="0" collapsed="false">
      <c r="A1461" s="29" t="s">
        <v>3211</v>
      </c>
      <c r="B1461" s="29" t="s">
        <v>121</v>
      </c>
      <c r="C1461" s="29" t="s">
        <v>55</v>
      </c>
      <c r="D1461" s="29" t="s">
        <v>3212</v>
      </c>
      <c r="E1461" s="29" t="s">
        <v>3202</v>
      </c>
      <c r="F1461" s="29" t="s">
        <v>3157</v>
      </c>
      <c r="G1461" s="29" t="s">
        <v>36</v>
      </c>
      <c r="H1461" s="29" t="s">
        <v>69</v>
      </c>
      <c r="I1461" s="29" t="s">
        <v>190</v>
      </c>
      <c r="J1461" s="29" t="s">
        <v>191</v>
      </c>
      <c r="K1461" s="29" t="s">
        <v>298</v>
      </c>
      <c r="L1461" s="29" t="s">
        <v>32</v>
      </c>
      <c r="M1461" s="29" t="n">
        <v>3000</v>
      </c>
      <c r="N1461" s="29" t="n">
        <v>4000</v>
      </c>
      <c r="O1461" s="29"/>
      <c r="P1461" s="30" t="n">
        <f aca="false">(M1461*N1461/1000000)*INDEX(AreaRate_Vals,MATCH(C1461,AreaRate_Keys,0))+IF(H1461="Aluminium Louvre Blade",(M1461*N1461/1000000)*INDEX(Glass_Vals,MATCH("6mm Toughened Louvre Blade",Glass_Keys,0)),0)+INDEX(Hardware_Vals,MATCH("Pergolas",Hardware_Keys,0))</f>
        <v>25860</v>
      </c>
      <c r="Q1461" s="31" t="n">
        <f aca="false">INDEX(Markup_Vals,MATCH("Outdoor Living &amp; Shading",MarkupCat_Keys,0))</f>
        <v>0.45</v>
      </c>
      <c r="R1461" s="32" t="n">
        <f aca="false">P1461*(1+Q1461)</f>
        <v>37497</v>
      </c>
      <c r="S1461" s="32" t="n">
        <f aca="false">R1461*(1-TradeDiscount)</f>
        <v>32997.36</v>
      </c>
      <c r="T1461" s="32" t="n">
        <f aca="false">R1461*(1-VolumeDiscount)</f>
        <v>29997.6</v>
      </c>
    </row>
    <row r="1462" customFormat="false" ht="15" hidden="false" customHeight="false" outlineLevel="0" collapsed="false">
      <c r="A1462" s="25" t="s">
        <v>3213</v>
      </c>
      <c r="B1462" s="25" t="s">
        <v>121</v>
      </c>
      <c r="C1462" s="25" t="s">
        <v>55</v>
      </c>
      <c r="D1462" s="25" t="s">
        <v>3214</v>
      </c>
      <c r="E1462" s="25" t="s">
        <v>3202</v>
      </c>
      <c r="F1462" s="25" t="s">
        <v>3157</v>
      </c>
      <c r="G1462" s="25" t="s">
        <v>37</v>
      </c>
      <c r="H1462" s="25" t="s">
        <v>69</v>
      </c>
      <c r="I1462" s="25" t="s">
        <v>190</v>
      </c>
      <c r="J1462" s="25" t="s">
        <v>191</v>
      </c>
      <c r="K1462" s="25" t="s">
        <v>298</v>
      </c>
      <c r="L1462" s="25" t="s">
        <v>32</v>
      </c>
      <c r="M1462" s="25" t="n">
        <v>3000</v>
      </c>
      <c r="N1462" s="25" t="n">
        <v>4000</v>
      </c>
      <c r="O1462" s="25"/>
      <c r="P1462" s="26" t="n">
        <f aca="false">(M1462*N1462/1000000)*INDEX(AreaRate_Vals,MATCH(C1462,AreaRate_Keys,0))+IF(H1462="Aluminium Louvre Blade",(M1462*N1462/1000000)*INDEX(Glass_Vals,MATCH("6mm Toughened Louvre Blade",Glass_Keys,0)),0)+INDEX(Hardware_Vals,MATCH("Pergolas",Hardware_Keys,0))</f>
        <v>25860</v>
      </c>
      <c r="Q1462" s="27" t="n">
        <f aca="false">INDEX(Markup_Vals,MATCH("Outdoor Living &amp; Shading",MarkupCat_Keys,0))</f>
        <v>0.45</v>
      </c>
      <c r="R1462" s="28" t="n">
        <f aca="false">P1462*(1+Q1462)</f>
        <v>37497</v>
      </c>
      <c r="S1462" s="28" t="n">
        <f aca="false">R1462*(1-TradeDiscount)</f>
        <v>32997.36</v>
      </c>
      <c r="T1462" s="28" t="n">
        <f aca="false">R1462*(1-VolumeDiscount)</f>
        <v>29997.6</v>
      </c>
    </row>
    <row r="1463" customFormat="false" ht="15" hidden="false" customHeight="false" outlineLevel="0" collapsed="false">
      <c r="A1463" s="29" t="s">
        <v>3215</v>
      </c>
      <c r="B1463" s="29" t="s">
        <v>121</v>
      </c>
      <c r="C1463" s="29" t="s">
        <v>55</v>
      </c>
      <c r="D1463" s="29" t="s">
        <v>3216</v>
      </c>
      <c r="E1463" s="29" t="s">
        <v>3202</v>
      </c>
      <c r="F1463" s="29" t="s">
        <v>3157</v>
      </c>
      <c r="G1463" s="29" t="s">
        <v>39</v>
      </c>
      <c r="H1463" s="29" t="s">
        <v>69</v>
      </c>
      <c r="I1463" s="29" t="s">
        <v>190</v>
      </c>
      <c r="J1463" s="29" t="s">
        <v>191</v>
      </c>
      <c r="K1463" s="29" t="s">
        <v>298</v>
      </c>
      <c r="L1463" s="29" t="s">
        <v>32</v>
      </c>
      <c r="M1463" s="29" t="n">
        <v>3000</v>
      </c>
      <c r="N1463" s="29" t="n">
        <v>4000</v>
      </c>
      <c r="O1463" s="29"/>
      <c r="P1463" s="30" t="n">
        <f aca="false">(M1463*N1463/1000000)*INDEX(AreaRate_Vals,MATCH(C1463,AreaRate_Keys,0))+IF(H1463="Aluminium Louvre Blade",(M1463*N1463/1000000)*INDEX(Glass_Vals,MATCH("6mm Toughened Louvre Blade",Glass_Keys,0)),0)+INDEX(Hardware_Vals,MATCH("Pergolas",Hardware_Keys,0))</f>
        <v>25860</v>
      </c>
      <c r="Q1463" s="31" t="n">
        <f aca="false">INDEX(Markup_Vals,MATCH("Outdoor Living &amp; Shading",MarkupCat_Keys,0))</f>
        <v>0.45</v>
      </c>
      <c r="R1463" s="32" t="n">
        <f aca="false">P1463*(1+Q1463)</f>
        <v>37497</v>
      </c>
      <c r="S1463" s="32" t="n">
        <f aca="false">R1463*(1-TradeDiscount)</f>
        <v>32997.36</v>
      </c>
      <c r="T1463" s="32" t="n">
        <f aca="false">R1463*(1-VolumeDiscount)</f>
        <v>29997.6</v>
      </c>
    </row>
    <row r="1464" customFormat="false" ht="15" hidden="false" customHeight="false" outlineLevel="0" collapsed="false">
      <c r="A1464" s="25" t="s">
        <v>3217</v>
      </c>
      <c r="B1464" s="25" t="s">
        <v>121</v>
      </c>
      <c r="C1464" s="25" t="s">
        <v>55</v>
      </c>
      <c r="D1464" s="25" t="s">
        <v>3218</v>
      </c>
      <c r="E1464" s="25" t="s">
        <v>3202</v>
      </c>
      <c r="F1464" s="25" t="s">
        <v>3166</v>
      </c>
      <c r="G1464" s="25" t="s">
        <v>35</v>
      </c>
      <c r="H1464" s="25" t="s">
        <v>69</v>
      </c>
      <c r="I1464" s="25" t="s">
        <v>190</v>
      </c>
      <c r="J1464" s="25" t="s">
        <v>191</v>
      </c>
      <c r="K1464" s="25" t="s">
        <v>298</v>
      </c>
      <c r="L1464" s="25" t="s">
        <v>32</v>
      </c>
      <c r="M1464" s="25" t="n">
        <v>4000</v>
      </c>
      <c r="N1464" s="25" t="n">
        <v>4000</v>
      </c>
      <c r="O1464" s="25"/>
      <c r="P1464" s="26" t="n">
        <f aca="false">(M1464*N1464/1000000)*INDEX(AreaRate_Vals,MATCH(C1464,AreaRate_Keys,0))+IF(H1464="Aluminium Louvre Blade",(M1464*N1464/1000000)*INDEX(Glass_Vals,MATCH("6mm Toughened Louvre Blade",Glass_Keys,0)),0)+INDEX(Hardware_Vals,MATCH("Pergolas",Hardware_Keys,0))</f>
        <v>34340</v>
      </c>
      <c r="Q1464" s="27" t="n">
        <f aca="false">INDEX(Markup_Vals,MATCH("Outdoor Living &amp; Shading",MarkupCat_Keys,0))</f>
        <v>0.45</v>
      </c>
      <c r="R1464" s="28" t="n">
        <f aca="false">P1464*(1+Q1464)</f>
        <v>49793</v>
      </c>
      <c r="S1464" s="28" t="n">
        <f aca="false">R1464*(1-TradeDiscount)</f>
        <v>43817.84</v>
      </c>
      <c r="T1464" s="28" t="n">
        <f aca="false">R1464*(1-VolumeDiscount)</f>
        <v>39834.4</v>
      </c>
    </row>
    <row r="1465" customFormat="false" ht="15" hidden="false" customHeight="false" outlineLevel="0" collapsed="false">
      <c r="A1465" s="29" t="s">
        <v>3219</v>
      </c>
      <c r="B1465" s="29" t="s">
        <v>121</v>
      </c>
      <c r="C1465" s="29" t="s">
        <v>55</v>
      </c>
      <c r="D1465" s="29" t="s">
        <v>3220</v>
      </c>
      <c r="E1465" s="29" t="s">
        <v>3202</v>
      </c>
      <c r="F1465" s="29" t="s">
        <v>3166</v>
      </c>
      <c r="G1465" s="29" t="s">
        <v>36</v>
      </c>
      <c r="H1465" s="29" t="s">
        <v>69</v>
      </c>
      <c r="I1465" s="29" t="s">
        <v>190</v>
      </c>
      <c r="J1465" s="29" t="s">
        <v>191</v>
      </c>
      <c r="K1465" s="29" t="s">
        <v>298</v>
      </c>
      <c r="L1465" s="29" t="s">
        <v>32</v>
      </c>
      <c r="M1465" s="29" t="n">
        <v>4000</v>
      </c>
      <c r="N1465" s="29" t="n">
        <v>4000</v>
      </c>
      <c r="O1465" s="29"/>
      <c r="P1465" s="30" t="n">
        <f aca="false">(M1465*N1465/1000000)*INDEX(AreaRate_Vals,MATCH(C1465,AreaRate_Keys,0))+IF(H1465="Aluminium Louvre Blade",(M1465*N1465/1000000)*INDEX(Glass_Vals,MATCH("6mm Toughened Louvre Blade",Glass_Keys,0)),0)+INDEX(Hardware_Vals,MATCH("Pergolas",Hardware_Keys,0))</f>
        <v>34340</v>
      </c>
      <c r="Q1465" s="31" t="n">
        <f aca="false">INDEX(Markup_Vals,MATCH("Outdoor Living &amp; Shading",MarkupCat_Keys,0))</f>
        <v>0.45</v>
      </c>
      <c r="R1465" s="32" t="n">
        <f aca="false">P1465*(1+Q1465)</f>
        <v>49793</v>
      </c>
      <c r="S1465" s="32" t="n">
        <f aca="false">R1465*(1-TradeDiscount)</f>
        <v>43817.84</v>
      </c>
      <c r="T1465" s="32" t="n">
        <f aca="false">R1465*(1-VolumeDiscount)</f>
        <v>39834.4</v>
      </c>
    </row>
    <row r="1466" customFormat="false" ht="15" hidden="false" customHeight="false" outlineLevel="0" collapsed="false">
      <c r="A1466" s="25" t="s">
        <v>3221</v>
      </c>
      <c r="B1466" s="25" t="s">
        <v>121</v>
      </c>
      <c r="C1466" s="25" t="s">
        <v>55</v>
      </c>
      <c r="D1466" s="25" t="s">
        <v>3222</v>
      </c>
      <c r="E1466" s="25" t="s">
        <v>3202</v>
      </c>
      <c r="F1466" s="25" t="s">
        <v>3166</v>
      </c>
      <c r="G1466" s="25" t="s">
        <v>37</v>
      </c>
      <c r="H1466" s="25" t="s">
        <v>69</v>
      </c>
      <c r="I1466" s="25" t="s">
        <v>190</v>
      </c>
      <c r="J1466" s="25" t="s">
        <v>191</v>
      </c>
      <c r="K1466" s="25" t="s">
        <v>298</v>
      </c>
      <c r="L1466" s="25" t="s">
        <v>32</v>
      </c>
      <c r="M1466" s="25" t="n">
        <v>4000</v>
      </c>
      <c r="N1466" s="25" t="n">
        <v>4000</v>
      </c>
      <c r="O1466" s="25"/>
      <c r="P1466" s="26" t="n">
        <f aca="false">(M1466*N1466/1000000)*INDEX(AreaRate_Vals,MATCH(C1466,AreaRate_Keys,0))+IF(H1466="Aluminium Louvre Blade",(M1466*N1466/1000000)*INDEX(Glass_Vals,MATCH("6mm Toughened Louvre Blade",Glass_Keys,0)),0)+INDEX(Hardware_Vals,MATCH("Pergolas",Hardware_Keys,0))</f>
        <v>34340</v>
      </c>
      <c r="Q1466" s="27" t="n">
        <f aca="false">INDEX(Markup_Vals,MATCH("Outdoor Living &amp; Shading",MarkupCat_Keys,0))</f>
        <v>0.45</v>
      </c>
      <c r="R1466" s="28" t="n">
        <f aca="false">P1466*(1+Q1466)</f>
        <v>49793</v>
      </c>
      <c r="S1466" s="28" t="n">
        <f aca="false">R1466*(1-TradeDiscount)</f>
        <v>43817.84</v>
      </c>
      <c r="T1466" s="28" t="n">
        <f aca="false">R1466*(1-VolumeDiscount)</f>
        <v>39834.4</v>
      </c>
    </row>
    <row r="1467" customFormat="false" ht="15" hidden="false" customHeight="false" outlineLevel="0" collapsed="false">
      <c r="A1467" s="29" t="s">
        <v>3223</v>
      </c>
      <c r="B1467" s="29" t="s">
        <v>121</v>
      </c>
      <c r="C1467" s="29" t="s">
        <v>55</v>
      </c>
      <c r="D1467" s="29" t="s">
        <v>3224</v>
      </c>
      <c r="E1467" s="29" t="s">
        <v>3202</v>
      </c>
      <c r="F1467" s="29" t="s">
        <v>3166</v>
      </c>
      <c r="G1467" s="29" t="s">
        <v>39</v>
      </c>
      <c r="H1467" s="29" t="s">
        <v>69</v>
      </c>
      <c r="I1467" s="29" t="s">
        <v>190</v>
      </c>
      <c r="J1467" s="29" t="s">
        <v>191</v>
      </c>
      <c r="K1467" s="29" t="s">
        <v>298</v>
      </c>
      <c r="L1467" s="29" t="s">
        <v>32</v>
      </c>
      <c r="M1467" s="29" t="n">
        <v>4000</v>
      </c>
      <c r="N1467" s="29" t="n">
        <v>4000</v>
      </c>
      <c r="O1467" s="29"/>
      <c r="P1467" s="30" t="n">
        <f aca="false">(M1467*N1467/1000000)*INDEX(AreaRate_Vals,MATCH(C1467,AreaRate_Keys,0))+IF(H1467="Aluminium Louvre Blade",(M1467*N1467/1000000)*INDEX(Glass_Vals,MATCH("6mm Toughened Louvre Blade",Glass_Keys,0)),0)+INDEX(Hardware_Vals,MATCH("Pergolas",Hardware_Keys,0))</f>
        <v>34340</v>
      </c>
      <c r="Q1467" s="31" t="n">
        <f aca="false">INDEX(Markup_Vals,MATCH("Outdoor Living &amp; Shading",MarkupCat_Keys,0))</f>
        <v>0.45</v>
      </c>
      <c r="R1467" s="32" t="n">
        <f aca="false">P1467*(1+Q1467)</f>
        <v>49793</v>
      </c>
      <c r="S1467" s="32" t="n">
        <f aca="false">R1467*(1-TradeDiscount)</f>
        <v>43817.84</v>
      </c>
      <c r="T1467" s="32" t="n">
        <f aca="false">R1467*(1-VolumeDiscount)</f>
        <v>39834.4</v>
      </c>
    </row>
    <row r="1468" customFormat="false" ht="15" hidden="false" customHeight="false" outlineLevel="0" collapsed="false">
      <c r="A1468" s="25" t="s">
        <v>3225</v>
      </c>
      <c r="B1468" s="25" t="s">
        <v>121</v>
      </c>
      <c r="C1468" s="25" t="s">
        <v>55</v>
      </c>
      <c r="D1468" s="25" t="s">
        <v>3226</v>
      </c>
      <c r="E1468" s="25" t="s">
        <v>3202</v>
      </c>
      <c r="F1468" s="25" t="s">
        <v>3175</v>
      </c>
      <c r="G1468" s="25" t="s">
        <v>35</v>
      </c>
      <c r="H1468" s="25" t="s">
        <v>69</v>
      </c>
      <c r="I1468" s="25" t="s">
        <v>190</v>
      </c>
      <c r="J1468" s="25" t="s">
        <v>191</v>
      </c>
      <c r="K1468" s="25" t="s">
        <v>298</v>
      </c>
      <c r="L1468" s="25" t="s">
        <v>32</v>
      </c>
      <c r="M1468" s="25" t="n">
        <v>4000</v>
      </c>
      <c r="N1468" s="25" t="n">
        <v>5000</v>
      </c>
      <c r="O1468" s="25"/>
      <c r="P1468" s="26" t="n">
        <f aca="false">(M1468*N1468/1000000)*INDEX(AreaRate_Vals,MATCH(C1468,AreaRate_Keys,0))+IF(H1468="Aluminium Louvre Blade",(M1468*N1468/1000000)*INDEX(Glass_Vals,MATCH("6mm Toughened Louvre Blade",Glass_Keys,0)),0)+INDEX(Hardware_Vals,MATCH("Pergolas",Hardware_Keys,0))</f>
        <v>42820</v>
      </c>
      <c r="Q1468" s="27" t="n">
        <f aca="false">INDEX(Markup_Vals,MATCH("Outdoor Living &amp; Shading",MarkupCat_Keys,0))</f>
        <v>0.45</v>
      </c>
      <c r="R1468" s="28" t="n">
        <f aca="false">P1468*(1+Q1468)</f>
        <v>62089</v>
      </c>
      <c r="S1468" s="28" t="n">
        <f aca="false">R1468*(1-TradeDiscount)</f>
        <v>54638.32</v>
      </c>
      <c r="T1468" s="28" t="n">
        <f aca="false">R1468*(1-VolumeDiscount)</f>
        <v>49671.2</v>
      </c>
    </row>
    <row r="1469" customFormat="false" ht="15" hidden="false" customHeight="false" outlineLevel="0" collapsed="false">
      <c r="A1469" s="29" t="s">
        <v>3227</v>
      </c>
      <c r="B1469" s="29" t="s">
        <v>121</v>
      </c>
      <c r="C1469" s="29" t="s">
        <v>55</v>
      </c>
      <c r="D1469" s="29" t="s">
        <v>3228</v>
      </c>
      <c r="E1469" s="29" t="s">
        <v>3202</v>
      </c>
      <c r="F1469" s="29" t="s">
        <v>3175</v>
      </c>
      <c r="G1469" s="29" t="s">
        <v>36</v>
      </c>
      <c r="H1469" s="29" t="s">
        <v>69</v>
      </c>
      <c r="I1469" s="29" t="s">
        <v>190</v>
      </c>
      <c r="J1469" s="29" t="s">
        <v>191</v>
      </c>
      <c r="K1469" s="29" t="s">
        <v>298</v>
      </c>
      <c r="L1469" s="29" t="s">
        <v>32</v>
      </c>
      <c r="M1469" s="29" t="n">
        <v>4000</v>
      </c>
      <c r="N1469" s="29" t="n">
        <v>5000</v>
      </c>
      <c r="O1469" s="29"/>
      <c r="P1469" s="30" t="n">
        <f aca="false">(M1469*N1469/1000000)*INDEX(AreaRate_Vals,MATCH(C1469,AreaRate_Keys,0))+IF(H1469="Aluminium Louvre Blade",(M1469*N1469/1000000)*INDEX(Glass_Vals,MATCH("6mm Toughened Louvre Blade",Glass_Keys,0)),0)+INDEX(Hardware_Vals,MATCH("Pergolas",Hardware_Keys,0))</f>
        <v>42820</v>
      </c>
      <c r="Q1469" s="31" t="n">
        <f aca="false">INDEX(Markup_Vals,MATCH("Outdoor Living &amp; Shading",MarkupCat_Keys,0))</f>
        <v>0.45</v>
      </c>
      <c r="R1469" s="32" t="n">
        <f aca="false">P1469*(1+Q1469)</f>
        <v>62089</v>
      </c>
      <c r="S1469" s="32" t="n">
        <f aca="false">R1469*(1-TradeDiscount)</f>
        <v>54638.32</v>
      </c>
      <c r="T1469" s="32" t="n">
        <f aca="false">R1469*(1-VolumeDiscount)</f>
        <v>49671.2</v>
      </c>
    </row>
    <row r="1470" customFormat="false" ht="15" hidden="false" customHeight="false" outlineLevel="0" collapsed="false">
      <c r="A1470" s="25" t="s">
        <v>3229</v>
      </c>
      <c r="B1470" s="25" t="s">
        <v>121</v>
      </c>
      <c r="C1470" s="25" t="s">
        <v>55</v>
      </c>
      <c r="D1470" s="25" t="s">
        <v>3230</v>
      </c>
      <c r="E1470" s="25" t="s">
        <v>3202</v>
      </c>
      <c r="F1470" s="25" t="s">
        <v>3175</v>
      </c>
      <c r="G1470" s="25" t="s">
        <v>37</v>
      </c>
      <c r="H1470" s="25" t="s">
        <v>69</v>
      </c>
      <c r="I1470" s="25" t="s">
        <v>190</v>
      </c>
      <c r="J1470" s="25" t="s">
        <v>191</v>
      </c>
      <c r="K1470" s="25" t="s">
        <v>298</v>
      </c>
      <c r="L1470" s="25" t="s">
        <v>32</v>
      </c>
      <c r="M1470" s="25" t="n">
        <v>4000</v>
      </c>
      <c r="N1470" s="25" t="n">
        <v>5000</v>
      </c>
      <c r="O1470" s="25"/>
      <c r="P1470" s="26" t="n">
        <f aca="false">(M1470*N1470/1000000)*INDEX(AreaRate_Vals,MATCH(C1470,AreaRate_Keys,0))+IF(H1470="Aluminium Louvre Blade",(M1470*N1470/1000000)*INDEX(Glass_Vals,MATCH("6mm Toughened Louvre Blade",Glass_Keys,0)),0)+INDEX(Hardware_Vals,MATCH("Pergolas",Hardware_Keys,0))</f>
        <v>42820</v>
      </c>
      <c r="Q1470" s="27" t="n">
        <f aca="false">INDEX(Markup_Vals,MATCH("Outdoor Living &amp; Shading",MarkupCat_Keys,0))</f>
        <v>0.45</v>
      </c>
      <c r="R1470" s="28" t="n">
        <f aca="false">P1470*(1+Q1470)</f>
        <v>62089</v>
      </c>
      <c r="S1470" s="28" t="n">
        <f aca="false">R1470*(1-TradeDiscount)</f>
        <v>54638.32</v>
      </c>
      <c r="T1470" s="28" t="n">
        <f aca="false">R1470*(1-VolumeDiscount)</f>
        <v>49671.2</v>
      </c>
    </row>
    <row r="1471" customFormat="false" ht="15" hidden="false" customHeight="false" outlineLevel="0" collapsed="false">
      <c r="A1471" s="29" t="s">
        <v>3231</v>
      </c>
      <c r="B1471" s="29" t="s">
        <v>121</v>
      </c>
      <c r="C1471" s="29" t="s">
        <v>55</v>
      </c>
      <c r="D1471" s="29" t="s">
        <v>3232</v>
      </c>
      <c r="E1471" s="29" t="s">
        <v>3202</v>
      </c>
      <c r="F1471" s="29" t="s">
        <v>3175</v>
      </c>
      <c r="G1471" s="29" t="s">
        <v>39</v>
      </c>
      <c r="H1471" s="29" t="s">
        <v>69</v>
      </c>
      <c r="I1471" s="29" t="s">
        <v>190</v>
      </c>
      <c r="J1471" s="29" t="s">
        <v>191</v>
      </c>
      <c r="K1471" s="29" t="s">
        <v>298</v>
      </c>
      <c r="L1471" s="29" t="s">
        <v>32</v>
      </c>
      <c r="M1471" s="29" t="n">
        <v>4000</v>
      </c>
      <c r="N1471" s="29" t="n">
        <v>5000</v>
      </c>
      <c r="O1471" s="29"/>
      <c r="P1471" s="30" t="n">
        <f aca="false">(M1471*N1471/1000000)*INDEX(AreaRate_Vals,MATCH(C1471,AreaRate_Keys,0))+IF(H1471="Aluminium Louvre Blade",(M1471*N1471/1000000)*INDEX(Glass_Vals,MATCH("6mm Toughened Louvre Blade",Glass_Keys,0)),0)+INDEX(Hardware_Vals,MATCH("Pergolas",Hardware_Keys,0))</f>
        <v>42820</v>
      </c>
      <c r="Q1471" s="31" t="n">
        <f aca="false">INDEX(Markup_Vals,MATCH("Outdoor Living &amp; Shading",MarkupCat_Keys,0))</f>
        <v>0.45</v>
      </c>
      <c r="R1471" s="32" t="n">
        <f aca="false">P1471*(1+Q1471)</f>
        <v>62089</v>
      </c>
      <c r="S1471" s="32" t="n">
        <f aca="false">R1471*(1-TradeDiscount)</f>
        <v>54638.32</v>
      </c>
      <c r="T1471" s="32" t="n">
        <f aca="false">R1471*(1-VolumeDiscount)</f>
        <v>49671.2</v>
      </c>
    </row>
    <row r="1472" customFormat="false" ht="15" hidden="false" customHeight="false" outlineLevel="0" collapsed="false">
      <c r="A1472" s="25" t="s">
        <v>3233</v>
      </c>
      <c r="B1472" s="25" t="s">
        <v>121</v>
      </c>
      <c r="C1472" s="25" t="s">
        <v>55</v>
      </c>
      <c r="D1472" s="25" t="s">
        <v>3234</v>
      </c>
      <c r="E1472" s="25" t="s">
        <v>3202</v>
      </c>
      <c r="F1472" s="25" t="s">
        <v>3184</v>
      </c>
      <c r="G1472" s="25" t="s">
        <v>35</v>
      </c>
      <c r="H1472" s="25" t="s">
        <v>69</v>
      </c>
      <c r="I1472" s="25" t="s">
        <v>190</v>
      </c>
      <c r="J1472" s="25" t="s">
        <v>191</v>
      </c>
      <c r="K1472" s="25" t="s">
        <v>298</v>
      </c>
      <c r="L1472" s="25" t="s">
        <v>32</v>
      </c>
      <c r="M1472" s="25" t="n">
        <v>5000</v>
      </c>
      <c r="N1472" s="25" t="n">
        <v>5000</v>
      </c>
      <c r="O1472" s="25"/>
      <c r="P1472" s="26" t="n">
        <f aca="false">(M1472*N1472/1000000)*INDEX(AreaRate_Vals,MATCH(C1472,AreaRate_Keys,0))+IF(H1472="Aluminium Louvre Blade",(M1472*N1472/1000000)*INDEX(Glass_Vals,MATCH("6mm Toughened Louvre Blade",Glass_Keys,0)),0)+INDEX(Hardware_Vals,MATCH("Pergolas",Hardware_Keys,0))</f>
        <v>53420</v>
      </c>
      <c r="Q1472" s="27" t="n">
        <f aca="false">INDEX(Markup_Vals,MATCH("Outdoor Living &amp; Shading",MarkupCat_Keys,0))</f>
        <v>0.45</v>
      </c>
      <c r="R1472" s="28" t="n">
        <f aca="false">P1472*(1+Q1472)</f>
        <v>77459</v>
      </c>
      <c r="S1472" s="28" t="n">
        <f aca="false">R1472*(1-TradeDiscount)</f>
        <v>68163.92</v>
      </c>
      <c r="T1472" s="28" t="n">
        <f aca="false">R1472*(1-VolumeDiscount)</f>
        <v>61967.2</v>
      </c>
    </row>
    <row r="1473" customFormat="false" ht="15" hidden="false" customHeight="false" outlineLevel="0" collapsed="false">
      <c r="A1473" s="29" t="s">
        <v>3235</v>
      </c>
      <c r="B1473" s="29" t="s">
        <v>121</v>
      </c>
      <c r="C1473" s="29" t="s">
        <v>55</v>
      </c>
      <c r="D1473" s="29" t="s">
        <v>3236</v>
      </c>
      <c r="E1473" s="29" t="s">
        <v>3202</v>
      </c>
      <c r="F1473" s="29" t="s">
        <v>3184</v>
      </c>
      <c r="G1473" s="29" t="s">
        <v>36</v>
      </c>
      <c r="H1473" s="29" t="s">
        <v>69</v>
      </c>
      <c r="I1473" s="29" t="s">
        <v>190</v>
      </c>
      <c r="J1473" s="29" t="s">
        <v>191</v>
      </c>
      <c r="K1473" s="29" t="s">
        <v>298</v>
      </c>
      <c r="L1473" s="29" t="s">
        <v>32</v>
      </c>
      <c r="M1473" s="29" t="n">
        <v>5000</v>
      </c>
      <c r="N1473" s="29" t="n">
        <v>5000</v>
      </c>
      <c r="O1473" s="29"/>
      <c r="P1473" s="30" t="n">
        <f aca="false">(M1473*N1473/1000000)*INDEX(AreaRate_Vals,MATCH(C1473,AreaRate_Keys,0))+IF(H1473="Aluminium Louvre Blade",(M1473*N1473/1000000)*INDEX(Glass_Vals,MATCH("6mm Toughened Louvre Blade",Glass_Keys,0)),0)+INDEX(Hardware_Vals,MATCH("Pergolas",Hardware_Keys,0))</f>
        <v>53420</v>
      </c>
      <c r="Q1473" s="31" t="n">
        <f aca="false">INDEX(Markup_Vals,MATCH("Outdoor Living &amp; Shading",MarkupCat_Keys,0))</f>
        <v>0.45</v>
      </c>
      <c r="R1473" s="32" t="n">
        <f aca="false">P1473*(1+Q1473)</f>
        <v>77459</v>
      </c>
      <c r="S1473" s="32" t="n">
        <f aca="false">R1473*(1-TradeDiscount)</f>
        <v>68163.92</v>
      </c>
      <c r="T1473" s="32" t="n">
        <f aca="false">R1473*(1-VolumeDiscount)</f>
        <v>61967.2</v>
      </c>
    </row>
    <row r="1474" customFormat="false" ht="15" hidden="false" customHeight="false" outlineLevel="0" collapsed="false">
      <c r="A1474" s="25" t="s">
        <v>3237</v>
      </c>
      <c r="B1474" s="25" t="s">
        <v>121</v>
      </c>
      <c r="C1474" s="25" t="s">
        <v>55</v>
      </c>
      <c r="D1474" s="25" t="s">
        <v>3238</v>
      </c>
      <c r="E1474" s="25" t="s">
        <v>3202</v>
      </c>
      <c r="F1474" s="25" t="s">
        <v>3184</v>
      </c>
      <c r="G1474" s="25" t="s">
        <v>37</v>
      </c>
      <c r="H1474" s="25" t="s">
        <v>69</v>
      </c>
      <c r="I1474" s="25" t="s">
        <v>190</v>
      </c>
      <c r="J1474" s="25" t="s">
        <v>191</v>
      </c>
      <c r="K1474" s="25" t="s">
        <v>298</v>
      </c>
      <c r="L1474" s="25" t="s">
        <v>32</v>
      </c>
      <c r="M1474" s="25" t="n">
        <v>5000</v>
      </c>
      <c r="N1474" s="25" t="n">
        <v>5000</v>
      </c>
      <c r="O1474" s="25"/>
      <c r="P1474" s="26" t="n">
        <f aca="false">(M1474*N1474/1000000)*INDEX(AreaRate_Vals,MATCH(C1474,AreaRate_Keys,0))+IF(H1474="Aluminium Louvre Blade",(M1474*N1474/1000000)*INDEX(Glass_Vals,MATCH("6mm Toughened Louvre Blade",Glass_Keys,0)),0)+INDEX(Hardware_Vals,MATCH("Pergolas",Hardware_Keys,0))</f>
        <v>53420</v>
      </c>
      <c r="Q1474" s="27" t="n">
        <f aca="false">INDEX(Markup_Vals,MATCH("Outdoor Living &amp; Shading",MarkupCat_Keys,0))</f>
        <v>0.45</v>
      </c>
      <c r="R1474" s="28" t="n">
        <f aca="false">P1474*(1+Q1474)</f>
        <v>77459</v>
      </c>
      <c r="S1474" s="28" t="n">
        <f aca="false">R1474*(1-TradeDiscount)</f>
        <v>68163.92</v>
      </c>
      <c r="T1474" s="28" t="n">
        <f aca="false">R1474*(1-VolumeDiscount)</f>
        <v>61967.2</v>
      </c>
    </row>
    <row r="1475" customFormat="false" ht="15" hidden="false" customHeight="false" outlineLevel="0" collapsed="false">
      <c r="A1475" s="29" t="s">
        <v>3239</v>
      </c>
      <c r="B1475" s="29" t="s">
        <v>121</v>
      </c>
      <c r="C1475" s="29" t="s">
        <v>55</v>
      </c>
      <c r="D1475" s="29" t="s">
        <v>3240</v>
      </c>
      <c r="E1475" s="29" t="s">
        <v>3202</v>
      </c>
      <c r="F1475" s="29" t="s">
        <v>3184</v>
      </c>
      <c r="G1475" s="29" t="s">
        <v>39</v>
      </c>
      <c r="H1475" s="29" t="s">
        <v>69</v>
      </c>
      <c r="I1475" s="29" t="s">
        <v>190</v>
      </c>
      <c r="J1475" s="29" t="s">
        <v>191</v>
      </c>
      <c r="K1475" s="29" t="s">
        <v>298</v>
      </c>
      <c r="L1475" s="29" t="s">
        <v>32</v>
      </c>
      <c r="M1475" s="29" t="n">
        <v>5000</v>
      </c>
      <c r="N1475" s="29" t="n">
        <v>5000</v>
      </c>
      <c r="O1475" s="29"/>
      <c r="P1475" s="30" t="n">
        <f aca="false">(M1475*N1475/1000000)*INDEX(AreaRate_Vals,MATCH(C1475,AreaRate_Keys,0))+IF(H1475="Aluminium Louvre Blade",(M1475*N1475/1000000)*INDEX(Glass_Vals,MATCH("6mm Toughened Louvre Blade",Glass_Keys,0)),0)+INDEX(Hardware_Vals,MATCH("Pergolas",Hardware_Keys,0))</f>
        <v>53420</v>
      </c>
      <c r="Q1475" s="31" t="n">
        <f aca="false">INDEX(Markup_Vals,MATCH("Outdoor Living &amp; Shading",MarkupCat_Keys,0))</f>
        <v>0.45</v>
      </c>
      <c r="R1475" s="32" t="n">
        <f aca="false">P1475*(1+Q1475)</f>
        <v>77459</v>
      </c>
      <c r="S1475" s="32" t="n">
        <f aca="false">R1475*(1-TradeDiscount)</f>
        <v>68163.92</v>
      </c>
      <c r="T1475" s="32" t="n">
        <f aca="false">R1475*(1-VolumeDiscount)</f>
        <v>61967.2</v>
      </c>
    </row>
    <row r="1476" customFormat="false" ht="15" hidden="false" customHeight="false" outlineLevel="0" collapsed="false">
      <c r="A1476" s="25" t="s">
        <v>3241</v>
      </c>
      <c r="B1476" s="25" t="s">
        <v>121</v>
      </c>
      <c r="C1476" s="25" t="s">
        <v>55</v>
      </c>
      <c r="D1476" s="25" t="s">
        <v>3242</v>
      </c>
      <c r="E1476" s="25" t="s">
        <v>3202</v>
      </c>
      <c r="F1476" s="25" t="s">
        <v>3193</v>
      </c>
      <c r="G1476" s="25" t="s">
        <v>35</v>
      </c>
      <c r="H1476" s="25" t="s">
        <v>69</v>
      </c>
      <c r="I1476" s="25" t="s">
        <v>190</v>
      </c>
      <c r="J1476" s="25" t="s">
        <v>191</v>
      </c>
      <c r="K1476" s="25" t="s">
        <v>298</v>
      </c>
      <c r="L1476" s="25" t="s">
        <v>32</v>
      </c>
      <c r="M1476" s="25" t="n">
        <v>6000</v>
      </c>
      <c r="N1476" s="25" t="n">
        <v>4000</v>
      </c>
      <c r="O1476" s="25"/>
      <c r="P1476" s="26" t="n">
        <f aca="false">(M1476*N1476/1000000)*INDEX(AreaRate_Vals,MATCH(C1476,AreaRate_Keys,0))+IF(H1476="Aluminium Louvre Blade",(M1476*N1476/1000000)*INDEX(Glass_Vals,MATCH("6mm Toughened Louvre Blade",Glass_Keys,0)),0)+INDEX(Hardware_Vals,MATCH("Pergolas",Hardware_Keys,0))</f>
        <v>51300</v>
      </c>
      <c r="Q1476" s="27" t="n">
        <f aca="false">INDEX(Markup_Vals,MATCH("Outdoor Living &amp; Shading",MarkupCat_Keys,0))</f>
        <v>0.45</v>
      </c>
      <c r="R1476" s="28" t="n">
        <f aca="false">P1476*(1+Q1476)</f>
        <v>74385</v>
      </c>
      <c r="S1476" s="28" t="n">
        <f aca="false">R1476*(1-TradeDiscount)</f>
        <v>65458.8</v>
      </c>
      <c r="T1476" s="28" t="n">
        <f aca="false">R1476*(1-VolumeDiscount)</f>
        <v>59508</v>
      </c>
    </row>
    <row r="1477" customFormat="false" ht="15" hidden="false" customHeight="false" outlineLevel="0" collapsed="false">
      <c r="A1477" s="29" t="s">
        <v>3243</v>
      </c>
      <c r="B1477" s="29" t="s">
        <v>121</v>
      </c>
      <c r="C1477" s="29" t="s">
        <v>55</v>
      </c>
      <c r="D1477" s="29" t="s">
        <v>3244</v>
      </c>
      <c r="E1477" s="29" t="s">
        <v>3202</v>
      </c>
      <c r="F1477" s="29" t="s">
        <v>3193</v>
      </c>
      <c r="G1477" s="29" t="s">
        <v>36</v>
      </c>
      <c r="H1477" s="29" t="s">
        <v>69</v>
      </c>
      <c r="I1477" s="29" t="s">
        <v>190</v>
      </c>
      <c r="J1477" s="29" t="s">
        <v>191</v>
      </c>
      <c r="K1477" s="29" t="s">
        <v>298</v>
      </c>
      <c r="L1477" s="29" t="s">
        <v>32</v>
      </c>
      <c r="M1477" s="29" t="n">
        <v>6000</v>
      </c>
      <c r="N1477" s="29" t="n">
        <v>4000</v>
      </c>
      <c r="O1477" s="29"/>
      <c r="P1477" s="30" t="n">
        <f aca="false">(M1477*N1477/1000000)*INDEX(AreaRate_Vals,MATCH(C1477,AreaRate_Keys,0))+IF(H1477="Aluminium Louvre Blade",(M1477*N1477/1000000)*INDEX(Glass_Vals,MATCH("6mm Toughened Louvre Blade",Glass_Keys,0)),0)+INDEX(Hardware_Vals,MATCH("Pergolas",Hardware_Keys,0))</f>
        <v>51300</v>
      </c>
      <c r="Q1477" s="31" t="n">
        <f aca="false">INDEX(Markup_Vals,MATCH("Outdoor Living &amp; Shading",MarkupCat_Keys,0))</f>
        <v>0.45</v>
      </c>
      <c r="R1477" s="32" t="n">
        <f aca="false">P1477*(1+Q1477)</f>
        <v>74385</v>
      </c>
      <c r="S1477" s="32" t="n">
        <f aca="false">R1477*(1-TradeDiscount)</f>
        <v>65458.8</v>
      </c>
      <c r="T1477" s="32" t="n">
        <f aca="false">R1477*(1-VolumeDiscount)</f>
        <v>59508</v>
      </c>
    </row>
    <row r="1478" customFormat="false" ht="15" hidden="false" customHeight="false" outlineLevel="0" collapsed="false">
      <c r="A1478" s="25" t="s">
        <v>3245</v>
      </c>
      <c r="B1478" s="25" t="s">
        <v>121</v>
      </c>
      <c r="C1478" s="25" t="s">
        <v>55</v>
      </c>
      <c r="D1478" s="25" t="s">
        <v>3246</v>
      </c>
      <c r="E1478" s="25" t="s">
        <v>3202</v>
      </c>
      <c r="F1478" s="25" t="s">
        <v>3193</v>
      </c>
      <c r="G1478" s="25" t="s">
        <v>37</v>
      </c>
      <c r="H1478" s="25" t="s">
        <v>69</v>
      </c>
      <c r="I1478" s="25" t="s">
        <v>190</v>
      </c>
      <c r="J1478" s="25" t="s">
        <v>191</v>
      </c>
      <c r="K1478" s="25" t="s">
        <v>298</v>
      </c>
      <c r="L1478" s="25" t="s">
        <v>32</v>
      </c>
      <c r="M1478" s="25" t="n">
        <v>6000</v>
      </c>
      <c r="N1478" s="25" t="n">
        <v>4000</v>
      </c>
      <c r="O1478" s="25"/>
      <c r="P1478" s="26" t="n">
        <f aca="false">(M1478*N1478/1000000)*INDEX(AreaRate_Vals,MATCH(C1478,AreaRate_Keys,0))+IF(H1478="Aluminium Louvre Blade",(M1478*N1478/1000000)*INDEX(Glass_Vals,MATCH("6mm Toughened Louvre Blade",Glass_Keys,0)),0)+INDEX(Hardware_Vals,MATCH("Pergolas",Hardware_Keys,0))</f>
        <v>51300</v>
      </c>
      <c r="Q1478" s="27" t="n">
        <f aca="false">INDEX(Markup_Vals,MATCH("Outdoor Living &amp; Shading",MarkupCat_Keys,0))</f>
        <v>0.45</v>
      </c>
      <c r="R1478" s="28" t="n">
        <f aca="false">P1478*(1+Q1478)</f>
        <v>74385</v>
      </c>
      <c r="S1478" s="28" t="n">
        <f aca="false">R1478*(1-TradeDiscount)</f>
        <v>65458.8</v>
      </c>
      <c r="T1478" s="28" t="n">
        <f aca="false">R1478*(1-VolumeDiscount)</f>
        <v>59508</v>
      </c>
    </row>
    <row r="1479" customFormat="false" ht="15" hidden="false" customHeight="false" outlineLevel="0" collapsed="false">
      <c r="A1479" s="29" t="s">
        <v>3247</v>
      </c>
      <c r="B1479" s="29" t="s">
        <v>121</v>
      </c>
      <c r="C1479" s="29" t="s">
        <v>55</v>
      </c>
      <c r="D1479" s="29" t="s">
        <v>3248</v>
      </c>
      <c r="E1479" s="29" t="s">
        <v>3202</v>
      </c>
      <c r="F1479" s="29" t="s">
        <v>3193</v>
      </c>
      <c r="G1479" s="29" t="s">
        <v>39</v>
      </c>
      <c r="H1479" s="29" t="s">
        <v>69</v>
      </c>
      <c r="I1479" s="29" t="s">
        <v>190</v>
      </c>
      <c r="J1479" s="29" t="s">
        <v>191</v>
      </c>
      <c r="K1479" s="29" t="s">
        <v>298</v>
      </c>
      <c r="L1479" s="29" t="s">
        <v>32</v>
      </c>
      <c r="M1479" s="29" t="n">
        <v>6000</v>
      </c>
      <c r="N1479" s="29" t="n">
        <v>4000</v>
      </c>
      <c r="O1479" s="29"/>
      <c r="P1479" s="30" t="n">
        <f aca="false">(M1479*N1479/1000000)*INDEX(AreaRate_Vals,MATCH(C1479,AreaRate_Keys,0))+IF(H1479="Aluminium Louvre Blade",(M1479*N1479/1000000)*INDEX(Glass_Vals,MATCH("6mm Toughened Louvre Blade",Glass_Keys,0)),0)+INDEX(Hardware_Vals,MATCH("Pergolas",Hardware_Keys,0))</f>
        <v>51300</v>
      </c>
      <c r="Q1479" s="31" t="n">
        <f aca="false">INDEX(Markup_Vals,MATCH("Outdoor Living &amp; Shading",MarkupCat_Keys,0))</f>
        <v>0.45</v>
      </c>
      <c r="R1479" s="32" t="n">
        <f aca="false">P1479*(1+Q1479)</f>
        <v>74385</v>
      </c>
      <c r="S1479" s="32" t="n">
        <f aca="false">R1479*(1-TradeDiscount)</f>
        <v>65458.8</v>
      </c>
      <c r="T1479" s="32" t="n">
        <f aca="false">R1479*(1-VolumeDiscount)</f>
        <v>59508</v>
      </c>
    </row>
    <row r="1480" customFormat="false" ht="15" hidden="false" customHeight="false" outlineLevel="0" collapsed="false">
      <c r="A1480" s="25" t="s">
        <v>3249</v>
      </c>
      <c r="B1480" s="25" t="s">
        <v>121</v>
      </c>
      <c r="C1480" s="25" t="s">
        <v>55</v>
      </c>
      <c r="D1480" s="25" t="s">
        <v>3250</v>
      </c>
      <c r="E1480" s="25" t="s">
        <v>3251</v>
      </c>
      <c r="F1480" s="25" t="s">
        <v>3147</v>
      </c>
      <c r="G1480" s="25" t="s">
        <v>35</v>
      </c>
      <c r="H1480" s="25" t="s">
        <v>3148</v>
      </c>
      <c r="I1480" s="25" t="s">
        <v>190</v>
      </c>
      <c r="J1480" s="25" t="s">
        <v>191</v>
      </c>
      <c r="K1480" s="25" t="s">
        <v>298</v>
      </c>
      <c r="L1480" s="25" t="s">
        <v>32</v>
      </c>
      <c r="M1480" s="25" t="n">
        <v>3000</v>
      </c>
      <c r="N1480" s="25" t="n">
        <v>3000</v>
      </c>
      <c r="O1480" s="25"/>
      <c r="P1480" s="26" t="n">
        <f aca="false">(M1480*N1480/1000000)*INDEX(AreaRate_Vals,MATCH(C1480,AreaRate_Keys,0))+IF(H1480="Aluminium Louvre Blade",(M1480*N1480/1000000)*INDEX(Glass_Vals,MATCH("6mm Toughened Louvre Blade",Glass_Keys,0)),0)+INDEX(Hardware_Vals,MATCH("Pergolas",Hardware_Keys,0))</f>
        <v>16620</v>
      </c>
      <c r="Q1480" s="27" t="n">
        <f aca="false">INDEX(Markup_Vals,MATCH("Outdoor Living &amp; Shading",MarkupCat_Keys,0))</f>
        <v>0.45</v>
      </c>
      <c r="R1480" s="28" t="n">
        <f aca="false">P1480*(1+Q1480)</f>
        <v>24099</v>
      </c>
      <c r="S1480" s="28" t="n">
        <f aca="false">R1480*(1-TradeDiscount)</f>
        <v>21207.12</v>
      </c>
      <c r="T1480" s="28" t="n">
        <f aca="false">R1480*(1-VolumeDiscount)</f>
        <v>19279.2</v>
      </c>
    </row>
    <row r="1481" customFormat="false" ht="15" hidden="false" customHeight="false" outlineLevel="0" collapsed="false">
      <c r="A1481" s="29" t="s">
        <v>3252</v>
      </c>
      <c r="B1481" s="29" t="s">
        <v>121</v>
      </c>
      <c r="C1481" s="29" t="s">
        <v>55</v>
      </c>
      <c r="D1481" s="29" t="s">
        <v>3253</v>
      </c>
      <c r="E1481" s="29" t="s">
        <v>3251</v>
      </c>
      <c r="F1481" s="29" t="s">
        <v>3147</v>
      </c>
      <c r="G1481" s="29" t="s">
        <v>36</v>
      </c>
      <c r="H1481" s="29" t="s">
        <v>3148</v>
      </c>
      <c r="I1481" s="29" t="s">
        <v>190</v>
      </c>
      <c r="J1481" s="29" t="s">
        <v>191</v>
      </c>
      <c r="K1481" s="29" t="s">
        <v>298</v>
      </c>
      <c r="L1481" s="29" t="s">
        <v>32</v>
      </c>
      <c r="M1481" s="29" t="n">
        <v>3000</v>
      </c>
      <c r="N1481" s="29" t="n">
        <v>3000</v>
      </c>
      <c r="O1481" s="29"/>
      <c r="P1481" s="30" t="n">
        <f aca="false">(M1481*N1481/1000000)*INDEX(AreaRate_Vals,MATCH(C1481,AreaRate_Keys,0))+IF(H1481="Aluminium Louvre Blade",(M1481*N1481/1000000)*INDEX(Glass_Vals,MATCH("6mm Toughened Louvre Blade",Glass_Keys,0)),0)+INDEX(Hardware_Vals,MATCH("Pergolas",Hardware_Keys,0))</f>
        <v>16620</v>
      </c>
      <c r="Q1481" s="31" t="n">
        <f aca="false">INDEX(Markup_Vals,MATCH("Outdoor Living &amp; Shading",MarkupCat_Keys,0))</f>
        <v>0.45</v>
      </c>
      <c r="R1481" s="32" t="n">
        <f aca="false">P1481*(1+Q1481)</f>
        <v>24099</v>
      </c>
      <c r="S1481" s="32" t="n">
        <f aca="false">R1481*(1-TradeDiscount)</f>
        <v>21207.12</v>
      </c>
      <c r="T1481" s="32" t="n">
        <f aca="false">R1481*(1-VolumeDiscount)</f>
        <v>19279.2</v>
      </c>
    </row>
    <row r="1482" customFormat="false" ht="15" hidden="false" customHeight="false" outlineLevel="0" collapsed="false">
      <c r="A1482" s="25" t="s">
        <v>3254</v>
      </c>
      <c r="B1482" s="25" t="s">
        <v>121</v>
      </c>
      <c r="C1482" s="25" t="s">
        <v>55</v>
      </c>
      <c r="D1482" s="25" t="s">
        <v>3255</v>
      </c>
      <c r="E1482" s="25" t="s">
        <v>3251</v>
      </c>
      <c r="F1482" s="25" t="s">
        <v>3147</v>
      </c>
      <c r="G1482" s="25" t="s">
        <v>37</v>
      </c>
      <c r="H1482" s="25" t="s">
        <v>3148</v>
      </c>
      <c r="I1482" s="25" t="s">
        <v>190</v>
      </c>
      <c r="J1482" s="25" t="s">
        <v>191</v>
      </c>
      <c r="K1482" s="25" t="s">
        <v>298</v>
      </c>
      <c r="L1482" s="25" t="s">
        <v>32</v>
      </c>
      <c r="M1482" s="25" t="n">
        <v>3000</v>
      </c>
      <c r="N1482" s="25" t="n">
        <v>3000</v>
      </c>
      <c r="O1482" s="25"/>
      <c r="P1482" s="26" t="n">
        <f aca="false">(M1482*N1482/1000000)*INDEX(AreaRate_Vals,MATCH(C1482,AreaRate_Keys,0))+IF(H1482="Aluminium Louvre Blade",(M1482*N1482/1000000)*INDEX(Glass_Vals,MATCH("6mm Toughened Louvre Blade",Glass_Keys,0)),0)+INDEX(Hardware_Vals,MATCH("Pergolas",Hardware_Keys,0))</f>
        <v>16620</v>
      </c>
      <c r="Q1482" s="27" t="n">
        <f aca="false">INDEX(Markup_Vals,MATCH("Outdoor Living &amp; Shading",MarkupCat_Keys,0))</f>
        <v>0.45</v>
      </c>
      <c r="R1482" s="28" t="n">
        <f aca="false">P1482*(1+Q1482)</f>
        <v>24099</v>
      </c>
      <c r="S1482" s="28" t="n">
        <f aca="false">R1482*(1-TradeDiscount)</f>
        <v>21207.12</v>
      </c>
      <c r="T1482" s="28" t="n">
        <f aca="false">R1482*(1-VolumeDiscount)</f>
        <v>19279.2</v>
      </c>
    </row>
    <row r="1483" customFormat="false" ht="15" hidden="false" customHeight="false" outlineLevel="0" collapsed="false">
      <c r="A1483" s="29" t="s">
        <v>3256</v>
      </c>
      <c r="B1483" s="29" t="s">
        <v>121</v>
      </c>
      <c r="C1483" s="29" t="s">
        <v>55</v>
      </c>
      <c r="D1483" s="29" t="s">
        <v>3257</v>
      </c>
      <c r="E1483" s="29" t="s">
        <v>3251</v>
      </c>
      <c r="F1483" s="29" t="s">
        <v>3147</v>
      </c>
      <c r="G1483" s="29" t="s">
        <v>39</v>
      </c>
      <c r="H1483" s="29" t="s">
        <v>3148</v>
      </c>
      <c r="I1483" s="29" t="s">
        <v>190</v>
      </c>
      <c r="J1483" s="29" t="s">
        <v>191</v>
      </c>
      <c r="K1483" s="29" t="s">
        <v>298</v>
      </c>
      <c r="L1483" s="29" t="s">
        <v>32</v>
      </c>
      <c r="M1483" s="29" t="n">
        <v>3000</v>
      </c>
      <c r="N1483" s="29" t="n">
        <v>3000</v>
      </c>
      <c r="O1483" s="29"/>
      <c r="P1483" s="30" t="n">
        <f aca="false">(M1483*N1483/1000000)*INDEX(AreaRate_Vals,MATCH(C1483,AreaRate_Keys,0))+IF(H1483="Aluminium Louvre Blade",(M1483*N1483/1000000)*INDEX(Glass_Vals,MATCH("6mm Toughened Louvre Blade",Glass_Keys,0)),0)+INDEX(Hardware_Vals,MATCH("Pergolas",Hardware_Keys,0))</f>
        <v>16620</v>
      </c>
      <c r="Q1483" s="31" t="n">
        <f aca="false">INDEX(Markup_Vals,MATCH("Outdoor Living &amp; Shading",MarkupCat_Keys,0))</f>
        <v>0.45</v>
      </c>
      <c r="R1483" s="32" t="n">
        <f aca="false">P1483*(1+Q1483)</f>
        <v>24099</v>
      </c>
      <c r="S1483" s="32" t="n">
        <f aca="false">R1483*(1-TradeDiscount)</f>
        <v>21207.12</v>
      </c>
      <c r="T1483" s="32" t="n">
        <f aca="false">R1483*(1-VolumeDiscount)</f>
        <v>19279.2</v>
      </c>
    </row>
    <row r="1484" customFormat="false" ht="15" hidden="false" customHeight="false" outlineLevel="0" collapsed="false">
      <c r="A1484" s="25" t="s">
        <v>3258</v>
      </c>
      <c r="B1484" s="25" t="s">
        <v>121</v>
      </c>
      <c r="C1484" s="25" t="s">
        <v>55</v>
      </c>
      <c r="D1484" s="25" t="s">
        <v>3259</v>
      </c>
      <c r="E1484" s="25" t="s">
        <v>3251</v>
      </c>
      <c r="F1484" s="25" t="s">
        <v>3157</v>
      </c>
      <c r="G1484" s="25" t="s">
        <v>35</v>
      </c>
      <c r="H1484" s="25" t="s">
        <v>3148</v>
      </c>
      <c r="I1484" s="25" t="s">
        <v>190</v>
      </c>
      <c r="J1484" s="25" t="s">
        <v>191</v>
      </c>
      <c r="K1484" s="25" t="s">
        <v>298</v>
      </c>
      <c r="L1484" s="25" t="s">
        <v>32</v>
      </c>
      <c r="M1484" s="25" t="n">
        <v>3000</v>
      </c>
      <c r="N1484" s="25" t="n">
        <v>4000</v>
      </c>
      <c r="O1484" s="25"/>
      <c r="P1484" s="26" t="n">
        <f aca="false">(M1484*N1484/1000000)*INDEX(AreaRate_Vals,MATCH(C1484,AreaRate_Keys,0))+IF(H1484="Aluminium Louvre Blade",(M1484*N1484/1000000)*INDEX(Glass_Vals,MATCH("6mm Toughened Louvre Blade",Glass_Keys,0)),0)+INDEX(Hardware_Vals,MATCH("Pergolas",Hardware_Keys,0))</f>
        <v>22020</v>
      </c>
      <c r="Q1484" s="27" t="n">
        <f aca="false">INDEX(Markup_Vals,MATCH("Outdoor Living &amp; Shading",MarkupCat_Keys,0))</f>
        <v>0.45</v>
      </c>
      <c r="R1484" s="28" t="n">
        <f aca="false">P1484*(1+Q1484)</f>
        <v>31929</v>
      </c>
      <c r="S1484" s="28" t="n">
        <f aca="false">R1484*(1-TradeDiscount)</f>
        <v>28097.52</v>
      </c>
      <c r="T1484" s="28" t="n">
        <f aca="false">R1484*(1-VolumeDiscount)</f>
        <v>25543.2</v>
      </c>
    </row>
    <row r="1485" customFormat="false" ht="15" hidden="false" customHeight="false" outlineLevel="0" collapsed="false">
      <c r="A1485" s="29" t="s">
        <v>3260</v>
      </c>
      <c r="B1485" s="29" t="s">
        <v>121</v>
      </c>
      <c r="C1485" s="29" t="s">
        <v>55</v>
      </c>
      <c r="D1485" s="29" t="s">
        <v>3261</v>
      </c>
      <c r="E1485" s="29" t="s">
        <v>3251</v>
      </c>
      <c r="F1485" s="29" t="s">
        <v>3157</v>
      </c>
      <c r="G1485" s="29" t="s">
        <v>36</v>
      </c>
      <c r="H1485" s="29" t="s">
        <v>3148</v>
      </c>
      <c r="I1485" s="29" t="s">
        <v>190</v>
      </c>
      <c r="J1485" s="29" t="s">
        <v>191</v>
      </c>
      <c r="K1485" s="29" t="s">
        <v>298</v>
      </c>
      <c r="L1485" s="29" t="s">
        <v>32</v>
      </c>
      <c r="M1485" s="29" t="n">
        <v>3000</v>
      </c>
      <c r="N1485" s="29" t="n">
        <v>4000</v>
      </c>
      <c r="O1485" s="29"/>
      <c r="P1485" s="30" t="n">
        <f aca="false">(M1485*N1485/1000000)*INDEX(AreaRate_Vals,MATCH(C1485,AreaRate_Keys,0))+IF(H1485="Aluminium Louvre Blade",(M1485*N1485/1000000)*INDEX(Glass_Vals,MATCH("6mm Toughened Louvre Blade",Glass_Keys,0)),0)+INDEX(Hardware_Vals,MATCH("Pergolas",Hardware_Keys,0))</f>
        <v>22020</v>
      </c>
      <c r="Q1485" s="31" t="n">
        <f aca="false">INDEX(Markup_Vals,MATCH("Outdoor Living &amp; Shading",MarkupCat_Keys,0))</f>
        <v>0.45</v>
      </c>
      <c r="R1485" s="32" t="n">
        <f aca="false">P1485*(1+Q1485)</f>
        <v>31929</v>
      </c>
      <c r="S1485" s="32" t="n">
        <f aca="false">R1485*(1-TradeDiscount)</f>
        <v>28097.52</v>
      </c>
      <c r="T1485" s="32" t="n">
        <f aca="false">R1485*(1-VolumeDiscount)</f>
        <v>25543.2</v>
      </c>
    </row>
    <row r="1486" customFormat="false" ht="15" hidden="false" customHeight="false" outlineLevel="0" collapsed="false">
      <c r="A1486" s="25" t="s">
        <v>3262</v>
      </c>
      <c r="B1486" s="25" t="s">
        <v>121</v>
      </c>
      <c r="C1486" s="25" t="s">
        <v>55</v>
      </c>
      <c r="D1486" s="25" t="s">
        <v>3263</v>
      </c>
      <c r="E1486" s="25" t="s">
        <v>3251</v>
      </c>
      <c r="F1486" s="25" t="s">
        <v>3157</v>
      </c>
      <c r="G1486" s="25" t="s">
        <v>37</v>
      </c>
      <c r="H1486" s="25" t="s">
        <v>3148</v>
      </c>
      <c r="I1486" s="25" t="s">
        <v>190</v>
      </c>
      <c r="J1486" s="25" t="s">
        <v>191</v>
      </c>
      <c r="K1486" s="25" t="s">
        <v>298</v>
      </c>
      <c r="L1486" s="25" t="s">
        <v>32</v>
      </c>
      <c r="M1486" s="25" t="n">
        <v>3000</v>
      </c>
      <c r="N1486" s="25" t="n">
        <v>4000</v>
      </c>
      <c r="O1486" s="25"/>
      <c r="P1486" s="26" t="n">
        <f aca="false">(M1486*N1486/1000000)*INDEX(AreaRate_Vals,MATCH(C1486,AreaRate_Keys,0))+IF(H1486="Aluminium Louvre Blade",(M1486*N1486/1000000)*INDEX(Glass_Vals,MATCH("6mm Toughened Louvre Blade",Glass_Keys,0)),0)+INDEX(Hardware_Vals,MATCH("Pergolas",Hardware_Keys,0))</f>
        <v>22020</v>
      </c>
      <c r="Q1486" s="27" t="n">
        <f aca="false">INDEX(Markup_Vals,MATCH("Outdoor Living &amp; Shading",MarkupCat_Keys,0))</f>
        <v>0.45</v>
      </c>
      <c r="R1486" s="28" t="n">
        <f aca="false">P1486*(1+Q1486)</f>
        <v>31929</v>
      </c>
      <c r="S1486" s="28" t="n">
        <f aca="false">R1486*(1-TradeDiscount)</f>
        <v>28097.52</v>
      </c>
      <c r="T1486" s="28" t="n">
        <f aca="false">R1486*(1-VolumeDiscount)</f>
        <v>25543.2</v>
      </c>
    </row>
    <row r="1487" customFormat="false" ht="15" hidden="false" customHeight="false" outlineLevel="0" collapsed="false">
      <c r="A1487" s="29" t="s">
        <v>3264</v>
      </c>
      <c r="B1487" s="29" t="s">
        <v>121</v>
      </c>
      <c r="C1487" s="29" t="s">
        <v>55</v>
      </c>
      <c r="D1487" s="29" t="s">
        <v>3265</v>
      </c>
      <c r="E1487" s="29" t="s">
        <v>3251</v>
      </c>
      <c r="F1487" s="29" t="s">
        <v>3157</v>
      </c>
      <c r="G1487" s="29" t="s">
        <v>39</v>
      </c>
      <c r="H1487" s="29" t="s">
        <v>3148</v>
      </c>
      <c r="I1487" s="29" t="s">
        <v>190</v>
      </c>
      <c r="J1487" s="29" t="s">
        <v>191</v>
      </c>
      <c r="K1487" s="29" t="s">
        <v>298</v>
      </c>
      <c r="L1487" s="29" t="s">
        <v>32</v>
      </c>
      <c r="M1487" s="29" t="n">
        <v>3000</v>
      </c>
      <c r="N1487" s="29" t="n">
        <v>4000</v>
      </c>
      <c r="O1487" s="29"/>
      <c r="P1487" s="30" t="n">
        <f aca="false">(M1487*N1487/1000000)*INDEX(AreaRate_Vals,MATCH(C1487,AreaRate_Keys,0))+IF(H1487="Aluminium Louvre Blade",(M1487*N1487/1000000)*INDEX(Glass_Vals,MATCH("6mm Toughened Louvre Blade",Glass_Keys,0)),0)+INDEX(Hardware_Vals,MATCH("Pergolas",Hardware_Keys,0))</f>
        <v>22020</v>
      </c>
      <c r="Q1487" s="31" t="n">
        <f aca="false">INDEX(Markup_Vals,MATCH("Outdoor Living &amp; Shading",MarkupCat_Keys,0))</f>
        <v>0.45</v>
      </c>
      <c r="R1487" s="32" t="n">
        <f aca="false">P1487*(1+Q1487)</f>
        <v>31929</v>
      </c>
      <c r="S1487" s="32" t="n">
        <f aca="false">R1487*(1-TradeDiscount)</f>
        <v>28097.52</v>
      </c>
      <c r="T1487" s="32" t="n">
        <f aca="false">R1487*(1-VolumeDiscount)</f>
        <v>25543.2</v>
      </c>
    </row>
    <row r="1488" customFormat="false" ht="15" hidden="false" customHeight="false" outlineLevel="0" collapsed="false">
      <c r="A1488" s="25" t="s">
        <v>3266</v>
      </c>
      <c r="B1488" s="25" t="s">
        <v>121</v>
      </c>
      <c r="C1488" s="25" t="s">
        <v>55</v>
      </c>
      <c r="D1488" s="25" t="s">
        <v>3267</v>
      </c>
      <c r="E1488" s="25" t="s">
        <v>3251</v>
      </c>
      <c r="F1488" s="25" t="s">
        <v>3166</v>
      </c>
      <c r="G1488" s="25" t="s">
        <v>35</v>
      </c>
      <c r="H1488" s="25" t="s">
        <v>3148</v>
      </c>
      <c r="I1488" s="25" t="s">
        <v>190</v>
      </c>
      <c r="J1488" s="25" t="s">
        <v>191</v>
      </c>
      <c r="K1488" s="25" t="s">
        <v>298</v>
      </c>
      <c r="L1488" s="25" t="s">
        <v>32</v>
      </c>
      <c r="M1488" s="25" t="n">
        <v>4000</v>
      </c>
      <c r="N1488" s="25" t="n">
        <v>4000</v>
      </c>
      <c r="O1488" s="25"/>
      <c r="P1488" s="26" t="n">
        <f aca="false">(M1488*N1488/1000000)*INDEX(AreaRate_Vals,MATCH(C1488,AreaRate_Keys,0))+IF(H1488="Aluminium Louvre Blade",(M1488*N1488/1000000)*INDEX(Glass_Vals,MATCH("6mm Toughened Louvre Blade",Glass_Keys,0)),0)+INDEX(Hardware_Vals,MATCH("Pergolas",Hardware_Keys,0))</f>
        <v>29220</v>
      </c>
      <c r="Q1488" s="27" t="n">
        <f aca="false">INDEX(Markup_Vals,MATCH("Outdoor Living &amp; Shading",MarkupCat_Keys,0))</f>
        <v>0.45</v>
      </c>
      <c r="R1488" s="28" t="n">
        <f aca="false">P1488*(1+Q1488)</f>
        <v>42369</v>
      </c>
      <c r="S1488" s="28" t="n">
        <f aca="false">R1488*(1-TradeDiscount)</f>
        <v>37284.72</v>
      </c>
      <c r="T1488" s="28" t="n">
        <f aca="false">R1488*(1-VolumeDiscount)</f>
        <v>33895.2</v>
      </c>
    </row>
    <row r="1489" customFormat="false" ht="15" hidden="false" customHeight="false" outlineLevel="0" collapsed="false">
      <c r="A1489" s="29" t="s">
        <v>3268</v>
      </c>
      <c r="B1489" s="29" t="s">
        <v>121</v>
      </c>
      <c r="C1489" s="29" t="s">
        <v>55</v>
      </c>
      <c r="D1489" s="29" t="s">
        <v>3269</v>
      </c>
      <c r="E1489" s="29" t="s">
        <v>3251</v>
      </c>
      <c r="F1489" s="29" t="s">
        <v>3166</v>
      </c>
      <c r="G1489" s="29" t="s">
        <v>36</v>
      </c>
      <c r="H1489" s="29" t="s">
        <v>3148</v>
      </c>
      <c r="I1489" s="29" t="s">
        <v>190</v>
      </c>
      <c r="J1489" s="29" t="s">
        <v>191</v>
      </c>
      <c r="K1489" s="29" t="s">
        <v>298</v>
      </c>
      <c r="L1489" s="29" t="s">
        <v>32</v>
      </c>
      <c r="M1489" s="29" t="n">
        <v>4000</v>
      </c>
      <c r="N1489" s="29" t="n">
        <v>4000</v>
      </c>
      <c r="O1489" s="29"/>
      <c r="P1489" s="30" t="n">
        <f aca="false">(M1489*N1489/1000000)*INDEX(AreaRate_Vals,MATCH(C1489,AreaRate_Keys,0))+IF(H1489="Aluminium Louvre Blade",(M1489*N1489/1000000)*INDEX(Glass_Vals,MATCH("6mm Toughened Louvre Blade",Glass_Keys,0)),0)+INDEX(Hardware_Vals,MATCH("Pergolas",Hardware_Keys,0))</f>
        <v>29220</v>
      </c>
      <c r="Q1489" s="31" t="n">
        <f aca="false">INDEX(Markup_Vals,MATCH("Outdoor Living &amp; Shading",MarkupCat_Keys,0))</f>
        <v>0.45</v>
      </c>
      <c r="R1489" s="32" t="n">
        <f aca="false">P1489*(1+Q1489)</f>
        <v>42369</v>
      </c>
      <c r="S1489" s="32" t="n">
        <f aca="false">R1489*(1-TradeDiscount)</f>
        <v>37284.72</v>
      </c>
      <c r="T1489" s="32" t="n">
        <f aca="false">R1489*(1-VolumeDiscount)</f>
        <v>33895.2</v>
      </c>
    </row>
    <row r="1490" customFormat="false" ht="15" hidden="false" customHeight="false" outlineLevel="0" collapsed="false">
      <c r="A1490" s="25" t="s">
        <v>3270</v>
      </c>
      <c r="B1490" s="25" t="s">
        <v>121</v>
      </c>
      <c r="C1490" s="25" t="s">
        <v>55</v>
      </c>
      <c r="D1490" s="25" t="s">
        <v>3271</v>
      </c>
      <c r="E1490" s="25" t="s">
        <v>3251</v>
      </c>
      <c r="F1490" s="25" t="s">
        <v>3166</v>
      </c>
      <c r="G1490" s="25" t="s">
        <v>37</v>
      </c>
      <c r="H1490" s="25" t="s">
        <v>3148</v>
      </c>
      <c r="I1490" s="25" t="s">
        <v>190</v>
      </c>
      <c r="J1490" s="25" t="s">
        <v>191</v>
      </c>
      <c r="K1490" s="25" t="s">
        <v>298</v>
      </c>
      <c r="L1490" s="25" t="s">
        <v>32</v>
      </c>
      <c r="M1490" s="25" t="n">
        <v>4000</v>
      </c>
      <c r="N1490" s="25" t="n">
        <v>4000</v>
      </c>
      <c r="O1490" s="25"/>
      <c r="P1490" s="26" t="n">
        <f aca="false">(M1490*N1490/1000000)*INDEX(AreaRate_Vals,MATCH(C1490,AreaRate_Keys,0))+IF(H1490="Aluminium Louvre Blade",(M1490*N1490/1000000)*INDEX(Glass_Vals,MATCH("6mm Toughened Louvre Blade",Glass_Keys,0)),0)+INDEX(Hardware_Vals,MATCH("Pergolas",Hardware_Keys,0))</f>
        <v>29220</v>
      </c>
      <c r="Q1490" s="27" t="n">
        <f aca="false">INDEX(Markup_Vals,MATCH("Outdoor Living &amp; Shading",MarkupCat_Keys,0))</f>
        <v>0.45</v>
      </c>
      <c r="R1490" s="28" t="n">
        <f aca="false">P1490*(1+Q1490)</f>
        <v>42369</v>
      </c>
      <c r="S1490" s="28" t="n">
        <f aca="false">R1490*(1-TradeDiscount)</f>
        <v>37284.72</v>
      </c>
      <c r="T1490" s="28" t="n">
        <f aca="false">R1490*(1-VolumeDiscount)</f>
        <v>33895.2</v>
      </c>
    </row>
    <row r="1491" customFormat="false" ht="15" hidden="false" customHeight="false" outlineLevel="0" collapsed="false">
      <c r="A1491" s="29" t="s">
        <v>3272</v>
      </c>
      <c r="B1491" s="29" t="s">
        <v>121</v>
      </c>
      <c r="C1491" s="29" t="s">
        <v>55</v>
      </c>
      <c r="D1491" s="29" t="s">
        <v>3273</v>
      </c>
      <c r="E1491" s="29" t="s">
        <v>3251</v>
      </c>
      <c r="F1491" s="29" t="s">
        <v>3166</v>
      </c>
      <c r="G1491" s="29" t="s">
        <v>39</v>
      </c>
      <c r="H1491" s="29" t="s">
        <v>3148</v>
      </c>
      <c r="I1491" s="29" t="s">
        <v>190</v>
      </c>
      <c r="J1491" s="29" t="s">
        <v>191</v>
      </c>
      <c r="K1491" s="29" t="s">
        <v>298</v>
      </c>
      <c r="L1491" s="29" t="s">
        <v>32</v>
      </c>
      <c r="M1491" s="29" t="n">
        <v>4000</v>
      </c>
      <c r="N1491" s="29" t="n">
        <v>4000</v>
      </c>
      <c r="O1491" s="29"/>
      <c r="P1491" s="30" t="n">
        <f aca="false">(M1491*N1491/1000000)*INDEX(AreaRate_Vals,MATCH(C1491,AreaRate_Keys,0))+IF(H1491="Aluminium Louvre Blade",(M1491*N1491/1000000)*INDEX(Glass_Vals,MATCH("6mm Toughened Louvre Blade",Glass_Keys,0)),0)+INDEX(Hardware_Vals,MATCH("Pergolas",Hardware_Keys,0))</f>
        <v>29220</v>
      </c>
      <c r="Q1491" s="31" t="n">
        <f aca="false">INDEX(Markup_Vals,MATCH("Outdoor Living &amp; Shading",MarkupCat_Keys,0))</f>
        <v>0.45</v>
      </c>
      <c r="R1491" s="32" t="n">
        <f aca="false">P1491*(1+Q1491)</f>
        <v>42369</v>
      </c>
      <c r="S1491" s="32" t="n">
        <f aca="false">R1491*(1-TradeDiscount)</f>
        <v>37284.72</v>
      </c>
      <c r="T1491" s="32" t="n">
        <f aca="false">R1491*(1-VolumeDiscount)</f>
        <v>33895.2</v>
      </c>
    </row>
    <row r="1492" customFormat="false" ht="15" hidden="false" customHeight="false" outlineLevel="0" collapsed="false">
      <c r="A1492" s="25" t="s">
        <v>3274</v>
      </c>
      <c r="B1492" s="25" t="s">
        <v>121</v>
      </c>
      <c r="C1492" s="25" t="s">
        <v>55</v>
      </c>
      <c r="D1492" s="25" t="s">
        <v>3275</v>
      </c>
      <c r="E1492" s="25" t="s">
        <v>3251</v>
      </c>
      <c r="F1492" s="25" t="s">
        <v>3175</v>
      </c>
      <c r="G1492" s="25" t="s">
        <v>35</v>
      </c>
      <c r="H1492" s="25" t="s">
        <v>3148</v>
      </c>
      <c r="I1492" s="25" t="s">
        <v>190</v>
      </c>
      <c r="J1492" s="25" t="s">
        <v>191</v>
      </c>
      <c r="K1492" s="25" t="s">
        <v>298</v>
      </c>
      <c r="L1492" s="25" t="s">
        <v>32</v>
      </c>
      <c r="M1492" s="25" t="n">
        <v>4000</v>
      </c>
      <c r="N1492" s="25" t="n">
        <v>5000</v>
      </c>
      <c r="O1492" s="25"/>
      <c r="P1492" s="26" t="n">
        <f aca="false">(M1492*N1492/1000000)*INDEX(AreaRate_Vals,MATCH(C1492,AreaRate_Keys,0))+IF(H1492="Aluminium Louvre Blade",(M1492*N1492/1000000)*INDEX(Glass_Vals,MATCH("6mm Toughened Louvre Blade",Glass_Keys,0)),0)+INDEX(Hardware_Vals,MATCH("Pergolas",Hardware_Keys,0))</f>
        <v>36420</v>
      </c>
      <c r="Q1492" s="27" t="n">
        <f aca="false">INDEX(Markup_Vals,MATCH("Outdoor Living &amp; Shading",MarkupCat_Keys,0))</f>
        <v>0.45</v>
      </c>
      <c r="R1492" s="28" t="n">
        <f aca="false">P1492*(1+Q1492)</f>
        <v>52809</v>
      </c>
      <c r="S1492" s="28" t="n">
        <f aca="false">R1492*(1-TradeDiscount)</f>
        <v>46471.92</v>
      </c>
      <c r="T1492" s="28" t="n">
        <f aca="false">R1492*(1-VolumeDiscount)</f>
        <v>42247.2</v>
      </c>
    </row>
    <row r="1493" customFormat="false" ht="15" hidden="false" customHeight="false" outlineLevel="0" collapsed="false">
      <c r="A1493" s="29" t="s">
        <v>3276</v>
      </c>
      <c r="B1493" s="29" t="s">
        <v>121</v>
      </c>
      <c r="C1493" s="29" t="s">
        <v>55</v>
      </c>
      <c r="D1493" s="29" t="s">
        <v>3277</v>
      </c>
      <c r="E1493" s="29" t="s">
        <v>3251</v>
      </c>
      <c r="F1493" s="29" t="s">
        <v>3175</v>
      </c>
      <c r="G1493" s="29" t="s">
        <v>36</v>
      </c>
      <c r="H1493" s="29" t="s">
        <v>3148</v>
      </c>
      <c r="I1493" s="29" t="s">
        <v>190</v>
      </c>
      <c r="J1493" s="29" t="s">
        <v>191</v>
      </c>
      <c r="K1493" s="29" t="s">
        <v>298</v>
      </c>
      <c r="L1493" s="29" t="s">
        <v>32</v>
      </c>
      <c r="M1493" s="29" t="n">
        <v>4000</v>
      </c>
      <c r="N1493" s="29" t="n">
        <v>5000</v>
      </c>
      <c r="O1493" s="29"/>
      <c r="P1493" s="30" t="n">
        <f aca="false">(M1493*N1493/1000000)*INDEX(AreaRate_Vals,MATCH(C1493,AreaRate_Keys,0))+IF(H1493="Aluminium Louvre Blade",(M1493*N1493/1000000)*INDEX(Glass_Vals,MATCH("6mm Toughened Louvre Blade",Glass_Keys,0)),0)+INDEX(Hardware_Vals,MATCH("Pergolas",Hardware_Keys,0))</f>
        <v>36420</v>
      </c>
      <c r="Q1493" s="31" t="n">
        <f aca="false">INDEX(Markup_Vals,MATCH("Outdoor Living &amp; Shading",MarkupCat_Keys,0))</f>
        <v>0.45</v>
      </c>
      <c r="R1493" s="32" t="n">
        <f aca="false">P1493*(1+Q1493)</f>
        <v>52809</v>
      </c>
      <c r="S1493" s="32" t="n">
        <f aca="false">R1493*(1-TradeDiscount)</f>
        <v>46471.92</v>
      </c>
      <c r="T1493" s="32" t="n">
        <f aca="false">R1493*(1-VolumeDiscount)</f>
        <v>42247.2</v>
      </c>
    </row>
    <row r="1494" customFormat="false" ht="15" hidden="false" customHeight="false" outlineLevel="0" collapsed="false">
      <c r="A1494" s="25" t="s">
        <v>3278</v>
      </c>
      <c r="B1494" s="25" t="s">
        <v>121</v>
      </c>
      <c r="C1494" s="25" t="s">
        <v>55</v>
      </c>
      <c r="D1494" s="25" t="s">
        <v>3279</v>
      </c>
      <c r="E1494" s="25" t="s">
        <v>3251</v>
      </c>
      <c r="F1494" s="25" t="s">
        <v>3175</v>
      </c>
      <c r="G1494" s="25" t="s">
        <v>37</v>
      </c>
      <c r="H1494" s="25" t="s">
        <v>3148</v>
      </c>
      <c r="I1494" s="25" t="s">
        <v>190</v>
      </c>
      <c r="J1494" s="25" t="s">
        <v>191</v>
      </c>
      <c r="K1494" s="25" t="s">
        <v>298</v>
      </c>
      <c r="L1494" s="25" t="s">
        <v>32</v>
      </c>
      <c r="M1494" s="25" t="n">
        <v>4000</v>
      </c>
      <c r="N1494" s="25" t="n">
        <v>5000</v>
      </c>
      <c r="O1494" s="25"/>
      <c r="P1494" s="26" t="n">
        <f aca="false">(M1494*N1494/1000000)*INDEX(AreaRate_Vals,MATCH(C1494,AreaRate_Keys,0))+IF(H1494="Aluminium Louvre Blade",(M1494*N1494/1000000)*INDEX(Glass_Vals,MATCH("6mm Toughened Louvre Blade",Glass_Keys,0)),0)+INDEX(Hardware_Vals,MATCH("Pergolas",Hardware_Keys,0))</f>
        <v>36420</v>
      </c>
      <c r="Q1494" s="27" t="n">
        <f aca="false">INDEX(Markup_Vals,MATCH("Outdoor Living &amp; Shading",MarkupCat_Keys,0))</f>
        <v>0.45</v>
      </c>
      <c r="R1494" s="28" t="n">
        <f aca="false">P1494*(1+Q1494)</f>
        <v>52809</v>
      </c>
      <c r="S1494" s="28" t="n">
        <f aca="false">R1494*(1-TradeDiscount)</f>
        <v>46471.92</v>
      </c>
      <c r="T1494" s="28" t="n">
        <f aca="false">R1494*(1-VolumeDiscount)</f>
        <v>42247.2</v>
      </c>
    </row>
    <row r="1495" customFormat="false" ht="15" hidden="false" customHeight="false" outlineLevel="0" collapsed="false">
      <c r="A1495" s="29" t="s">
        <v>3280</v>
      </c>
      <c r="B1495" s="29" t="s">
        <v>121</v>
      </c>
      <c r="C1495" s="29" t="s">
        <v>55</v>
      </c>
      <c r="D1495" s="29" t="s">
        <v>3281</v>
      </c>
      <c r="E1495" s="29" t="s">
        <v>3251</v>
      </c>
      <c r="F1495" s="29" t="s">
        <v>3175</v>
      </c>
      <c r="G1495" s="29" t="s">
        <v>39</v>
      </c>
      <c r="H1495" s="29" t="s">
        <v>3148</v>
      </c>
      <c r="I1495" s="29" t="s">
        <v>190</v>
      </c>
      <c r="J1495" s="29" t="s">
        <v>191</v>
      </c>
      <c r="K1495" s="29" t="s">
        <v>298</v>
      </c>
      <c r="L1495" s="29" t="s">
        <v>32</v>
      </c>
      <c r="M1495" s="29" t="n">
        <v>4000</v>
      </c>
      <c r="N1495" s="29" t="n">
        <v>5000</v>
      </c>
      <c r="O1495" s="29"/>
      <c r="P1495" s="30" t="n">
        <f aca="false">(M1495*N1495/1000000)*INDEX(AreaRate_Vals,MATCH(C1495,AreaRate_Keys,0))+IF(H1495="Aluminium Louvre Blade",(M1495*N1495/1000000)*INDEX(Glass_Vals,MATCH("6mm Toughened Louvre Blade",Glass_Keys,0)),0)+INDEX(Hardware_Vals,MATCH("Pergolas",Hardware_Keys,0))</f>
        <v>36420</v>
      </c>
      <c r="Q1495" s="31" t="n">
        <f aca="false">INDEX(Markup_Vals,MATCH("Outdoor Living &amp; Shading",MarkupCat_Keys,0))</f>
        <v>0.45</v>
      </c>
      <c r="R1495" s="32" t="n">
        <f aca="false">P1495*(1+Q1495)</f>
        <v>52809</v>
      </c>
      <c r="S1495" s="32" t="n">
        <f aca="false">R1495*(1-TradeDiscount)</f>
        <v>46471.92</v>
      </c>
      <c r="T1495" s="32" t="n">
        <f aca="false">R1495*(1-VolumeDiscount)</f>
        <v>42247.2</v>
      </c>
    </row>
    <row r="1496" customFormat="false" ht="15" hidden="false" customHeight="false" outlineLevel="0" collapsed="false">
      <c r="A1496" s="25" t="s">
        <v>3282</v>
      </c>
      <c r="B1496" s="25" t="s">
        <v>121</v>
      </c>
      <c r="C1496" s="25" t="s">
        <v>55</v>
      </c>
      <c r="D1496" s="25" t="s">
        <v>3283</v>
      </c>
      <c r="E1496" s="25" t="s">
        <v>3251</v>
      </c>
      <c r="F1496" s="25" t="s">
        <v>3184</v>
      </c>
      <c r="G1496" s="25" t="s">
        <v>35</v>
      </c>
      <c r="H1496" s="25" t="s">
        <v>3148</v>
      </c>
      <c r="I1496" s="25" t="s">
        <v>190</v>
      </c>
      <c r="J1496" s="25" t="s">
        <v>191</v>
      </c>
      <c r="K1496" s="25" t="s">
        <v>298</v>
      </c>
      <c r="L1496" s="25" t="s">
        <v>32</v>
      </c>
      <c r="M1496" s="25" t="n">
        <v>5000</v>
      </c>
      <c r="N1496" s="25" t="n">
        <v>5000</v>
      </c>
      <c r="O1496" s="25"/>
      <c r="P1496" s="26" t="n">
        <f aca="false">(M1496*N1496/1000000)*INDEX(AreaRate_Vals,MATCH(C1496,AreaRate_Keys,0))+IF(H1496="Aluminium Louvre Blade",(M1496*N1496/1000000)*INDEX(Glass_Vals,MATCH("6mm Toughened Louvre Blade",Glass_Keys,0)),0)+INDEX(Hardware_Vals,MATCH("Pergolas",Hardware_Keys,0))</f>
        <v>45420</v>
      </c>
      <c r="Q1496" s="27" t="n">
        <f aca="false">INDEX(Markup_Vals,MATCH("Outdoor Living &amp; Shading",MarkupCat_Keys,0))</f>
        <v>0.45</v>
      </c>
      <c r="R1496" s="28" t="n">
        <f aca="false">P1496*(1+Q1496)</f>
        <v>65859</v>
      </c>
      <c r="S1496" s="28" t="n">
        <f aca="false">R1496*(1-TradeDiscount)</f>
        <v>57955.92</v>
      </c>
      <c r="T1496" s="28" t="n">
        <f aca="false">R1496*(1-VolumeDiscount)</f>
        <v>52687.2</v>
      </c>
    </row>
    <row r="1497" customFormat="false" ht="15" hidden="false" customHeight="false" outlineLevel="0" collapsed="false">
      <c r="A1497" s="29" t="s">
        <v>3284</v>
      </c>
      <c r="B1497" s="29" t="s">
        <v>121</v>
      </c>
      <c r="C1497" s="29" t="s">
        <v>55</v>
      </c>
      <c r="D1497" s="29" t="s">
        <v>3285</v>
      </c>
      <c r="E1497" s="29" t="s">
        <v>3251</v>
      </c>
      <c r="F1497" s="29" t="s">
        <v>3184</v>
      </c>
      <c r="G1497" s="29" t="s">
        <v>36</v>
      </c>
      <c r="H1497" s="29" t="s">
        <v>3148</v>
      </c>
      <c r="I1497" s="29" t="s">
        <v>190</v>
      </c>
      <c r="J1497" s="29" t="s">
        <v>191</v>
      </c>
      <c r="K1497" s="29" t="s">
        <v>298</v>
      </c>
      <c r="L1497" s="29" t="s">
        <v>32</v>
      </c>
      <c r="M1497" s="29" t="n">
        <v>5000</v>
      </c>
      <c r="N1497" s="29" t="n">
        <v>5000</v>
      </c>
      <c r="O1497" s="29"/>
      <c r="P1497" s="30" t="n">
        <f aca="false">(M1497*N1497/1000000)*INDEX(AreaRate_Vals,MATCH(C1497,AreaRate_Keys,0))+IF(H1497="Aluminium Louvre Blade",(M1497*N1497/1000000)*INDEX(Glass_Vals,MATCH("6mm Toughened Louvre Blade",Glass_Keys,0)),0)+INDEX(Hardware_Vals,MATCH("Pergolas",Hardware_Keys,0))</f>
        <v>45420</v>
      </c>
      <c r="Q1497" s="31" t="n">
        <f aca="false">INDEX(Markup_Vals,MATCH("Outdoor Living &amp; Shading",MarkupCat_Keys,0))</f>
        <v>0.45</v>
      </c>
      <c r="R1497" s="32" t="n">
        <f aca="false">P1497*(1+Q1497)</f>
        <v>65859</v>
      </c>
      <c r="S1497" s="32" t="n">
        <f aca="false">R1497*(1-TradeDiscount)</f>
        <v>57955.92</v>
      </c>
      <c r="T1497" s="32" t="n">
        <f aca="false">R1497*(1-VolumeDiscount)</f>
        <v>52687.2</v>
      </c>
    </row>
    <row r="1498" customFormat="false" ht="15" hidden="false" customHeight="false" outlineLevel="0" collapsed="false">
      <c r="A1498" s="25" t="s">
        <v>3286</v>
      </c>
      <c r="B1498" s="25" t="s">
        <v>121</v>
      </c>
      <c r="C1498" s="25" t="s">
        <v>55</v>
      </c>
      <c r="D1498" s="25" t="s">
        <v>3287</v>
      </c>
      <c r="E1498" s="25" t="s">
        <v>3251</v>
      </c>
      <c r="F1498" s="25" t="s">
        <v>3184</v>
      </c>
      <c r="G1498" s="25" t="s">
        <v>37</v>
      </c>
      <c r="H1498" s="25" t="s">
        <v>3148</v>
      </c>
      <c r="I1498" s="25" t="s">
        <v>190</v>
      </c>
      <c r="J1498" s="25" t="s">
        <v>191</v>
      </c>
      <c r="K1498" s="25" t="s">
        <v>298</v>
      </c>
      <c r="L1498" s="25" t="s">
        <v>32</v>
      </c>
      <c r="M1498" s="25" t="n">
        <v>5000</v>
      </c>
      <c r="N1498" s="25" t="n">
        <v>5000</v>
      </c>
      <c r="O1498" s="25"/>
      <c r="P1498" s="26" t="n">
        <f aca="false">(M1498*N1498/1000000)*INDEX(AreaRate_Vals,MATCH(C1498,AreaRate_Keys,0))+IF(H1498="Aluminium Louvre Blade",(M1498*N1498/1000000)*INDEX(Glass_Vals,MATCH("6mm Toughened Louvre Blade",Glass_Keys,0)),0)+INDEX(Hardware_Vals,MATCH("Pergolas",Hardware_Keys,0))</f>
        <v>45420</v>
      </c>
      <c r="Q1498" s="27" t="n">
        <f aca="false">INDEX(Markup_Vals,MATCH("Outdoor Living &amp; Shading",MarkupCat_Keys,0))</f>
        <v>0.45</v>
      </c>
      <c r="R1498" s="28" t="n">
        <f aca="false">P1498*(1+Q1498)</f>
        <v>65859</v>
      </c>
      <c r="S1498" s="28" t="n">
        <f aca="false">R1498*(1-TradeDiscount)</f>
        <v>57955.92</v>
      </c>
      <c r="T1498" s="28" t="n">
        <f aca="false">R1498*(1-VolumeDiscount)</f>
        <v>52687.2</v>
      </c>
    </row>
    <row r="1499" customFormat="false" ht="15" hidden="false" customHeight="false" outlineLevel="0" collapsed="false">
      <c r="A1499" s="29" t="s">
        <v>3288</v>
      </c>
      <c r="B1499" s="29" t="s">
        <v>121</v>
      </c>
      <c r="C1499" s="29" t="s">
        <v>55</v>
      </c>
      <c r="D1499" s="29" t="s">
        <v>3289</v>
      </c>
      <c r="E1499" s="29" t="s">
        <v>3251</v>
      </c>
      <c r="F1499" s="29" t="s">
        <v>3184</v>
      </c>
      <c r="G1499" s="29" t="s">
        <v>39</v>
      </c>
      <c r="H1499" s="29" t="s">
        <v>3148</v>
      </c>
      <c r="I1499" s="29" t="s">
        <v>190</v>
      </c>
      <c r="J1499" s="29" t="s">
        <v>191</v>
      </c>
      <c r="K1499" s="29" t="s">
        <v>298</v>
      </c>
      <c r="L1499" s="29" t="s">
        <v>32</v>
      </c>
      <c r="M1499" s="29" t="n">
        <v>5000</v>
      </c>
      <c r="N1499" s="29" t="n">
        <v>5000</v>
      </c>
      <c r="O1499" s="29"/>
      <c r="P1499" s="30" t="n">
        <f aca="false">(M1499*N1499/1000000)*INDEX(AreaRate_Vals,MATCH(C1499,AreaRate_Keys,0))+IF(H1499="Aluminium Louvre Blade",(M1499*N1499/1000000)*INDEX(Glass_Vals,MATCH("6mm Toughened Louvre Blade",Glass_Keys,0)),0)+INDEX(Hardware_Vals,MATCH("Pergolas",Hardware_Keys,0))</f>
        <v>45420</v>
      </c>
      <c r="Q1499" s="31" t="n">
        <f aca="false">INDEX(Markup_Vals,MATCH("Outdoor Living &amp; Shading",MarkupCat_Keys,0))</f>
        <v>0.45</v>
      </c>
      <c r="R1499" s="32" t="n">
        <f aca="false">P1499*(1+Q1499)</f>
        <v>65859</v>
      </c>
      <c r="S1499" s="32" t="n">
        <f aca="false">R1499*(1-TradeDiscount)</f>
        <v>57955.92</v>
      </c>
      <c r="T1499" s="32" t="n">
        <f aca="false">R1499*(1-VolumeDiscount)</f>
        <v>52687.2</v>
      </c>
    </row>
    <row r="1500" customFormat="false" ht="15" hidden="false" customHeight="false" outlineLevel="0" collapsed="false">
      <c r="A1500" s="25" t="s">
        <v>3290</v>
      </c>
      <c r="B1500" s="25" t="s">
        <v>121</v>
      </c>
      <c r="C1500" s="25" t="s">
        <v>55</v>
      </c>
      <c r="D1500" s="25" t="s">
        <v>3291</v>
      </c>
      <c r="E1500" s="25" t="s">
        <v>3251</v>
      </c>
      <c r="F1500" s="25" t="s">
        <v>3193</v>
      </c>
      <c r="G1500" s="25" t="s">
        <v>35</v>
      </c>
      <c r="H1500" s="25" t="s">
        <v>3148</v>
      </c>
      <c r="I1500" s="25" t="s">
        <v>190</v>
      </c>
      <c r="J1500" s="25" t="s">
        <v>191</v>
      </c>
      <c r="K1500" s="25" t="s">
        <v>298</v>
      </c>
      <c r="L1500" s="25" t="s">
        <v>32</v>
      </c>
      <c r="M1500" s="25" t="n">
        <v>6000</v>
      </c>
      <c r="N1500" s="25" t="n">
        <v>4000</v>
      </c>
      <c r="O1500" s="25"/>
      <c r="P1500" s="26" t="n">
        <f aca="false">(M1500*N1500/1000000)*INDEX(AreaRate_Vals,MATCH(C1500,AreaRate_Keys,0))+IF(H1500="Aluminium Louvre Blade",(M1500*N1500/1000000)*INDEX(Glass_Vals,MATCH("6mm Toughened Louvre Blade",Glass_Keys,0)),0)+INDEX(Hardware_Vals,MATCH("Pergolas",Hardware_Keys,0))</f>
        <v>43620</v>
      </c>
      <c r="Q1500" s="27" t="n">
        <f aca="false">INDEX(Markup_Vals,MATCH("Outdoor Living &amp; Shading",MarkupCat_Keys,0))</f>
        <v>0.45</v>
      </c>
      <c r="R1500" s="28" t="n">
        <f aca="false">P1500*(1+Q1500)</f>
        <v>63249</v>
      </c>
      <c r="S1500" s="28" t="n">
        <f aca="false">R1500*(1-TradeDiscount)</f>
        <v>55659.12</v>
      </c>
      <c r="T1500" s="28" t="n">
        <f aca="false">R1500*(1-VolumeDiscount)</f>
        <v>50599.2</v>
      </c>
    </row>
    <row r="1501" customFormat="false" ht="15" hidden="false" customHeight="false" outlineLevel="0" collapsed="false">
      <c r="A1501" s="29" t="s">
        <v>3292</v>
      </c>
      <c r="B1501" s="29" t="s">
        <v>121</v>
      </c>
      <c r="C1501" s="29" t="s">
        <v>55</v>
      </c>
      <c r="D1501" s="29" t="s">
        <v>3293</v>
      </c>
      <c r="E1501" s="29" t="s">
        <v>3251</v>
      </c>
      <c r="F1501" s="29" t="s">
        <v>3193</v>
      </c>
      <c r="G1501" s="29" t="s">
        <v>36</v>
      </c>
      <c r="H1501" s="29" t="s">
        <v>3148</v>
      </c>
      <c r="I1501" s="29" t="s">
        <v>190</v>
      </c>
      <c r="J1501" s="29" t="s">
        <v>191</v>
      </c>
      <c r="K1501" s="29" t="s">
        <v>298</v>
      </c>
      <c r="L1501" s="29" t="s">
        <v>32</v>
      </c>
      <c r="M1501" s="29" t="n">
        <v>6000</v>
      </c>
      <c r="N1501" s="29" t="n">
        <v>4000</v>
      </c>
      <c r="O1501" s="29"/>
      <c r="P1501" s="30" t="n">
        <f aca="false">(M1501*N1501/1000000)*INDEX(AreaRate_Vals,MATCH(C1501,AreaRate_Keys,0))+IF(H1501="Aluminium Louvre Blade",(M1501*N1501/1000000)*INDEX(Glass_Vals,MATCH("6mm Toughened Louvre Blade",Glass_Keys,0)),0)+INDEX(Hardware_Vals,MATCH("Pergolas",Hardware_Keys,0))</f>
        <v>43620</v>
      </c>
      <c r="Q1501" s="31" t="n">
        <f aca="false">INDEX(Markup_Vals,MATCH("Outdoor Living &amp; Shading",MarkupCat_Keys,0))</f>
        <v>0.45</v>
      </c>
      <c r="R1501" s="32" t="n">
        <f aca="false">P1501*(1+Q1501)</f>
        <v>63249</v>
      </c>
      <c r="S1501" s="32" t="n">
        <f aca="false">R1501*(1-TradeDiscount)</f>
        <v>55659.12</v>
      </c>
      <c r="T1501" s="32" t="n">
        <f aca="false">R1501*(1-VolumeDiscount)</f>
        <v>50599.2</v>
      </c>
    </row>
    <row r="1502" customFormat="false" ht="15" hidden="false" customHeight="false" outlineLevel="0" collapsed="false">
      <c r="A1502" s="25" t="s">
        <v>3294</v>
      </c>
      <c r="B1502" s="25" t="s">
        <v>121</v>
      </c>
      <c r="C1502" s="25" t="s">
        <v>55</v>
      </c>
      <c r="D1502" s="25" t="s">
        <v>3295</v>
      </c>
      <c r="E1502" s="25" t="s">
        <v>3251</v>
      </c>
      <c r="F1502" s="25" t="s">
        <v>3193</v>
      </c>
      <c r="G1502" s="25" t="s">
        <v>37</v>
      </c>
      <c r="H1502" s="25" t="s">
        <v>3148</v>
      </c>
      <c r="I1502" s="25" t="s">
        <v>190</v>
      </c>
      <c r="J1502" s="25" t="s">
        <v>191</v>
      </c>
      <c r="K1502" s="25" t="s">
        <v>298</v>
      </c>
      <c r="L1502" s="25" t="s">
        <v>32</v>
      </c>
      <c r="M1502" s="25" t="n">
        <v>6000</v>
      </c>
      <c r="N1502" s="25" t="n">
        <v>4000</v>
      </c>
      <c r="O1502" s="25"/>
      <c r="P1502" s="26" t="n">
        <f aca="false">(M1502*N1502/1000000)*INDEX(AreaRate_Vals,MATCH(C1502,AreaRate_Keys,0))+IF(H1502="Aluminium Louvre Blade",(M1502*N1502/1000000)*INDEX(Glass_Vals,MATCH("6mm Toughened Louvre Blade",Glass_Keys,0)),0)+INDEX(Hardware_Vals,MATCH("Pergolas",Hardware_Keys,0))</f>
        <v>43620</v>
      </c>
      <c r="Q1502" s="27" t="n">
        <f aca="false">INDEX(Markup_Vals,MATCH("Outdoor Living &amp; Shading",MarkupCat_Keys,0))</f>
        <v>0.45</v>
      </c>
      <c r="R1502" s="28" t="n">
        <f aca="false">P1502*(1+Q1502)</f>
        <v>63249</v>
      </c>
      <c r="S1502" s="28" t="n">
        <f aca="false">R1502*(1-TradeDiscount)</f>
        <v>55659.12</v>
      </c>
      <c r="T1502" s="28" t="n">
        <f aca="false">R1502*(1-VolumeDiscount)</f>
        <v>50599.2</v>
      </c>
    </row>
    <row r="1503" customFormat="false" ht="15" hidden="false" customHeight="false" outlineLevel="0" collapsed="false">
      <c r="A1503" s="29" t="s">
        <v>3296</v>
      </c>
      <c r="B1503" s="29" t="s">
        <v>121</v>
      </c>
      <c r="C1503" s="29" t="s">
        <v>55</v>
      </c>
      <c r="D1503" s="29" t="s">
        <v>3297</v>
      </c>
      <c r="E1503" s="29" t="s">
        <v>3251</v>
      </c>
      <c r="F1503" s="29" t="s">
        <v>3193</v>
      </c>
      <c r="G1503" s="29" t="s">
        <v>39</v>
      </c>
      <c r="H1503" s="29" t="s">
        <v>3148</v>
      </c>
      <c r="I1503" s="29" t="s">
        <v>190</v>
      </c>
      <c r="J1503" s="29" t="s">
        <v>191</v>
      </c>
      <c r="K1503" s="29" t="s">
        <v>298</v>
      </c>
      <c r="L1503" s="29" t="s">
        <v>32</v>
      </c>
      <c r="M1503" s="29" t="n">
        <v>6000</v>
      </c>
      <c r="N1503" s="29" t="n">
        <v>4000</v>
      </c>
      <c r="O1503" s="29"/>
      <c r="P1503" s="30" t="n">
        <f aca="false">(M1503*N1503/1000000)*INDEX(AreaRate_Vals,MATCH(C1503,AreaRate_Keys,0))+IF(H1503="Aluminium Louvre Blade",(M1503*N1503/1000000)*INDEX(Glass_Vals,MATCH("6mm Toughened Louvre Blade",Glass_Keys,0)),0)+INDEX(Hardware_Vals,MATCH("Pergolas",Hardware_Keys,0))</f>
        <v>43620</v>
      </c>
      <c r="Q1503" s="31" t="n">
        <f aca="false">INDEX(Markup_Vals,MATCH("Outdoor Living &amp; Shading",MarkupCat_Keys,0))</f>
        <v>0.45</v>
      </c>
      <c r="R1503" s="32" t="n">
        <f aca="false">P1503*(1+Q1503)</f>
        <v>63249</v>
      </c>
      <c r="S1503" s="32" t="n">
        <f aca="false">R1503*(1-TradeDiscount)</f>
        <v>55659.12</v>
      </c>
      <c r="T1503" s="32" t="n">
        <f aca="false">R1503*(1-VolumeDiscount)</f>
        <v>50599.2</v>
      </c>
    </row>
    <row r="1504" customFormat="false" ht="15" hidden="false" customHeight="false" outlineLevel="0" collapsed="false">
      <c r="A1504" s="25" t="s">
        <v>3298</v>
      </c>
      <c r="B1504" s="25" t="s">
        <v>121</v>
      </c>
      <c r="C1504" s="25" t="s">
        <v>55</v>
      </c>
      <c r="D1504" s="25" t="s">
        <v>3299</v>
      </c>
      <c r="E1504" s="25" t="s">
        <v>3300</v>
      </c>
      <c r="F1504" s="25" t="s">
        <v>3147</v>
      </c>
      <c r="G1504" s="25" t="s">
        <v>35</v>
      </c>
      <c r="H1504" s="25" t="s">
        <v>3148</v>
      </c>
      <c r="I1504" s="25" t="s">
        <v>190</v>
      </c>
      <c r="J1504" s="25" t="s">
        <v>191</v>
      </c>
      <c r="K1504" s="25" t="s">
        <v>298</v>
      </c>
      <c r="L1504" s="25" t="s">
        <v>32</v>
      </c>
      <c r="M1504" s="25" t="n">
        <v>3000</v>
      </c>
      <c r="N1504" s="25" t="n">
        <v>3000</v>
      </c>
      <c r="O1504" s="25"/>
      <c r="P1504" s="26" t="n">
        <f aca="false">(M1504*N1504/1000000)*INDEX(AreaRate_Vals,MATCH(C1504,AreaRate_Keys,0))+IF(H1504="Aluminium Louvre Blade",(M1504*N1504/1000000)*INDEX(Glass_Vals,MATCH("6mm Toughened Louvre Blade",Glass_Keys,0)),0)+INDEX(Hardware_Vals,MATCH("Pergolas",Hardware_Keys,0))</f>
        <v>16620</v>
      </c>
      <c r="Q1504" s="27" t="n">
        <f aca="false">INDEX(Markup_Vals,MATCH("Outdoor Living &amp; Shading",MarkupCat_Keys,0))</f>
        <v>0.45</v>
      </c>
      <c r="R1504" s="28" t="n">
        <f aca="false">P1504*(1+Q1504)</f>
        <v>24099</v>
      </c>
      <c r="S1504" s="28" t="n">
        <f aca="false">R1504*(1-TradeDiscount)</f>
        <v>21207.12</v>
      </c>
      <c r="T1504" s="28" t="n">
        <f aca="false">R1504*(1-VolumeDiscount)</f>
        <v>19279.2</v>
      </c>
    </row>
    <row r="1505" customFormat="false" ht="15" hidden="false" customHeight="false" outlineLevel="0" collapsed="false">
      <c r="A1505" s="29" t="s">
        <v>3301</v>
      </c>
      <c r="B1505" s="29" t="s">
        <v>121</v>
      </c>
      <c r="C1505" s="29" t="s">
        <v>55</v>
      </c>
      <c r="D1505" s="29" t="s">
        <v>3302</v>
      </c>
      <c r="E1505" s="29" t="s">
        <v>3300</v>
      </c>
      <c r="F1505" s="29" t="s">
        <v>3147</v>
      </c>
      <c r="G1505" s="29" t="s">
        <v>36</v>
      </c>
      <c r="H1505" s="29" t="s">
        <v>3148</v>
      </c>
      <c r="I1505" s="29" t="s">
        <v>190</v>
      </c>
      <c r="J1505" s="29" t="s">
        <v>191</v>
      </c>
      <c r="K1505" s="29" t="s">
        <v>298</v>
      </c>
      <c r="L1505" s="29" t="s">
        <v>32</v>
      </c>
      <c r="M1505" s="29" t="n">
        <v>3000</v>
      </c>
      <c r="N1505" s="29" t="n">
        <v>3000</v>
      </c>
      <c r="O1505" s="29"/>
      <c r="P1505" s="30" t="n">
        <f aca="false">(M1505*N1505/1000000)*INDEX(AreaRate_Vals,MATCH(C1505,AreaRate_Keys,0))+IF(H1505="Aluminium Louvre Blade",(M1505*N1505/1000000)*INDEX(Glass_Vals,MATCH("6mm Toughened Louvre Blade",Glass_Keys,0)),0)+INDEX(Hardware_Vals,MATCH("Pergolas",Hardware_Keys,0))</f>
        <v>16620</v>
      </c>
      <c r="Q1505" s="31" t="n">
        <f aca="false">INDEX(Markup_Vals,MATCH("Outdoor Living &amp; Shading",MarkupCat_Keys,0))</f>
        <v>0.45</v>
      </c>
      <c r="R1505" s="32" t="n">
        <f aca="false">P1505*(1+Q1505)</f>
        <v>24099</v>
      </c>
      <c r="S1505" s="32" t="n">
        <f aca="false">R1505*(1-TradeDiscount)</f>
        <v>21207.12</v>
      </c>
      <c r="T1505" s="32" t="n">
        <f aca="false">R1505*(1-VolumeDiscount)</f>
        <v>19279.2</v>
      </c>
    </row>
    <row r="1506" customFormat="false" ht="15" hidden="false" customHeight="false" outlineLevel="0" collapsed="false">
      <c r="A1506" s="25" t="s">
        <v>3303</v>
      </c>
      <c r="B1506" s="25" t="s">
        <v>121</v>
      </c>
      <c r="C1506" s="25" t="s">
        <v>55</v>
      </c>
      <c r="D1506" s="25" t="s">
        <v>3304</v>
      </c>
      <c r="E1506" s="25" t="s">
        <v>3300</v>
      </c>
      <c r="F1506" s="25" t="s">
        <v>3147</v>
      </c>
      <c r="G1506" s="25" t="s">
        <v>37</v>
      </c>
      <c r="H1506" s="25" t="s">
        <v>3148</v>
      </c>
      <c r="I1506" s="25" t="s">
        <v>190</v>
      </c>
      <c r="J1506" s="25" t="s">
        <v>191</v>
      </c>
      <c r="K1506" s="25" t="s">
        <v>298</v>
      </c>
      <c r="L1506" s="25" t="s">
        <v>32</v>
      </c>
      <c r="M1506" s="25" t="n">
        <v>3000</v>
      </c>
      <c r="N1506" s="25" t="n">
        <v>3000</v>
      </c>
      <c r="O1506" s="25"/>
      <c r="P1506" s="26" t="n">
        <f aca="false">(M1506*N1506/1000000)*INDEX(AreaRate_Vals,MATCH(C1506,AreaRate_Keys,0))+IF(H1506="Aluminium Louvre Blade",(M1506*N1506/1000000)*INDEX(Glass_Vals,MATCH("6mm Toughened Louvre Blade",Glass_Keys,0)),0)+INDEX(Hardware_Vals,MATCH("Pergolas",Hardware_Keys,0))</f>
        <v>16620</v>
      </c>
      <c r="Q1506" s="27" t="n">
        <f aca="false">INDEX(Markup_Vals,MATCH("Outdoor Living &amp; Shading",MarkupCat_Keys,0))</f>
        <v>0.45</v>
      </c>
      <c r="R1506" s="28" t="n">
        <f aca="false">P1506*(1+Q1506)</f>
        <v>24099</v>
      </c>
      <c r="S1506" s="28" t="n">
        <f aca="false">R1506*(1-TradeDiscount)</f>
        <v>21207.12</v>
      </c>
      <c r="T1506" s="28" t="n">
        <f aca="false">R1506*(1-VolumeDiscount)</f>
        <v>19279.2</v>
      </c>
    </row>
    <row r="1507" customFormat="false" ht="15" hidden="false" customHeight="false" outlineLevel="0" collapsed="false">
      <c r="A1507" s="29" t="s">
        <v>3305</v>
      </c>
      <c r="B1507" s="29" t="s">
        <v>121</v>
      </c>
      <c r="C1507" s="29" t="s">
        <v>55</v>
      </c>
      <c r="D1507" s="29" t="s">
        <v>3306</v>
      </c>
      <c r="E1507" s="29" t="s">
        <v>3300</v>
      </c>
      <c r="F1507" s="29" t="s">
        <v>3147</v>
      </c>
      <c r="G1507" s="29" t="s">
        <v>39</v>
      </c>
      <c r="H1507" s="29" t="s">
        <v>3148</v>
      </c>
      <c r="I1507" s="29" t="s">
        <v>190</v>
      </c>
      <c r="J1507" s="29" t="s">
        <v>191</v>
      </c>
      <c r="K1507" s="29" t="s">
        <v>298</v>
      </c>
      <c r="L1507" s="29" t="s">
        <v>32</v>
      </c>
      <c r="M1507" s="29" t="n">
        <v>3000</v>
      </c>
      <c r="N1507" s="29" t="n">
        <v>3000</v>
      </c>
      <c r="O1507" s="29"/>
      <c r="P1507" s="30" t="n">
        <f aca="false">(M1507*N1507/1000000)*INDEX(AreaRate_Vals,MATCH(C1507,AreaRate_Keys,0))+IF(H1507="Aluminium Louvre Blade",(M1507*N1507/1000000)*INDEX(Glass_Vals,MATCH("6mm Toughened Louvre Blade",Glass_Keys,0)),0)+INDEX(Hardware_Vals,MATCH("Pergolas",Hardware_Keys,0))</f>
        <v>16620</v>
      </c>
      <c r="Q1507" s="31" t="n">
        <f aca="false">INDEX(Markup_Vals,MATCH("Outdoor Living &amp; Shading",MarkupCat_Keys,0))</f>
        <v>0.45</v>
      </c>
      <c r="R1507" s="32" t="n">
        <f aca="false">P1507*(1+Q1507)</f>
        <v>24099</v>
      </c>
      <c r="S1507" s="32" t="n">
        <f aca="false">R1507*(1-TradeDiscount)</f>
        <v>21207.12</v>
      </c>
      <c r="T1507" s="32" t="n">
        <f aca="false">R1507*(1-VolumeDiscount)</f>
        <v>19279.2</v>
      </c>
    </row>
    <row r="1508" customFormat="false" ht="15" hidden="false" customHeight="false" outlineLevel="0" collapsed="false">
      <c r="A1508" s="25" t="s">
        <v>3307</v>
      </c>
      <c r="B1508" s="25" t="s">
        <v>121</v>
      </c>
      <c r="C1508" s="25" t="s">
        <v>55</v>
      </c>
      <c r="D1508" s="25" t="s">
        <v>3308</v>
      </c>
      <c r="E1508" s="25" t="s">
        <v>3300</v>
      </c>
      <c r="F1508" s="25" t="s">
        <v>3157</v>
      </c>
      <c r="G1508" s="25" t="s">
        <v>35</v>
      </c>
      <c r="H1508" s="25" t="s">
        <v>3148</v>
      </c>
      <c r="I1508" s="25" t="s">
        <v>190</v>
      </c>
      <c r="J1508" s="25" t="s">
        <v>191</v>
      </c>
      <c r="K1508" s="25" t="s">
        <v>298</v>
      </c>
      <c r="L1508" s="25" t="s">
        <v>32</v>
      </c>
      <c r="M1508" s="25" t="n">
        <v>3000</v>
      </c>
      <c r="N1508" s="25" t="n">
        <v>4000</v>
      </c>
      <c r="O1508" s="25"/>
      <c r="P1508" s="26" t="n">
        <f aca="false">(M1508*N1508/1000000)*INDEX(AreaRate_Vals,MATCH(C1508,AreaRate_Keys,0))+IF(H1508="Aluminium Louvre Blade",(M1508*N1508/1000000)*INDEX(Glass_Vals,MATCH("6mm Toughened Louvre Blade",Glass_Keys,0)),0)+INDEX(Hardware_Vals,MATCH("Pergolas",Hardware_Keys,0))</f>
        <v>22020</v>
      </c>
      <c r="Q1508" s="27" t="n">
        <f aca="false">INDEX(Markup_Vals,MATCH("Outdoor Living &amp; Shading",MarkupCat_Keys,0))</f>
        <v>0.45</v>
      </c>
      <c r="R1508" s="28" t="n">
        <f aca="false">P1508*(1+Q1508)</f>
        <v>31929</v>
      </c>
      <c r="S1508" s="28" t="n">
        <f aca="false">R1508*(1-TradeDiscount)</f>
        <v>28097.52</v>
      </c>
      <c r="T1508" s="28" t="n">
        <f aca="false">R1508*(1-VolumeDiscount)</f>
        <v>25543.2</v>
      </c>
    </row>
    <row r="1509" customFormat="false" ht="15" hidden="false" customHeight="false" outlineLevel="0" collapsed="false">
      <c r="A1509" s="29" t="s">
        <v>3309</v>
      </c>
      <c r="B1509" s="29" t="s">
        <v>121</v>
      </c>
      <c r="C1509" s="29" t="s">
        <v>55</v>
      </c>
      <c r="D1509" s="29" t="s">
        <v>3310</v>
      </c>
      <c r="E1509" s="29" t="s">
        <v>3300</v>
      </c>
      <c r="F1509" s="29" t="s">
        <v>3157</v>
      </c>
      <c r="G1509" s="29" t="s">
        <v>36</v>
      </c>
      <c r="H1509" s="29" t="s">
        <v>3148</v>
      </c>
      <c r="I1509" s="29" t="s">
        <v>190</v>
      </c>
      <c r="J1509" s="29" t="s">
        <v>191</v>
      </c>
      <c r="K1509" s="29" t="s">
        <v>298</v>
      </c>
      <c r="L1509" s="29" t="s">
        <v>32</v>
      </c>
      <c r="M1509" s="29" t="n">
        <v>3000</v>
      </c>
      <c r="N1509" s="29" t="n">
        <v>4000</v>
      </c>
      <c r="O1509" s="29"/>
      <c r="P1509" s="30" t="n">
        <f aca="false">(M1509*N1509/1000000)*INDEX(AreaRate_Vals,MATCH(C1509,AreaRate_Keys,0))+IF(H1509="Aluminium Louvre Blade",(M1509*N1509/1000000)*INDEX(Glass_Vals,MATCH("6mm Toughened Louvre Blade",Glass_Keys,0)),0)+INDEX(Hardware_Vals,MATCH("Pergolas",Hardware_Keys,0))</f>
        <v>22020</v>
      </c>
      <c r="Q1509" s="31" t="n">
        <f aca="false">INDEX(Markup_Vals,MATCH("Outdoor Living &amp; Shading",MarkupCat_Keys,0))</f>
        <v>0.45</v>
      </c>
      <c r="R1509" s="32" t="n">
        <f aca="false">P1509*(1+Q1509)</f>
        <v>31929</v>
      </c>
      <c r="S1509" s="32" t="n">
        <f aca="false">R1509*(1-TradeDiscount)</f>
        <v>28097.52</v>
      </c>
      <c r="T1509" s="32" t="n">
        <f aca="false">R1509*(1-VolumeDiscount)</f>
        <v>25543.2</v>
      </c>
    </row>
    <row r="1510" customFormat="false" ht="15" hidden="false" customHeight="false" outlineLevel="0" collapsed="false">
      <c r="A1510" s="25" t="s">
        <v>3311</v>
      </c>
      <c r="B1510" s="25" t="s">
        <v>121</v>
      </c>
      <c r="C1510" s="25" t="s">
        <v>55</v>
      </c>
      <c r="D1510" s="25" t="s">
        <v>3312</v>
      </c>
      <c r="E1510" s="25" t="s">
        <v>3300</v>
      </c>
      <c r="F1510" s="25" t="s">
        <v>3157</v>
      </c>
      <c r="G1510" s="25" t="s">
        <v>37</v>
      </c>
      <c r="H1510" s="25" t="s">
        <v>3148</v>
      </c>
      <c r="I1510" s="25" t="s">
        <v>190</v>
      </c>
      <c r="J1510" s="25" t="s">
        <v>191</v>
      </c>
      <c r="K1510" s="25" t="s">
        <v>298</v>
      </c>
      <c r="L1510" s="25" t="s">
        <v>32</v>
      </c>
      <c r="M1510" s="25" t="n">
        <v>3000</v>
      </c>
      <c r="N1510" s="25" t="n">
        <v>4000</v>
      </c>
      <c r="O1510" s="25"/>
      <c r="P1510" s="26" t="n">
        <f aca="false">(M1510*N1510/1000000)*INDEX(AreaRate_Vals,MATCH(C1510,AreaRate_Keys,0))+IF(H1510="Aluminium Louvre Blade",(M1510*N1510/1000000)*INDEX(Glass_Vals,MATCH("6mm Toughened Louvre Blade",Glass_Keys,0)),0)+INDEX(Hardware_Vals,MATCH("Pergolas",Hardware_Keys,0))</f>
        <v>22020</v>
      </c>
      <c r="Q1510" s="27" t="n">
        <f aca="false">INDEX(Markup_Vals,MATCH("Outdoor Living &amp; Shading",MarkupCat_Keys,0))</f>
        <v>0.45</v>
      </c>
      <c r="R1510" s="28" t="n">
        <f aca="false">P1510*(1+Q1510)</f>
        <v>31929</v>
      </c>
      <c r="S1510" s="28" t="n">
        <f aca="false">R1510*(1-TradeDiscount)</f>
        <v>28097.52</v>
      </c>
      <c r="T1510" s="28" t="n">
        <f aca="false">R1510*(1-VolumeDiscount)</f>
        <v>25543.2</v>
      </c>
    </row>
    <row r="1511" customFormat="false" ht="15" hidden="false" customHeight="false" outlineLevel="0" collapsed="false">
      <c r="A1511" s="29" t="s">
        <v>3313</v>
      </c>
      <c r="B1511" s="29" t="s">
        <v>121</v>
      </c>
      <c r="C1511" s="29" t="s">
        <v>55</v>
      </c>
      <c r="D1511" s="29" t="s">
        <v>3314</v>
      </c>
      <c r="E1511" s="29" t="s">
        <v>3300</v>
      </c>
      <c r="F1511" s="29" t="s">
        <v>3157</v>
      </c>
      <c r="G1511" s="29" t="s">
        <v>39</v>
      </c>
      <c r="H1511" s="29" t="s">
        <v>3148</v>
      </c>
      <c r="I1511" s="29" t="s">
        <v>190</v>
      </c>
      <c r="J1511" s="29" t="s">
        <v>191</v>
      </c>
      <c r="K1511" s="29" t="s">
        <v>298</v>
      </c>
      <c r="L1511" s="29" t="s">
        <v>32</v>
      </c>
      <c r="M1511" s="29" t="n">
        <v>3000</v>
      </c>
      <c r="N1511" s="29" t="n">
        <v>4000</v>
      </c>
      <c r="O1511" s="29"/>
      <c r="P1511" s="30" t="n">
        <f aca="false">(M1511*N1511/1000000)*INDEX(AreaRate_Vals,MATCH(C1511,AreaRate_Keys,0))+IF(H1511="Aluminium Louvre Blade",(M1511*N1511/1000000)*INDEX(Glass_Vals,MATCH("6mm Toughened Louvre Blade",Glass_Keys,0)),0)+INDEX(Hardware_Vals,MATCH("Pergolas",Hardware_Keys,0))</f>
        <v>22020</v>
      </c>
      <c r="Q1511" s="31" t="n">
        <f aca="false">INDEX(Markup_Vals,MATCH("Outdoor Living &amp; Shading",MarkupCat_Keys,0))</f>
        <v>0.45</v>
      </c>
      <c r="R1511" s="32" t="n">
        <f aca="false">P1511*(1+Q1511)</f>
        <v>31929</v>
      </c>
      <c r="S1511" s="32" t="n">
        <f aca="false">R1511*(1-TradeDiscount)</f>
        <v>28097.52</v>
      </c>
      <c r="T1511" s="32" t="n">
        <f aca="false">R1511*(1-VolumeDiscount)</f>
        <v>25543.2</v>
      </c>
    </row>
    <row r="1512" customFormat="false" ht="15" hidden="false" customHeight="false" outlineLevel="0" collapsed="false">
      <c r="A1512" s="25" t="s">
        <v>3315</v>
      </c>
      <c r="B1512" s="25" t="s">
        <v>121</v>
      </c>
      <c r="C1512" s="25" t="s">
        <v>55</v>
      </c>
      <c r="D1512" s="25" t="s">
        <v>3316</v>
      </c>
      <c r="E1512" s="25" t="s">
        <v>3300</v>
      </c>
      <c r="F1512" s="25" t="s">
        <v>3166</v>
      </c>
      <c r="G1512" s="25" t="s">
        <v>35</v>
      </c>
      <c r="H1512" s="25" t="s">
        <v>3148</v>
      </c>
      <c r="I1512" s="25" t="s">
        <v>190</v>
      </c>
      <c r="J1512" s="25" t="s">
        <v>191</v>
      </c>
      <c r="K1512" s="25" t="s">
        <v>298</v>
      </c>
      <c r="L1512" s="25" t="s">
        <v>32</v>
      </c>
      <c r="M1512" s="25" t="n">
        <v>4000</v>
      </c>
      <c r="N1512" s="25" t="n">
        <v>4000</v>
      </c>
      <c r="O1512" s="25"/>
      <c r="P1512" s="26" t="n">
        <f aca="false">(M1512*N1512/1000000)*INDEX(AreaRate_Vals,MATCH(C1512,AreaRate_Keys,0))+IF(H1512="Aluminium Louvre Blade",(M1512*N1512/1000000)*INDEX(Glass_Vals,MATCH("6mm Toughened Louvre Blade",Glass_Keys,0)),0)+INDEX(Hardware_Vals,MATCH("Pergolas",Hardware_Keys,0))</f>
        <v>29220</v>
      </c>
      <c r="Q1512" s="27" t="n">
        <f aca="false">INDEX(Markup_Vals,MATCH("Outdoor Living &amp; Shading",MarkupCat_Keys,0))</f>
        <v>0.45</v>
      </c>
      <c r="R1512" s="28" t="n">
        <f aca="false">P1512*(1+Q1512)</f>
        <v>42369</v>
      </c>
      <c r="S1512" s="28" t="n">
        <f aca="false">R1512*(1-TradeDiscount)</f>
        <v>37284.72</v>
      </c>
      <c r="T1512" s="28" t="n">
        <f aca="false">R1512*(1-VolumeDiscount)</f>
        <v>33895.2</v>
      </c>
    </row>
    <row r="1513" customFormat="false" ht="15" hidden="false" customHeight="false" outlineLevel="0" collapsed="false">
      <c r="A1513" s="29" t="s">
        <v>3317</v>
      </c>
      <c r="B1513" s="29" t="s">
        <v>121</v>
      </c>
      <c r="C1513" s="29" t="s">
        <v>55</v>
      </c>
      <c r="D1513" s="29" t="s">
        <v>3318</v>
      </c>
      <c r="E1513" s="29" t="s">
        <v>3300</v>
      </c>
      <c r="F1513" s="29" t="s">
        <v>3166</v>
      </c>
      <c r="G1513" s="29" t="s">
        <v>36</v>
      </c>
      <c r="H1513" s="29" t="s">
        <v>3148</v>
      </c>
      <c r="I1513" s="29" t="s">
        <v>190</v>
      </c>
      <c r="J1513" s="29" t="s">
        <v>191</v>
      </c>
      <c r="K1513" s="29" t="s">
        <v>298</v>
      </c>
      <c r="L1513" s="29" t="s">
        <v>32</v>
      </c>
      <c r="M1513" s="29" t="n">
        <v>4000</v>
      </c>
      <c r="N1513" s="29" t="n">
        <v>4000</v>
      </c>
      <c r="O1513" s="29"/>
      <c r="P1513" s="30" t="n">
        <f aca="false">(M1513*N1513/1000000)*INDEX(AreaRate_Vals,MATCH(C1513,AreaRate_Keys,0))+IF(H1513="Aluminium Louvre Blade",(M1513*N1513/1000000)*INDEX(Glass_Vals,MATCH("6mm Toughened Louvre Blade",Glass_Keys,0)),0)+INDEX(Hardware_Vals,MATCH("Pergolas",Hardware_Keys,0))</f>
        <v>29220</v>
      </c>
      <c r="Q1513" s="31" t="n">
        <f aca="false">INDEX(Markup_Vals,MATCH("Outdoor Living &amp; Shading",MarkupCat_Keys,0))</f>
        <v>0.45</v>
      </c>
      <c r="R1513" s="32" t="n">
        <f aca="false">P1513*(1+Q1513)</f>
        <v>42369</v>
      </c>
      <c r="S1513" s="32" t="n">
        <f aca="false">R1513*(1-TradeDiscount)</f>
        <v>37284.72</v>
      </c>
      <c r="T1513" s="32" t="n">
        <f aca="false">R1513*(1-VolumeDiscount)</f>
        <v>33895.2</v>
      </c>
    </row>
    <row r="1514" customFormat="false" ht="15" hidden="false" customHeight="false" outlineLevel="0" collapsed="false">
      <c r="A1514" s="25" t="s">
        <v>3319</v>
      </c>
      <c r="B1514" s="25" t="s">
        <v>121</v>
      </c>
      <c r="C1514" s="25" t="s">
        <v>55</v>
      </c>
      <c r="D1514" s="25" t="s">
        <v>3320</v>
      </c>
      <c r="E1514" s="25" t="s">
        <v>3300</v>
      </c>
      <c r="F1514" s="25" t="s">
        <v>3166</v>
      </c>
      <c r="G1514" s="25" t="s">
        <v>37</v>
      </c>
      <c r="H1514" s="25" t="s">
        <v>3148</v>
      </c>
      <c r="I1514" s="25" t="s">
        <v>190</v>
      </c>
      <c r="J1514" s="25" t="s">
        <v>191</v>
      </c>
      <c r="K1514" s="25" t="s">
        <v>298</v>
      </c>
      <c r="L1514" s="25" t="s">
        <v>32</v>
      </c>
      <c r="M1514" s="25" t="n">
        <v>4000</v>
      </c>
      <c r="N1514" s="25" t="n">
        <v>4000</v>
      </c>
      <c r="O1514" s="25"/>
      <c r="P1514" s="26" t="n">
        <f aca="false">(M1514*N1514/1000000)*INDEX(AreaRate_Vals,MATCH(C1514,AreaRate_Keys,0))+IF(H1514="Aluminium Louvre Blade",(M1514*N1514/1000000)*INDEX(Glass_Vals,MATCH("6mm Toughened Louvre Blade",Glass_Keys,0)),0)+INDEX(Hardware_Vals,MATCH("Pergolas",Hardware_Keys,0))</f>
        <v>29220</v>
      </c>
      <c r="Q1514" s="27" t="n">
        <f aca="false">INDEX(Markup_Vals,MATCH("Outdoor Living &amp; Shading",MarkupCat_Keys,0))</f>
        <v>0.45</v>
      </c>
      <c r="R1514" s="28" t="n">
        <f aca="false">P1514*(1+Q1514)</f>
        <v>42369</v>
      </c>
      <c r="S1514" s="28" t="n">
        <f aca="false">R1514*(1-TradeDiscount)</f>
        <v>37284.72</v>
      </c>
      <c r="T1514" s="28" t="n">
        <f aca="false">R1514*(1-VolumeDiscount)</f>
        <v>33895.2</v>
      </c>
    </row>
    <row r="1515" customFormat="false" ht="15" hidden="false" customHeight="false" outlineLevel="0" collapsed="false">
      <c r="A1515" s="29" t="s">
        <v>3321</v>
      </c>
      <c r="B1515" s="29" t="s">
        <v>121</v>
      </c>
      <c r="C1515" s="29" t="s">
        <v>55</v>
      </c>
      <c r="D1515" s="29" t="s">
        <v>3322</v>
      </c>
      <c r="E1515" s="29" t="s">
        <v>3300</v>
      </c>
      <c r="F1515" s="29" t="s">
        <v>3166</v>
      </c>
      <c r="G1515" s="29" t="s">
        <v>39</v>
      </c>
      <c r="H1515" s="29" t="s">
        <v>3148</v>
      </c>
      <c r="I1515" s="29" t="s">
        <v>190</v>
      </c>
      <c r="J1515" s="29" t="s">
        <v>191</v>
      </c>
      <c r="K1515" s="29" t="s">
        <v>298</v>
      </c>
      <c r="L1515" s="29" t="s">
        <v>32</v>
      </c>
      <c r="M1515" s="29" t="n">
        <v>4000</v>
      </c>
      <c r="N1515" s="29" t="n">
        <v>4000</v>
      </c>
      <c r="O1515" s="29"/>
      <c r="P1515" s="30" t="n">
        <f aca="false">(M1515*N1515/1000000)*INDEX(AreaRate_Vals,MATCH(C1515,AreaRate_Keys,0))+IF(H1515="Aluminium Louvre Blade",(M1515*N1515/1000000)*INDEX(Glass_Vals,MATCH("6mm Toughened Louvre Blade",Glass_Keys,0)),0)+INDEX(Hardware_Vals,MATCH("Pergolas",Hardware_Keys,0))</f>
        <v>29220</v>
      </c>
      <c r="Q1515" s="31" t="n">
        <f aca="false">INDEX(Markup_Vals,MATCH("Outdoor Living &amp; Shading",MarkupCat_Keys,0))</f>
        <v>0.45</v>
      </c>
      <c r="R1515" s="32" t="n">
        <f aca="false">P1515*(1+Q1515)</f>
        <v>42369</v>
      </c>
      <c r="S1515" s="32" t="n">
        <f aca="false">R1515*(1-TradeDiscount)</f>
        <v>37284.72</v>
      </c>
      <c r="T1515" s="32" t="n">
        <f aca="false">R1515*(1-VolumeDiscount)</f>
        <v>33895.2</v>
      </c>
    </row>
    <row r="1516" customFormat="false" ht="15" hidden="false" customHeight="false" outlineLevel="0" collapsed="false">
      <c r="A1516" s="25" t="s">
        <v>3323</v>
      </c>
      <c r="B1516" s="25" t="s">
        <v>121</v>
      </c>
      <c r="C1516" s="25" t="s">
        <v>55</v>
      </c>
      <c r="D1516" s="25" t="s">
        <v>3324</v>
      </c>
      <c r="E1516" s="25" t="s">
        <v>3300</v>
      </c>
      <c r="F1516" s="25" t="s">
        <v>3175</v>
      </c>
      <c r="G1516" s="25" t="s">
        <v>35</v>
      </c>
      <c r="H1516" s="25" t="s">
        <v>3148</v>
      </c>
      <c r="I1516" s="25" t="s">
        <v>190</v>
      </c>
      <c r="J1516" s="25" t="s">
        <v>191</v>
      </c>
      <c r="K1516" s="25" t="s">
        <v>298</v>
      </c>
      <c r="L1516" s="25" t="s">
        <v>32</v>
      </c>
      <c r="M1516" s="25" t="n">
        <v>4000</v>
      </c>
      <c r="N1516" s="25" t="n">
        <v>5000</v>
      </c>
      <c r="O1516" s="25"/>
      <c r="P1516" s="26" t="n">
        <f aca="false">(M1516*N1516/1000000)*INDEX(AreaRate_Vals,MATCH(C1516,AreaRate_Keys,0))+IF(H1516="Aluminium Louvre Blade",(M1516*N1516/1000000)*INDEX(Glass_Vals,MATCH("6mm Toughened Louvre Blade",Glass_Keys,0)),0)+INDEX(Hardware_Vals,MATCH("Pergolas",Hardware_Keys,0))</f>
        <v>36420</v>
      </c>
      <c r="Q1516" s="27" t="n">
        <f aca="false">INDEX(Markup_Vals,MATCH("Outdoor Living &amp; Shading",MarkupCat_Keys,0))</f>
        <v>0.45</v>
      </c>
      <c r="R1516" s="28" t="n">
        <f aca="false">P1516*(1+Q1516)</f>
        <v>52809</v>
      </c>
      <c r="S1516" s="28" t="n">
        <f aca="false">R1516*(1-TradeDiscount)</f>
        <v>46471.92</v>
      </c>
      <c r="T1516" s="28" t="n">
        <f aca="false">R1516*(1-VolumeDiscount)</f>
        <v>42247.2</v>
      </c>
    </row>
    <row r="1517" customFormat="false" ht="15" hidden="false" customHeight="false" outlineLevel="0" collapsed="false">
      <c r="A1517" s="29" t="s">
        <v>3325</v>
      </c>
      <c r="B1517" s="29" t="s">
        <v>121</v>
      </c>
      <c r="C1517" s="29" t="s">
        <v>55</v>
      </c>
      <c r="D1517" s="29" t="s">
        <v>3326</v>
      </c>
      <c r="E1517" s="29" t="s">
        <v>3300</v>
      </c>
      <c r="F1517" s="29" t="s">
        <v>3175</v>
      </c>
      <c r="G1517" s="29" t="s">
        <v>36</v>
      </c>
      <c r="H1517" s="29" t="s">
        <v>3148</v>
      </c>
      <c r="I1517" s="29" t="s">
        <v>190</v>
      </c>
      <c r="J1517" s="29" t="s">
        <v>191</v>
      </c>
      <c r="K1517" s="29" t="s">
        <v>298</v>
      </c>
      <c r="L1517" s="29" t="s">
        <v>32</v>
      </c>
      <c r="M1517" s="29" t="n">
        <v>4000</v>
      </c>
      <c r="N1517" s="29" t="n">
        <v>5000</v>
      </c>
      <c r="O1517" s="29"/>
      <c r="P1517" s="30" t="n">
        <f aca="false">(M1517*N1517/1000000)*INDEX(AreaRate_Vals,MATCH(C1517,AreaRate_Keys,0))+IF(H1517="Aluminium Louvre Blade",(M1517*N1517/1000000)*INDEX(Glass_Vals,MATCH("6mm Toughened Louvre Blade",Glass_Keys,0)),0)+INDEX(Hardware_Vals,MATCH("Pergolas",Hardware_Keys,0))</f>
        <v>36420</v>
      </c>
      <c r="Q1517" s="31" t="n">
        <f aca="false">INDEX(Markup_Vals,MATCH("Outdoor Living &amp; Shading",MarkupCat_Keys,0))</f>
        <v>0.45</v>
      </c>
      <c r="R1517" s="32" t="n">
        <f aca="false">P1517*(1+Q1517)</f>
        <v>52809</v>
      </c>
      <c r="S1517" s="32" t="n">
        <f aca="false">R1517*(1-TradeDiscount)</f>
        <v>46471.92</v>
      </c>
      <c r="T1517" s="32" t="n">
        <f aca="false">R1517*(1-VolumeDiscount)</f>
        <v>42247.2</v>
      </c>
    </row>
    <row r="1518" customFormat="false" ht="15" hidden="false" customHeight="false" outlineLevel="0" collapsed="false">
      <c r="A1518" s="25" t="s">
        <v>3327</v>
      </c>
      <c r="B1518" s="25" t="s">
        <v>121</v>
      </c>
      <c r="C1518" s="25" t="s">
        <v>55</v>
      </c>
      <c r="D1518" s="25" t="s">
        <v>3328</v>
      </c>
      <c r="E1518" s="25" t="s">
        <v>3300</v>
      </c>
      <c r="F1518" s="25" t="s">
        <v>3175</v>
      </c>
      <c r="G1518" s="25" t="s">
        <v>37</v>
      </c>
      <c r="H1518" s="25" t="s">
        <v>3148</v>
      </c>
      <c r="I1518" s="25" t="s">
        <v>190</v>
      </c>
      <c r="J1518" s="25" t="s">
        <v>191</v>
      </c>
      <c r="K1518" s="25" t="s">
        <v>298</v>
      </c>
      <c r="L1518" s="25" t="s">
        <v>32</v>
      </c>
      <c r="M1518" s="25" t="n">
        <v>4000</v>
      </c>
      <c r="N1518" s="25" t="n">
        <v>5000</v>
      </c>
      <c r="O1518" s="25"/>
      <c r="P1518" s="26" t="n">
        <f aca="false">(M1518*N1518/1000000)*INDEX(AreaRate_Vals,MATCH(C1518,AreaRate_Keys,0))+IF(H1518="Aluminium Louvre Blade",(M1518*N1518/1000000)*INDEX(Glass_Vals,MATCH("6mm Toughened Louvre Blade",Glass_Keys,0)),0)+INDEX(Hardware_Vals,MATCH("Pergolas",Hardware_Keys,0))</f>
        <v>36420</v>
      </c>
      <c r="Q1518" s="27" t="n">
        <f aca="false">INDEX(Markup_Vals,MATCH("Outdoor Living &amp; Shading",MarkupCat_Keys,0))</f>
        <v>0.45</v>
      </c>
      <c r="R1518" s="28" t="n">
        <f aca="false">P1518*(1+Q1518)</f>
        <v>52809</v>
      </c>
      <c r="S1518" s="28" t="n">
        <f aca="false">R1518*(1-TradeDiscount)</f>
        <v>46471.92</v>
      </c>
      <c r="T1518" s="28" t="n">
        <f aca="false">R1518*(1-VolumeDiscount)</f>
        <v>42247.2</v>
      </c>
    </row>
    <row r="1519" customFormat="false" ht="15" hidden="false" customHeight="false" outlineLevel="0" collapsed="false">
      <c r="A1519" s="29" t="s">
        <v>3329</v>
      </c>
      <c r="B1519" s="29" t="s">
        <v>121</v>
      </c>
      <c r="C1519" s="29" t="s">
        <v>55</v>
      </c>
      <c r="D1519" s="29" t="s">
        <v>3330</v>
      </c>
      <c r="E1519" s="29" t="s">
        <v>3300</v>
      </c>
      <c r="F1519" s="29" t="s">
        <v>3175</v>
      </c>
      <c r="G1519" s="29" t="s">
        <v>39</v>
      </c>
      <c r="H1519" s="29" t="s">
        <v>3148</v>
      </c>
      <c r="I1519" s="29" t="s">
        <v>190</v>
      </c>
      <c r="J1519" s="29" t="s">
        <v>191</v>
      </c>
      <c r="K1519" s="29" t="s">
        <v>298</v>
      </c>
      <c r="L1519" s="29" t="s">
        <v>32</v>
      </c>
      <c r="M1519" s="29" t="n">
        <v>4000</v>
      </c>
      <c r="N1519" s="29" t="n">
        <v>5000</v>
      </c>
      <c r="O1519" s="29"/>
      <c r="P1519" s="30" t="n">
        <f aca="false">(M1519*N1519/1000000)*INDEX(AreaRate_Vals,MATCH(C1519,AreaRate_Keys,0))+IF(H1519="Aluminium Louvre Blade",(M1519*N1519/1000000)*INDEX(Glass_Vals,MATCH("6mm Toughened Louvre Blade",Glass_Keys,0)),0)+INDEX(Hardware_Vals,MATCH("Pergolas",Hardware_Keys,0))</f>
        <v>36420</v>
      </c>
      <c r="Q1519" s="31" t="n">
        <f aca="false">INDEX(Markup_Vals,MATCH("Outdoor Living &amp; Shading",MarkupCat_Keys,0))</f>
        <v>0.45</v>
      </c>
      <c r="R1519" s="32" t="n">
        <f aca="false">P1519*(1+Q1519)</f>
        <v>52809</v>
      </c>
      <c r="S1519" s="32" t="n">
        <f aca="false">R1519*(1-TradeDiscount)</f>
        <v>46471.92</v>
      </c>
      <c r="T1519" s="32" t="n">
        <f aca="false">R1519*(1-VolumeDiscount)</f>
        <v>42247.2</v>
      </c>
    </row>
    <row r="1520" customFormat="false" ht="15" hidden="false" customHeight="false" outlineLevel="0" collapsed="false">
      <c r="A1520" s="25" t="s">
        <v>3331</v>
      </c>
      <c r="B1520" s="25" t="s">
        <v>121</v>
      </c>
      <c r="C1520" s="25" t="s">
        <v>55</v>
      </c>
      <c r="D1520" s="25" t="s">
        <v>3332</v>
      </c>
      <c r="E1520" s="25" t="s">
        <v>3300</v>
      </c>
      <c r="F1520" s="25" t="s">
        <v>3184</v>
      </c>
      <c r="G1520" s="25" t="s">
        <v>35</v>
      </c>
      <c r="H1520" s="25" t="s">
        <v>3148</v>
      </c>
      <c r="I1520" s="25" t="s">
        <v>190</v>
      </c>
      <c r="J1520" s="25" t="s">
        <v>191</v>
      </c>
      <c r="K1520" s="25" t="s">
        <v>298</v>
      </c>
      <c r="L1520" s="25" t="s">
        <v>32</v>
      </c>
      <c r="M1520" s="25" t="n">
        <v>5000</v>
      </c>
      <c r="N1520" s="25" t="n">
        <v>5000</v>
      </c>
      <c r="O1520" s="25"/>
      <c r="P1520" s="26" t="n">
        <f aca="false">(M1520*N1520/1000000)*INDEX(AreaRate_Vals,MATCH(C1520,AreaRate_Keys,0))+IF(H1520="Aluminium Louvre Blade",(M1520*N1520/1000000)*INDEX(Glass_Vals,MATCH("6mm Toughened Louvre Blade",Glass_Keys,0)),0)+INDEX(Hardware_Vals,MATCH("Pergolas",Hardware_Keys,0))</f>
        <v>45420</v>
      </c>
      <c r="Q1520" s="27" t="n">
        <f aca="false">INDEX(Markup_Vals,MATCH("Outdoor Living &amp; Shading",MarkupCat_Keys,0))</f>
        <v>0.45</v>
      </c>
      <c r="R1520" s="28" t="n">
        <f aca="false">P1520*(1+Q1520)</f>
        <v>65859</v>
      </c>
      <c r="S1520" s="28" t="n">
        <f aca="false">R1520*(1-TradeDiscount)</f>
        <v>57955.92</v>
      </c>
      <c r="T1520" s="28" t="n">
        <f aca="false">R1520*(1-VolumeDiscount)</f>
        <v>52687.2</v>
      </c>
    </row>
    <row r="1521" customFormat="false" ht="15" hidden="false" customHeight="false" outlineLevel="0" collapsed="false">
      <c r="A1521" s="29" t="s">
        <v>3333</v>
      </c>
      <c r="B1521" s="29" t="s">
        <v>121</v>
      </c>
      <c r="C1521" s="29" t="s">
        <v>55</v>
      </c>
      <c r="D1521" s="29" t="s">
        <v>3334</v>
      </c>
      <c r="E1521" s="29" t="s">
        <v>3300</v>
      </c>
      <c r="F1521" s="29" t="s">
        <v>3184</v>
      </c>
      <c r="G1521" s="29" t="s">
        <v>36</v>
      </c>
      <c r="H1521" s="29" t="s">
        <v>3148</v>
      </c>
      <c r="I1521" s="29" t="s">
        <v>190</v>
      </c>
      <c r="J1521" s="29" t="s">
        <v>191</v>
      </c>
      <c r="K1521" s="29" t="s">
        <v>298</v>
      </c>
      <c r="L1521" s="29" t="s">
        <v>32</v>
      </c>
      <c r="M1521" s="29" t="n">
        <v>5000</v>
      </c>
      <c r="N1521" s="29" t="n">
        <v>5000</v>
      </c>
      <c r="O1521" s="29"/>
      <c r="P1521" s="30" t="n">
        <f aca="false">(M1521*N1521/1000000)*INDEX(AreaRate_Vals,MATCH(C1521,AreaRate_Keys,0))+IF(H1521="Aluminium Louvre Blade",(M1521*N1521/1000000)*INDEX(Glass_Vals,MATCH("6mm Toughened Louvre Blade",Glass_Keys,0)),0)+INDEX(Hardware_Vals,MATCH("Pergolas",Hardware_Keys,0))</f>
        <v>45420</v>
      </c>
      <c r="Q1521" s="31" t="n">
        <f aca="false">INDEX(Markup_Vals,MATCH("Outdoor Living &amp; Shading",MarkupCat_Keys,0))</f>
        <v>0.45</v>
      </c>
      <c r="R1521" s="32" t="n">
        <f aca="false">P1521*(1+Q1521)</f>
        <v>65859</v>
      </c>
      <c r="S1521" s="32" t="n">
        <f aca="false">R1521*(1-TradeDiscount)</f>
        <v>57955.92</v>
      </c>
      <c r="T1521" s="32" t="n">
        <f aca="false">R1521*(1-VolumeDiscount)</f>
        <v>52687.2</v>
      </c>
    </row>
    <row r="1522" customFormat="false" ht="15" hidden="false" customHeight="false" outlineLevel="0" collapsed="false">
      <c r="A1522" s="25" t="s">
        <v>3335</v>
      </c>
      <c r="B1522" s="25" t="s">
        <v>121</v>
      </c>
      <c r="C1522" s="25" t="s">
        <v>55</v>
      </c>
      <c r="D1522" s="25" t="s">
        <v>3336</v>
      </c>
      <c r="E1522" s="25" t="s">
        <v>3300</v>
      </c>
      <c r="F1522" s="25" t="s">
        <v>3184</v>
      </c>
      <c r="G1522" s="25" t="s">
        <v>37</v>
      </c>
      <c r="H1522" s="25" t="s">
        <v>3148</v>
      </c>
      <c r="I1522" s="25" t="s">
        <v>190</v>
      </c>
      <c r="J1522" s="25" t="s">
        <v>191</v>
      </c>
      <c r="K1522" s="25" t="s">
        <v>298</v>
      </c>
      <c r="L1522" s="25" t="s">
        <v>32</v>
      </c>
      <c r="M1522" s="25" t="n">
        <v>5000</v>
      </c>
      <c r="N1522" s="25" t="n">
        <v>5000</v>
      </c>
      <c r="O1522" s="25"/>
      <c r="P1522" s="26" t="n">
        <f aca="false">(M1522*N1522/1000000)*INDEX(AreaRate_Vals,MATCH(C1522,AreaRate_Keys,0))+IF(H1522="Aluminium Louvre Blade",(M1522*N1522/1000000)*INDEX(Glass_Vals,MATCH("6mm Toughened Louvre Blade",Glass_Keys,0)),0)+INDEX(Hardware_Vals,MATCH("Pergolas",Hardware_Keys,0))</f>
        <v>45420</v>
      </c>
      <c r="Q1522" s="27" t="n">
        <f aca="false">INDEX(Markup_Vals,MATCH("Outdoor Living &amp; Shading",MarkupCat_Keys,0))</f>
        <v>0.45</v>
      </c>
      <c r="R1522" s="28" t="n">
        <f aca="false">P1522*(1+Q1522)</f>
        <v>65859</v>
      </c>
      <c r="S1522" s="28" t="n">
        <f aca="false">R1522*(1-TradeDiscount)</f>
        <v>57955.92</v>
      </c>
      <c r="T1522" s="28" t="n">
        <f aca="false">R1522*(1-VolumeDiscount)</f>
        <v>52687.2</v>
      </c>
    </row>
    <row r="1523" customFormat="false" ht="15" hidden="false" customHeight="false" outlineLevel="0" collapsed="false">
      <c r="A1523" s="29" t="s">
        <v>3337</v>
      </c>
      <c r="B1523" s="29" t="s">
        <v>121</v>
      </c>
      <c r="C1523" s="29" t="s">
        <v>55</v>
      </c>
      <c r="D1523" s="29" t="s">
        <v>3338</v>
      </c>
      <c r="E1523" s="29" t="s">
        <v>3300</v>
      </c>
      <c r="F1523" s="29" t="s">
        <v>3184</v>
      </c>
      <c r="G1523" s="29" t="s">
        <v>39</v>
      </c>
      <c r="H1523" s="29" t="s">
        <v>3148</v>
      </c>
      <c r="I1523" s="29" t="s">
        <v>190</v>
      </c>
      <c r="J1523" s="29" t="s">
        <v>191</v>
      </c>
      <c r="K1523" s="29" t="s">
        <v>298</v>
      </c>
      <c r="L1523" s="29" t="s">
        <v>32</v>
      </c>
      <c r="M1523" s="29" t="n">
        <v>5000</v>
      </c>
      <c r="N1523" s="29" t="n">
        <v>5000</v>
      </c>
      <c r="O1523" s="29"/>
      <c r="P1523" s="30" t="n">
        <f aca="false">(M1523*N1523/1000000)*INDEX(AreaRate_Vals,MATCH(C1523,AreaRate_Keys,0))+IF(H1523="Aluminium Louvre Blade",(M1523*N1523/1000000)*INDEX(Glass_Vals,MATCH("6mm Toughened Louvre Blade",Glass_Keys,0)),0)+INDEX(Hardware_Vals,MATCH("Pergolas",Hardware_Keys,0))</f>
        <v>45420</v>
      </c>
      <c r="Q1523" s="31" t="n">
        <f aca="false">INDEX(Markup_Vals,MATCH("Outdoor Living &amp; Shading",MarkupCat_Keys,0))</f>
        <v>0.45</v>
      </c>
      <c r="R1523" s="32" t="n">
        <f aca="false">P1523*(1+Q1523)</f>
        <v>65859</v>
      </c>
      <c r="S1523" s="32" t="n">
        <f aca="false">R1523*(1-TradeDiscount)</f>
        <v>57955.92</v>
      </c>
      <c r="T1523" s="32" t="n">
        <f aca="false">R1523*(1-VolumeDiscount)</f>
        <v>52687.2</v>
      </c>
    </row>
    <row r="1524" customFormat="false" ht="15" hidden="false" customHeight="false" outlineLevel="0" collapsed="false">
      <c r="A1524" s="25" t="s">
        <v>3339</v>
      </c>
      <c r="B1524" s="25" t="s">
        <v>121</v>
      </c>
      <c r="C1524" s="25" t="s">
        <v>55</v>
      </c>
      <c r="D1524" s="25" t="s">
        <v>3340</v>
      </c>
      <c r="E1524" s="25" t="s">
        <v>3300</v>
      </c>
      <c r="F1524" s="25" t="s">
        <v>3193</v>
      </c>
      <c r="G1524" s="25" t="s">
        <v>35</v>
      </c>
      <c r="H1524" s="25" t="s">
        <v>3148</v>
      </c>
      <c r="I1524" s="25" t="s">
        <v>190</v>
      </c>
      <c r="J1524" s="25" t="s">
        <v>191</v>
      </c>
      <c r="K1524" s="25" t="s">
        <v>298</v>
      </c>
      <c r="L1524" s="25" t="s">
        <v>32</v>
      </c>
      <c r="M1524" s="25" t="n">
        <v>6000</v>
      </c>
      <c r="N1524" s="25" t="n">
        <v>4000</v>
      </c>
      <c r="O1524" s="25"/>
      <c r="P1524" s="26" t="n">
        <f aca="false">(M1524*N1524/1000000)*INDEX(AreaRate_Vals,MATCH(C1524,AreaRate_Keys,0))+IF(H1524="Aluminium Louvre Blade",(M1524*N1524/1000000)*INDEX(Glass_Vals,MATCH("6mm Toughened Louvre Blade",Glass_Keys,0)),0)+INDEX(Hardware_Vals,MATCH("Pergolas",Hardware_Keys,0))</f>
        <v>43620</v>
      </c>
      <c r="Q1524" s="27" t="n">
        <f aca="false">INDEX(Markup_Vals,MATCH("Outdoor Living &amp; Shading",MarkupCat_Keys,0))</f>
        <v>0.45</v>
      </c>
      <c r="R1524" s="28" t="n">
        <f aca="false">P1524*(1+Q1524)</f>
        <v>63249</v>
      </c>
      <c r="S1524" s="28" t="n">
        <f aca="false">R1524*(1-TradeDiscount)</f>
        <v>55659.12</v>
      </c>
      <c r="T1524" s="28" t="n">
        <f aca="false">R1524*(1-VolumeDiscount)</f>
        <v>50599.2</v>
      </c>
    </row>
    <row r="1525" customFormat="false" ht="15" hidden="false" customHeight="false" outlineLevel="0" collapsed="false">
      <c r="A1525" s="29" t="s">
        <v>3341</v>
      </c>
      <c r="B1525" s="29" t="s">
        <v>121</v>
      </c>
      <c r="C1525" s="29" t="s">
        <v>55</v>
      </c>
      <c r="D1525" s="29" t="s">
        <v>3342</v>
      </c>
      <c r="E1525" s="29" t="s">
        <v>3300</v>
      </c>
      <c r="F1525" s="29" t="s">
        <v>3193</v>
      </c>
      <c r="G1525" s="29" t="s">
        <v>36</v>
      </c>
      <c r="H1525" s="29" t="s">
        <v>3148</v>
      </c>
      <c r="I1525" s="29" t="s">
        <v>190</v>
      </c>
      <c r="J1525" s="29" t="s">
        <v>191</v>
      </c>
      <c r="K1525" s="29" t="s">
        <v>298</v>
      </c>
      <c r="L1525" s="29" t="s">
        <v>32</v>
      </c>
      <c r="M1525" s="29" t="n">
        <v>6000</v>
      </c>
      <c r="N1525" s="29" t="n">
        <v>4000</v>
      </c>
      <c r="O1525" s="29"/>
      <c r="P1525" s="30" t="n">
        <f aca="false">(M1525*N1525/1000000)*INDEX(AreaRate_Vals,MATCH(C1525,AreaRate_Keys,0))+IF(H1525="Aluminium Louvre Blade",(M1525*N1525/1000000)*INDEX(Glass_Vals,MATCH("6mm Toughened Louvre Blade",Glass_Keys,0)),0)+INDEX(Hardware_Vals,MATCH("Pergolas",Hardware_Keys,0))</f>
        <v>43620</v>
      </c>
      <c r="Q1525" s="31" t="n">
        <f aca="false">INDEX(Markup_Vals,MATCH("Outdoor Living &amp; Shading",MarkupCat_Keys,0))</f>
        <v>0.45</v>
      </c>
      <c r="R1525" s="32" t="n">
        <f aca="false">P1525*(1+Q1525)</f>
        <v>63249</v>
      </c>
      <c r="S1525" s="32" t="n">
        <f aca="false">R1525*(1-TradeDiscount)</f>
        <v>55659.12</v>
      </c>
      <c r="T1525" s="32" t="n">
        <f aca="false">R1525*(1-VolumeDiscount)</f>
        <v>50599.2</v>
      </c>
    </row>
    <row r="1526" customFormat="false" ht="15" hidden="false" customHeight="false" outlineLevel="0" collapsed="false">
      <c r="A1526" s="25" t="s">
        <v>3343</v>
      </c>
      <c r="B1526" s="25" t="s">
        <v>121</v>
      </c>
      <c r="C1526" s="25" t="s">
        <v>55</v>
      </c>
      <c r="D1526" s="25" t="s">
        <v>3344</v>
      </c>
      <c r="E1526" s="25" t="s">
        <v>3300</v>
      </c>
      <c r="F1526" s="25" t="s">
        <v>3193</v>
      </c>
      <c r="G1526" s="25" t="s">
        <v>37</v>
      </c>
      <c r="H1526" s="25" t="s">
        <v>3148</v>
      </c>
      <c r="I1526" s="25" t="s">
        <v>190</v>
      </c>
      <c r="J1526" s="25" t="s">
        <v>191</v>
      </c>
      <c r="K1526" s="25" t="s">
        <v>298</v>
      </c>
      <c r="L1526" s="25" t="s">
        <v>32</v>
      </c>
      <c r="M1526" s="25" t="n">
        <v>6000</v>
      </c>
      <c r="N1526" s="25" t="n">
        <v>4000</v>
      </c>
      <c r="O1526" s="25"/>
      <c r="P1526" s="26" t="n">
        <f aca="false">(M1526*N1526/1000000)*INDEX(AreaRate_Vals,MATCH(C1526,AreaRate_Keys,0))+IF(H1526="Aluminium Louvre Blade",(M1526*N1526/1000000)*INDEX(Glass_Vals,MATCH("6mm Toughened Louvre Blade",Glass_Keys,0)),0)+INDEX(Hardware_Vals,MATCH("Pergolas",Hardware_Keys,0))</f>
        <v>43620</v>
      </c>
      <c r="Q1526" s="27" t="n">
        <f aca="false">INDEX(Markup_Vals,MATCH("Outdoor Living &amp; Shading",MarkupCat_Keys,0))</f>
        <v>0.45</v>
      </c>
      <c r="R1526" s="28" t="n">
        <f aca="false">P1526*(1+Q1526)</f>
        <v>63249</v>
      </c>
      <c r="S1526" s="28" t="n">
        <f aca="false">R1526*(1-TradeDiscount)</f>
        <v>55659.12</v>
      </c>
      <c r="T1526" s="28" t="n">
        <f aca="false">R1526*(1-VolumeDiscount)</f>
        <v>50599.2</v>
      </c>
    </row>
    <row r="1527" customFormat="false" ht="15" hidden="false" customHeight="false" outlineLevel="0" collapsed="false">
      <c r="A1527" s="29" t="s">
        <v>3345</v>
      </c>
      <c r="B1527" s="29" t="s">
        <v>121</v>
      </c>
      <c r="C1527" s="29" t="s">
        <v>55</v>
      </c>
      <c r="D1527" s="29" t="s">
        <v>3346</v>
      </c>
      <c r="E1527" s="29" t="s">
        <v>3300</v>
      </c>
      <c r="F1527" s="29" t="s">
        <v>3193</v>
      </c>
      <c r="G1527" s="29" t="s">
        <v>39</v>
      </c>
      <c r="H1527" s="29" t="s">
        <v>3148</v>
      </c>
      <c r="I1527" s="29" t="s">
        <v>190</v>
      </c>
      <c r="J1527" s="29" t="s">
        <v>191</v>
      </c>
      <c r="K1527" s="29" t="s">
        <v>298</v>
      </c>
      <c r="L1527" s="29" t="s">
        <v>32</v>
      </c>
      <c r="M1527" s="29" t="n">
        <v>6000</v>
      </c>
      <c r="N1527" s="29" t="n">
        <v>4000</v>
      </c>
      <c r="O1527" s="29"/>
      <c r="P1527" s="30" t="n">
        <f aca="false">(M1527*N1527/1000000)*INDEX(AreaRate_Vals,MATCH(C1527,AreaRate_Keys,0))+IF(H1527="Aluminium Louvre Blade",(M1527*N1527/1000000)*INDEX(Glass_Vals,MATCH("6mm Toughened Louvre Blade",Glass_Keys,0)),0)+INDEX(Hardware_Vals,MATCH("Pergolas",Hardware_Keys,0))</f>
        <v>43620</v>
      </c>
      <c r="Q1527" s="31" t="n">
        <f aca="false">INDEX(Markup_Vals,MATCH("Outdoor Living &amp; Shading",MarkupCat_Keys,0))</f>
        <v>0.45</v>
      </c>
      <c r="R1527" s="32" t="n">
        <f aca="false">P1527*(1+Q1527)</f>
        <v>63249</v>
      </c>
      <c r="S1527" s="32" t="n">
        <f aca="false">R1527*(1-TradeDiscount)</f>
        <v>55659.12</v>
      </c>
      <c r="T1527" s="32" t="n">
        <f aca="false">R1527*(1-VolumeDiscount)</f>
        <v>50599.2</v>
      </c>
    </row>
    <row r="1528" customFormat="false" ht="15" hidden="false" customHeight="false" outlineLevel="0" collapsed="false">
      <c r="A1528" s="25" t="s">
        <v>3347</v>
      </c>
      <c r="B1528" s="25" t="s">
        <v>121</v>
      </c>
      <c r="C1528" s="25" t="s">
        <v>56</v>
      </c>
      <c r="D1528" s="25" t="s">
        <v>3348</v>
      </c>
      <c r="E1528" s="25" t="s">
        <v>3349</v>
      </c>
      <c r="F1528" s="25" t="s">
        <v>3350</v>
      </c>
      <c r="G1528" s="25" t="s">
        <v>35</v>
      </c>
      <c r="H1528" s="25" t="s">
        <v>3148</v>
      </c>
      <c r="I1528" s="25" t="s">
        <v>190</v>
      </c>
      <c r="J1528" s="25" t="s">
        <v>191</v>
      </c>
      <c r="K1528" s="25" t="s">
        <v>298</v>
      </c>
      <c r="L1528" s="25" t="s">
        <v>32</v>
      </c>
      <c r="M1528" s="25" t="n">
        <v>3000</v>
      </c>
      <c r="N1528" s="25" t="n">
        <v>5500</v>
      </c>
      <c r="O1528" s="25"/>
      <c r="P1528" s="26" t="n">
        <f aca="false">(M1528*N1528/1000000)*INDEX(AreaRate_Vals,MATCH(C1528,AreaRate_Keys,0))+IF(H1528="Aluminium Louvre Blade",(M1528*N1528/1000000)*INDEX(Glass_Vals,MATCH("6mm Toughened Louvre Blade",Glass_Keys,0)),0)+INDEX(Hardware_Vals,MATCH("Carports &amp; Canopies",Hardware_Keys,0))</f>
        <v>26900</v>
      </c>
      <c r="Q1528" s="27" t="n">
        <f aca="false">INDEX(Markup_Vals,MATCH("Outdoor Living &amp; Shading",MarkupCat_Keys,0))</f>
        <v>0.45</v>
      </c>
      <c r="R1528" s="28" t="n">
        <f aca="false">P1528*(1+Q1528)</f>
        <v>39005</v>
      </c>
      <c r="S1528" s="28" t="n">
        <f aca="false">R1528*(1-TradeDiscount)</f>
        <v>34324.4</v>
      </c>
      <c r="T1528" s="28" t="n">
        <f aca="false">R1528*(1-VolumeDiscount)</f>
        <v>31204</v>
      </c>
    </row>
    <row r="1529" customFormat="false" ht="15" hidden="false" customHeight="false" outlineLevel="0" collapsed="false">
      <c r="A1529" s="29" t="s">
        <v>3351</v>
      </c>
      <c r="B1529" s="29" t="s">
        <v>121</v>
      </c>
      <c r="C1529" s="29" t="s">
        <v>56</v>
      </c>
      <c r="D1529" s="29" t="s">
        <v>3352</v>
      </c>
      <c r="E1529" s="29" t="s">
        <v>3349</v>
      </c>
      <c r="F1529" s="29" t="s">
        <v>3350</v>
      </c>
      <c r="G1529" s="29" t="s">
        <v>36</v>
      </c>
      <c r="H1529" s="29" t="s">
        <v>3148</v>
      </c>
      <c r="I1529" s="29" t="s">
        <v>190</v>
      </c>
      <c r="J1529" s="29" t="s">
        <v>191</v>
      </c>
      <c r="K1529" s="29" t="s">
        <v>298</v>
      </c>
      <c r="L1529" s="29" t="s">
        <v>32</v>
      </c>
      <c r="M1529" s="29" t="n">
        <v>3000</v>
      </c>
      <c r="N1529" s="29" t="n">
        <v>5500</v>
      </c>
      <c r="O1529" s="29"/>
      <c r="P1529" s="30" t="n">
        <f aca="false">(M1529*N1529/1000000)*INDEX(AreaRate_Vals,MATCH(C1529,AreaRate_Keys,0))+IF(H1529="Aluminium Louvre Blade",(M1529*N1529/1000000)*INDEX(Glass_Vals,MATCH("6mm Toughened Louvre Blade",Glass_Keys,0)),0)+INDEX(Hardware_Vals,MATCH("Carports &amp; Canopies",Hardware_Keys,0))</f>
        <v>26900</v>
      </c>
      <c r="Q1529" s="31" t="n">
        <f aca="false">INDEX(Markup_Vals,MATCH("Outdoor Living &amp; Shading",MarkupCat_Keys,0))</f>
        <v>0.45</v>
      </c>
      <c r="R1529" s="32" t="n">
        <f aca="false">P1529*(1+Q1529)</f>
        <v>39005</v>
      </c>
      <c r="S1529" s="32" t="n">
        <f aca="false">R1529*(1-TradeDiscount)</f>
        <v>34324.4</v>
      </c>
      <c r="T1529" s="32" t="n">
        <f aca="false">R1529*(1-VolumeDiscount)</f>
        <v>31204</v>
      </c>
    </row>
    <row r="1530" customFormat="false" ht="15" hidden="false" customHeight="false" outlineLevel="0" collapsed="false">
      <c r="A1530" s="25" t="s">
        <v>3353</v>
      </c>
      <c r="B1530" s="25" t="s">
        <v>121</v>
      </c>
      <c r="C1530" s="25" t="s">
        <v>56</v>
      </c>
      <c r="D1530" s="25" t="s">
        <v>3354</v>
      </c>
      <c r="E1530" s="25" t="s">
        <v>3349</v>
      </c>
      <c r="F1530" s="25" t="s">
        <v>3350</v>
      </c>
      <c r="G1530" s="25" t="s">
        <v>37</v>
      </c>
      <c r="H1530" s="25" t="s">
        <v>3148</v>
      </c>
      <c r="I1530" s="25" t="s">
        <v>190</v>
      </c>
      <c r="J1530" s="25" t="s">
        <v>191</v>
      </c>
      <c r="K1530" s="25" t="s">
        <v>298</v>
      </c>
      <c r="L1530" s="25" t="s">
        <v>32</v>
      </c>
      <c r="M1530" s="25" t="n">
        <v>3000</v>
      </c>
      <c r="N1530" s="25" t="n">
        <v>5500</v>
      </c>
      <c r="O1530" s="25"/>
      <c r="P1530" s="26" t="n">
        <f aca="false">(M1530*N1530/1000000)*INDEX(AreaRate_Vals,MATCH(C1530,AreaRate_Keys,0))+IF(H1530="Aluminium Louvre Blade",(M1530*N1530/1000000)*INDEX(Glass_Vals,MATCH("6mm Toughened Louvre Blade",Glass_Keys,0)),0)+INDEX(Hardware_Vals,MATCH("Carports &amp; Canopies",Hardware_Keys,0))</f>
        <v>26900</v>
      </c>
      <c r="Q1530" s="27" t="n">
        <f aca="false">INDEX(Markup_Vals,MATCH("Outdoor Living &amp; Shading",MarkupCat_Keys,0))</f>
        <v>0.45</v>
      </c>
      <c r="R1530" s="28" t="n">
        <f aca="false">P1530*(1+Q1530)</f>
        <v>39005</v>
      </c>
      <c r="S1530" s="28" t="n">
        <f aca="false">R1530*(1-TradeDiscount)</f>
        <v>34324.4</v>
      </c>
      <c r="T1530" s="28" t="n">
        <f aca="false">R1530*(1-VolumeDiscount)</f>
        <v>31204</v>
      </c>
    </row>
    <row r="1531" customFormat="false" ht="15" hidden="false" customHeight="false" outlineLevel="0" collapsed="false">
      <c r="A1531" s="29" t="s">
        <v>3355</v>
      </c>
      <c r="B1531" s="29" t="s">
        <v>121</v>
      </c>
      <c r="C1531" s="29" t="s">
        <v>56</v>
      </c>
      <c r="D1531" s="29" t="s">
        <v>3356</v>
      </c>
      <c r="E1531" s="29" t="s">
        <v>3349</v>
      </c>
      <c r="F1531" s="29" t="s">
        <v>3357</v>
      </c>
      <c r="G1531" s="29" t="s">
        <v>35</v>
      </c>
      <c r="H1531" s="29" t="s">
        <v>3148</v>
      </c>
      <c r="I1531" s="29" t="s">
        <v>190</v>
      </c>
      <c r="J1531" s="29" t="s">
        <v>191</v>
      </c>
      <c r="K1531" s="29" t="s">
        <v>298</v>
      </c>
      <c r="L1531" s="29" t="s">
        <v>32</v>
      </c>
      <c r="M1531" s="29" t="n">
        <v>3000</v>
      </c>
      <c r="N1531" s="29" t="n">
        <v>6000</v>
      </c>
      <c r="O1531" s="29"/>
      <c r="P1531" s="30" t="n">
        <f aca="false">(M1531*N1531/1000000)*INDEX(AreaRate_Vals,MATCH(C1531,AreaRate_Keys,0))+IF(H1531="Aluminium Louvre Blade",(M1531*N1531/1000000)*INDEX(Glass_Vals,MATCH("6mm Toughened Louvre Blade",Glass_Keys,0)),0)+INDEX(Hardware_Vals,MATCH("Carports &amp; Canopies",Hardware_Keys,0))</f>
        <v>29300</v>
      </c>
      <c r="Q1531" s="31" t="n">
        <f aca="false">INDEX(Markup_Vals,MATCH("Outdoor Living &amp; Shading",MarkupCat_Keys,0))</f>
        <v>0.45</v>
      </c>
      <c r="R1531" s="32" t="n">
        <f aca="false">P1531*(1+Q1531)</f>
        <v>42485</v>
      </c>
      <c r="S1531" s="32" t="n">
        <f aca="false">R1531*(1-TradeDiscount)</f>
        <v>37386.8</v>
      </c>
      <c r="T1531" s="32" t="n">
        <f aca="false">R1531*(1-VolumeDiscount)</f>
        <v>33988</v>
      </c>
    </row>
    <row r="1532" customFormat="false" ht="15" hidden="false" customHeight="false" outlineLevel="0" collapsed="false">
      <c r="A1532" s="25" t="s">
        <v>3358</v>
      </c>
      <c r="B1532" s="25" t="s">
        <v>121</v>
      </c>
      <c r="C1532" s="25" t="s">
        <v>56</v>
      </c>
      <c r="D1532" s="25" t="s">
        <v>3359</v>
      </c>
      <c r="E1532" s="25" t="s">
        <v>3349</v>
      </c>
      <c r="F1532" s="25" t="s">
        <v>3357</v>
      </c>
      <c r="G1532" s="25" t="s">
        <v>36</v>
      </c>
      <c r="H1532" s="25" t="s">
        <v>3148</v>
      </c>
      <c r="I1532" s="25" t="s">
        <v>190</v>
      </c>
      <c r="J1532" s="25" t="s">
        <v>191</v>
      </c>
      <c r="K1532" s="25" t="s">
        <v>298</v>
      </c>
      <c r="L1532" s="25" t="s">
        <v>32</v>
      </c>
      <c r="M1532" s="25" t="n">
        <v>3000</v>
      </c>
      <c r="N1532" s="25" t="n">
        <v>6000</v>
      </c>
      <c r="O1532" s="25"/>
      <c r="P1532" s="26" t="n">
        <f aca="false">(M1532*N1532/1000000)*INDEX(AreaRate_Vals,MATCH(C1532,AreaRate_Keys,0))+IF(H1532="Aluminium Louvre Blade",(M1532*N1532/1000000)*INDEX(Glass_Vals,MATCH("6mm Toughened Louvre Blade",Glass_Keys,0)),0)+INDEX(Hardware_Vals,MATCH("Carports &amp; Canopies",Hardware_Keys,0))</f>
        <v>29300</v>
      </c>
      <c r="Q1532" s="27" t="n">
        <f aca="false">INDEX(Markup_Vals,MATCH("Outdoor Living &amp; Shading",MarkupCat_Keys,0))</f>
        <v>0.45</v>
      </c>
      <c r="R1532" s="28" t="n">
        <f aca="false">P1532*(1+Q1532)</f>
        <v>42485</v>
      </c>
      <c r="S1532" s="28" t="n">
        <f aca="false">R1532*(1-TradeDiscount)</f>
        <v>37386.8</v>
      </c>
      <c r="T1532" s="28" t="n">
        <f aca="false">R1532*(1-VolumeDiscount)</f>
        <v>33988</v>
      </c>
    </row>
    <row r="1533" customFormat="false" ht="15" hidden="false" customHeight="false" outlineLevel="0" collapsed="false">
      <c r="A1533" s="29" t="s">
        <v>3360</v>
      </c>
      <c r="B1533" s="29" t="s">
        <v>121</v>
      </c>
      <c r="C1533" s="29" t="s">
        <v>56</v>
      </c>
      <c r="D1533" s="29" t="s">
        <v>3361</v>
      </c>
      <c r="E1533" s="29" t="s">
        <v>3349</v>
      </c>
      <c r="F1533" s="29" t="s">
        <v>3357</v>
      </c>
      <c r="G1533" s="29" t="s">
        <v>37</v>
      </c>
      <c r="H1533" s="29" t="s">
        <v>3148</v>
      </c>
      <c r="I1533" s="29" t="s">
        <v>190</v>
      </c>
      <c r="J1533" s="29" t="s">
        <v>191</v>
      </c>
      <c r="K1533" s="29" t="s">
        <v>298</v>
      </c>
      <c r="L1533" s="29" t="s">
        <v>32</v>
      </c>
      <c r="M1533" s="29" t="n">
        <v>3000</v>
      </c>
      <c r="N1533" s="29" t="n">
        <v>6000</v>
      </c>
      <c r="O1533" s="29"/>
      <c r="P1533" s="30" t="n">
        <f aca="false">(M1533*N1533/1000000)*INDEX(AreaRate_Vals,MATCH(C1533,AreaRate_Keys,0))+IF(H1533="Aluminium Louvre Blade",(M1533*N1533/1000000)*INDEX(Glass_Vals,MATCH("6mm Toughened Louvre Blade",Glass_Keys,0)),0)+INDEX(Hardware_Vals,MATCH("Carports &amp; Canopies",Hardware_Keys,0))</f>
        <v>29300</v>
      </c>
      <c r="Q1533" s="31" t="n">
        <f aca="false">INDEX(Markup_Vals,MATCH("Outdoor Living &amp; Shading",MarkupCat_Keys,0))</f>
        <v>0.45</v>
      </c>
      <c r="R1533" s="32" t="n">
        <f aca="false">P1533*(1+Q1533)</f>
        <v>42485</v>
      </c>
      <c r="S1533" s="32" t="n">
        <f aca="false">R1533*(1-TradeDiscount)</f>
        <v>37386.8</v>
      </c>
      <c r="T1533" s="32" t="n">
        <f aca="false">R1533*(1-VolumeDiscount)</f>
        <v>33988</v>
      </c>
    </row>
    <row r="1534" customFormat="false" ht="15" hidden="false" customHeight="false" outlineLevel="0" collapsed="false">
      <c r="A1534" s="25" t="s">
        <v>3362</v>
      </c>
      <c r="B1534" s="25" t="s">
        <v>121</v>
      </c>
      <c r="C1534" s="25" t="s">
        <v>56</v>
      </c>
      <c r="D1534" s="25" t="s">
        <v>3363</v>
      </c>
      <c r="E1534" s="25" t="s">
        <v>3349</v>
      </c>
      <c r="F1534" s="25" t="s">
        <v>3364</v>
      </c>
      <c r="G1534" s="25" t="s">
        <v>35</v>
      </c>
      <c r="H1534" s="25" t="s">
        <v>3148</v>
      </c>
      <c r="I1534" s="25" t="s">
        <v>190</v>
      </c>
      <c r="J1534" s="25" t="s">
        <v>191</v>
      </c>
      <c r="K1534" s="25" t="s">
        <v>298</v>
      </c>
      <c r="L1534" s="25" t="s">
        <v>32</v>
      </c>
      <c r="M1534" s="25" t="n">
        <v>5500</v>
      </c>
      <c r="N1534" s="25" t="n">
        <v>5500</v>
      </c>
      <c r="O1534" s="25"/>
      <c r="P1534" s="26" t="n">
        <f aca="false">(M1534*N1534/1000000)*INDEX(AreaRate_Vals,MATCH(C1534,AreaRate_Keys,0))+IF(H1534="Aluminium Louvre Blade",(M1534*N1534/1000000)*INDEX(Glass_Vals,MATCH("6mm Toughened Louvre Blade",Glass_Keys,0)),0)+INDEX(Hardware_Vals,MATCH("Carports &amp; Canopies",Hardware_Keys,0))</f>
        <v>48900</v>
      </c>
      <c r="Q1534" s="27" t="n">
        <f aca="false">INDEX(Markup_Vals,MATCH("Outdoor Living &amp; Shading",MarkupCat_Keys,0))</f>
        <v>0.45</v>
      </c>
      <c r="R1534" s="28" t="n">
        <f aca="false">P1534*(1+Q1534)</f>
        <v>70905</v>
      </c>
      <c r="S1534" s="28" t="n">
        <f aca="false">R1534*(1-TradeDiscount)</f>
        <v>62396.4</v>
      </c>
      <c r="T1534" s="28" t="n">
        <f aca="false">R1534*(1-VolumeDiscount)</f>
        <v>56724</v>
      </c>
    </row>
    <row r="1535" customFormat="false" ht="15" hidden="false" customHeight="false" outlineLevel="0" collapsed="false">
      <c r="A1535" s="29" t="s">
        <v>3365</v>
      </c>
      <c r="B1535" s="29" t="s">
        <v>121</v>
      </c>
      <c r="C1535" s="29" t="s">
        <v>56</v>
      </c>
      <c r="D1535" s="29" t="s">
        <v>3366</v>
      </c>
      <c r="E1535" s="29" t="s">
        <v>3349</v>
      </c>
      <c r="F1535" s="29" t="s">
        <v>3364</v>
      </c>
      <c r="G1535" s="29" t="s">
        <v>36</v>
      </c>
      <c r="H1535" s="29" t="s">
        <v>3148</v>
      </c>
      <c r="I1535" s="29" t="s">
        <v>190</v>
      </c>
      <c r="J1535" s="29" t="s">
        <v>191</v>
      </c>
      <c r="K1535" s="29" t="s">
        <v>298</v>
      </c>
      <c r="L1535" s="29" t="s">
        <v>32</v>
      </c>
      <c r="M1535" s="29" t="n">
        <v>5500</v>
      </c>
      <c r="N1535" s="29" t="n">
        <v>5500</v>
      </c>
      <c r="O1535" s="29"/>
      <c r="P1535" s="30" t="n">
        <f aca="false">(M1535*N1535/1000000)*INDEX(AreaRate_Vals,MATCH(C1535,AreaRate_Keys,0))+IF(H1535="Aluminium Louvre Blade",(M1535*N1535/1000000)*INDEX(Glass_Vals,MATCH("6mm Toughened Louvre Blade",Glass_Keys,0)),0)+INDEX(Hardware_Vals,MATCH("Carports &amp; Canopies",Hardware_Keys,0))</f>
        <v>48900</v>
      </c>
      <c r="Q1535" s="31" t="n">
        <f aca="false">INDEX(Markup_Vals,MATCH("Outdoor Living &amp; Shading",MarkupCat_Keys,0))</f>
        <v>0.45</v>
      </c>
      <c r="R1535" s="32" t="n">
        <f aca="false">P1535*(1+Q1535)</f>
        <v>70905</v>
      </c>
      <c r="S1535" s="32" t="n">
        <f aca="false">R1535*(1-TradeDiscount)</f>
        <v>62396.4</v>
      </c>
      <c r="T1535" s="32" t="n">
        <f aca="false">R1535*(1-VolumeDiscount)</f>
        <v>56724</v>
      </c>
    </row>
    <row r="1536" customFormat="false" ht="15" hidden="false" customHeight="false" outlineLevel="0" collapsed="false">
      <c r="A1536" s="25" t="s">
        <v>3367</v>
      </c>
      <c r="B1536" s="25" t="s">
        <v>121</v>
      </c>
      <c r="C1536" s="25" t="s">
        <v>56</v>
      </c>
      <c r="D1536" s="25" t="s">
        <v>3368</v>
      </c>
      <c r="E1536" s="25" t="s">
        <v>3349</v>
      </c>
      <c r="F1536" s="25" t="s">
        <v>3364</v>
      </c>
      <c r="G1536" s="25" t="s">
        <v>37</v>
      </c>
      <c r="H1536" s="25" t="s">
        <v>3148</v>
      </c>
      <c r="I1536" s="25" t="s">
        <v>190</v>
      </c>
      <c r="J1536" s="25" t="s">
        <v>191</v>
      </c>
      <c r="K1536" s="25" t="s">
        <v>298</v>
      </c>
      <c r="L1536" s="25" t="s">
        <v>32</v>
      </c>
      <c r="M1536" s="25" t="n">
        <v>5500</v>
      </c>
      <c r="N1536" s="25" t="n">
        <v>5500</v>
      </c>
      <c r="O1536" s="25"/>
      <c r="P1536" s="26" t="n">
        <f aca="false">(M1536*N1536/1000000)*INDEX(AreaRate_Vals,MATCH(C1536,AreaRate_Keys,0))+IF(H1536="Aluminium Louvre Blade",(M1536*N1536/1000000)*INDEX(Glass_Vals,MATCH("6mm Toughened Louvre Blade",Glass_Keys,0)),0)+INDEX(Hardware_Vals,MATCH("Carports &amp; Canopies",Hardware_Keys,0))</f>
        <v>48900</v>
      </c>
      <c r="Q1536" s="27" t="n">
        <f aca="false">INDEX(Markup_Vals,MATCH("Outdoor Living &amp; Shading",MarkupCat_Keys,0))</f>
        <v>0.45</v>
      </c>
      <c r="R1536" s="28" t="n">
        <f aca="false">P1536*(1+Q1536)</f>
        <v>70905</v>
      </c>
      <c r="S1536" s="28" t="n">
        <f aca="false">R1536*(1-TradeDiscount)</f>
        <v>62396.4</v>
      </c>
      <c r="T1536" s="28" t="n">
        <f aca="false">R1536*(1-VolumeDiscount)</f>
        <v>56724</v>
      </c>
    </row>
    <row r="1537" customFormat="false" ht="15" hidden="false" customHeight="false" outlineLevel="0" collapsed="false">
      <c r="A1537" s="29" t="s">
        <v>3369</v>
      </c>
      <c r="B1537" s="29" t="s">
        <v>121</v>
      </c>
      <c r="C1537" s="29" t="s">
        <v>56</v>
      </c>
      <c r="D1537" s="29" t="s">
        <v>3370</v>
      </c>
      <c r="E1537" s="29" t="s">
        <v>3349</v>
      </c>
      <c r="F1537" s="29" t="s">
        <v>3371</v>
      </c>
      <c r="G1537" s="29" t="s">
        <v>35</v>
      </c>
      <c r="H1537" s="29" t="s">
        <v>3148</v>
      </c>
      <c r="I1537" s="29" t="s">
        <v>190</v>
      </c>
      <c r="J1537" s="29" t="s">
        <v>191</v>
      </c>
      <c r="K1537" s="29" t="s">
        <v>298</v>
      </c>
      <c r="L1537" s="29" t="s">
        <v>32</v>
      </c>
      <c r="M1537" s="29" t="n">
        <v>6000</v>
      </c>
      <c r="N1537" s="29" t="n">
        <v>6000</v>
      </c>
      <c r="O1537" s="29"/>
      <c r="P1537" s="30" t="n">
        <f aca="false">(M1537*N1537/1000000)*INDEX(AreaRate_Vals,MATCH(C1537,AreaRate_Keys,0))+IF(H1537="Aluminium Louvre Blade",(M1537*N1537/1000000)*INDEX(Glass_Vals,MATCH("6mm Toughened Louvre Blade",Glass_Keys,0)),0)+INDEX(Hardware_Vals,MATCH("Carports &amp; Canopies",Hardware_Keys,0))</f>
        <v>58100</v>
      </c>
      <c r="Q1537" s="31" t="n">
        <f aca="false">INDEX(Markup_Vals,MATCH("Outdoor Living &amp; Shading",MarkupCat_Keys,0))</f>
        <v>0.45</v>
      </c>
      <c r="R1537" s="32" t="n">
        <f aca="false">P1537*(1+Q1537)</f>
        <v>84245</v>
      </c>
      <c r="S1537" s="32" t="n">
        <f aca="false">R1537*(1-TradeDiscount)</f>
        <v>74135.6</v>
      </c>
      <c r="T1537" s="32" t="n">
        <f aca="false">R1537*(1-VolumeDiscount)</f>
        <v>67396</v>
      </c>
    </row>
    <row r="1538" customFormat="false" ht="15" hidden="false" customHeight="false" outlineLevel="0" collapsed="false">
      <c r="A1538" s="25" t="s">
        <v>3372</v>
      </c>
      <c r="B1538" s="25" t="s">
        <v>121</v>
      </c>
      <c r="C1538" s="25" t="s">
        <v>56</v>
      </c>
      <c r="D1538" s="25" t="s">
        <v>3373</v>
      </c>
      <c r="E1538" s="25" t="s">
        <v>3349</v>
      </c>
      <c r="F1538" s="25" t="s">
        <v>3371</v>
      </c>
      <c r="G1538" s="25" t="s">
        <v>36</v>
      </c>
      <c r="H1538" s="25" t="s">
        <v>3148</v>
      </c>
      <c r="I1538" s="25" t="s">
        <v>190</v>
      </c>
      <c r="J1538" s="25" t="s">
        <v>191</v>
      </c>
      <c r="K1538" s="25" t="s">
        <v>298</v>
      </c>
      <c r="L1538" s="25" t="s">
        <v>32</v>
      </c>
      <c r="M1538" s="25" t="n">
        <v>6000</v>
      </c>
      <c r="N1538" s="25" t="n">
        <v>6000</v>
      </c>
      <c r="O1538" s="25"/>
      <c r="P1538" s="26" t="n">
        <f aca="false">(M1538*N1538/1000000)*INDEX(AreaRate_Vals,MATCH(C1538,AreaRate_Keys,0))+IF(H1538="Aluminium Louvre Blade",(M1538*N1538/1000000)*INDEX(Glass_Vals,MATCH("6mm Toughened Louvre Blade",Glass_Keys,0)),0)+INDEX(Hardware_Vals,MATCH("Carports &amp; Canopies",Hardware_Keys,0))</f>
        <v>58100</v>
      </c>
      <c r="Q1538" s="27" t="n">
        <f aca="false">INDEX(Markup_Vals,MATCH("Outdoor Living &amp; Shading",MarkupCat_Keys,0))</f>
        <v>0.45</v>
      </c>
      <c r="R1538" s="28" t="n">
        <f aca="false">P1538*(1+Q1538)</f>
        <v>84245</v>
      </c>
      <c r="S1538" s="28" t="n">
        <f aca="false">R1538*(1-TradeDiscount)</f>
        <v>74135.6</v>
      </c>
      <c r="T1538" s="28" t="n">
        <f aca="false">R1538*(1-VolumeDiscount)</f>
        <v>67396</v>
      </c>
    </row>
    <row r="1539" customFormat="false" ht="15" hidden="false" customHeight="false" outlineLevel="0" collapsed="false">
      <c r="A1539" s="29" t="s">
        <v>3374</v>
      </c>
      <c r="B1539" s="29" t="s">
        <v>121</v>
      </c>
      <c r="C1539" s="29" t="s">
        <v>56</v>
      </c>
      <c r="D1539" s="29" t="s">
        <v>3375</v>
      </c>
      <c r="E1539" s="29" t="s">
        <v>3349</v>
      </c>
      <c r="F1539" s="29" t="s">
        <v>3371</v>
      </c>
      <c r="G1539" s="29" t="s">
        <v>37</v>
      </c>
      <c r="H1539" s="29" t="s">
        <v>3148</v>
      </c>
      <c r="I1539" s="29" t="s">
        <v>190</v>
      </c>
      <c r="J1539" s="29" t="s">
        <v>191</v>
      </c>
      <c r="K1539" s="29" t="s">
        <v>298</v>
      </c>
      <c r="L1539" s="29" t="s">
        <v>32</v>
      </c>
      <c r="M1539" s="29" t="n">
        <v>6000</v>
      </c>
      <c r="N1539" s="29" t="n">
        <v>6000</v>
      </c>
      <c r="O1539" s="29"/>
      <c r="P1539" s="30" t="n">
        <f aca="false">(M1539*N1539/1000000)*INDEX(AreaRate_Vals,MATCH(C1539,AreaRate_Keys,0))+IF(H1539="Aluminium Louvre Blade",(M1539*N1539/1000000)*INDEX(Glass_Vals,MATCH("6mm Toughened Louvre Blade",Glass_Keys,0)),0)+INDEX(Hardware_Vals,MATCH("Carports &amp; Canopies",Hardware_Keys,0))</f>
        <v>58100</v>
      </c>
      <c r="Q1539" s="31" t="n">
        <f aca="false">INDEX(Markup_Vals,MATCH("Outdoor Living &amp; Shading",MarkupCat_Keys,0))</f>
        <v>0.45</v>
      </c>
      <c r="R1539" s="32" t="n">
        <f aca="false">P1539*(1+Q1539)</f>
        <v>84245</v>
      </c>
      <c r="S1539" s="32" t="n">
        <f aca="false">R1539*(1-TradeDiscount)</f>
        <v>74135.6</v>
      </c>
      <c r="T1539" s="32" t="n">
        <f aca="false">R1539*(1-VolumeDiscount)</f>
        <v>67396</v>
      </c>
    </row>
    <row r="1540" customFormat="false" ht="15" hidden="false" customHeight="false" outlineLevel="0" collapsed="false">
      <c r="A1540" s="25" t="s">
        <v>3376</v>
      </c>
      <c r="B1540" s="25" t="s">
        <v>121</v>
      </c>
      <c r="C1540" s="25" t="s">
        <v>56</v>
      </c>
      <c r="D1540" s="25" t="s">
        <v>3377</v>
      </c>
      <c r="E1540" s="25" t="s">
        <v>3349</v>
      </c>
      <c r="F1540" s="25" t="s">
        <v>3378</v>
      </c>
      <c r="G1540" s="25" t="s">
        <v>35</v>
      </c>
      <c r="H1540" s="25" t="s">
        <v>3148</v>
      </c>
      <c r="I1540" s="25" t="s">
        <v>190</v>
      </c>
      <c r="J1540" s="25" t="s">
        <v>191</v>
      </c>
      <c r="K1540" s="25" t="s">
        <v>298</v>
      </c>
      <c r="L1540" s="25" t="s">
        <v>32</v>
      </c>
      <c r="M1540" s="25" t="n">
        <v>6000</v>
      </c>
      <c r="N1540" s="25" t="n">
        <v>7000</v>
      </c>
      <c r="O1540" s="25"/>
      <c r="P1540" s="26" t="n">
        <f aca="false">(M1540*N1540/1000000)*INDEX(AreaRate_Vals,MATCH(C1540,AreaRate_Keys,0))+IF(H1540="Aluminium Louvre Blade",(M1540*N1540/1000000)*INDEX(Glass_Vals,MATCH("6mm Toughened Louvre Blade",Glass_Keys,0)),0)+INDEX(Hardware_Vals,MATCH("Carports &amp; Canopies",Hardware_Keys,0))</f>
        <v>67700</v>
      </c>
      <c r="Q1540" s="27" t="n">
        <f aca="false">INDEX(Markup_Vals,MATCH("Outdoor Living &amp; Shading",MarkupCat_Keys,0))</f>
        <v>0.45</v>
      </c>
      <c r="R1540" s="28" t="n">
        <f aca="false">P1540*(1+Q1540)</f>
        <v>98165</v>
      </c>
      <c r="S1540" s="28" t="n">
        <f aca="false">R1540*(1-TradeDiscount)</f>
        <v>86385.2</v>
      </c>
      <c r="T1540" s="28" t="n">
        <f aca="false">R1540*(1-VolumeDiscount)</f>
        <v>78532</v>
      </c>
    </row>
    <row r="1541" customFormat="false" ht="15" hidden="false" customHeight="false" outlineLevel="0" collapsed="false">
      <c r="A1541" s="29" t="s">
        <v>3379</v>
      </c>
      <c r="B1541" s="29" t="s">
        <v>121</v>
      </c>
      <c r="C1541" s="29" t="s">
        <v>56</v>
      </c>
      <c r="D1541" s="29" t="s">
        <v>3380</v>
      </c>
      <c r="E1541" s="29" t="s">
        <v>3349</v>
      </c>
      <c r="F1541" s="29" t="s">
        <v>3378</v>
      </c>
      <c r="G1541" s="29" t="s">
        <v>36</v>
      </c>
      <c r="H1541" s="29" t="s">
        <v>3148</v>
      </c>
      <c r="I1541" s="29" t="s">
        <v>190</v>
      </c>
      <c r="J1541" s="29" t="s">
        <v>191</v>
      </c>
      <c r="K1541" s="29" t="s">
        <v>298</v>
      </c>
      <c r="L1541" s="29" t="s">
        <v>32</v>
      </c>
      <c r="M1541" s="29" t="n">
        <v>6000</v>
      </c>
      <c r="N1541" s="29" t="n">
        <v>7000</v>
      </c>
      <c r="O1541" s="29"/>
      <c r="P1541" s="30" t="n">
        <f aca="false">(M1541*N1541/1000000)*INDEX(AreaRate_Vals,MATCH(C1541,AreaRate_Keys,0))+IF(H1541="Aluminium Louvre Blade",(M1541*N1541/1000000)*INDEX(Glass_Vals,MATCH("6mm Toughened Louvre Blade",Glass_Keys,0)),0)+INDEX(Hardware_Vals,MATCH("Carports &amp; Canopies",Hardware_Keys,0))</f>
        <v>67700</v>
      </c>
      <c r="Q1541" s="31" t="n">
        <f aca="false">INDEX(Markup_Vals,MATCH("Outdoor Living &amp; Shading",MarkupCat_Keys,0))</f>
        <v>0.45</v>
      </c>
      <c r="R1541" s="32" t="n">
        <f aca="false">P1541*(1+Q1541)</f>
        <v>98165</v>
      </c>
      <c r="S1541" s="32" t="n">
        <f aca="false">R1541*(1-TradeDiscount)</f>
        <v>86385.2</v>
      </c>
      <c r="T1541" s="32" t="n">
        <f aca="false">R1541*(1-VolumeDiscount)</f>
        <v>78532</v>
      </c>
    </row>
    <row r="1542" customFormat="false" ht="15" hidden="false" customHeight="false" outlineLevel="0" collapsed="false">
      <c r="A1542" s="25" t="s">
        <v>3381</v>
      </c>
      <c r="B1542" s="25" t="s">
        <v>121</v>
      </c>
      <c r="C1542" s="25" t="s">
        <v>56</v>
      </c>
      <c r="D1542" s="25" t="s">
        <v>3382</v>
      </c>
      <c r="E1542" s="25" t="s">
        <v>3349</v>
      </c>
      <c r="F1542" s="25" t="s">
        <v>3378</v>
      </c>
      <c r="G1542" s="25" t="s">
        <v>37</v>
      </c>
      <c r="H1542" s="25" t="s">
        <v>3148</v>
      </c>
      <c r="I1542" s="25" t="s">
        <v>190</v>
      </c>
      <c r="J1542" s="25" t="s">
        <v>191</v>
      </c>
      <c r="K1542" s="25" t="s">
        <v>298</v>
      </c>
      <c r="L1542" s="25" t="s">
        <v>32</v>
      </c>
      <c r="M1542" s="25" t="n">
        <v>6000</v>
      </c>
      <c r="N1542" s="25" t="n">
        <v>7000</v>
      </c>
      <c r="O1542" s="25"/>
      <c r="P1542" s="26" t="n">
        <f aca="false">(M1542*N1542/1000000)*INDEX(AreaRate_Vals,MATCH(C1542,AreaRate_Keys,0))+IF(H1542="Aluminium Louvre Blade",(M1542*N1542/1000000)*INDEX(Glass_Vals,MATCH("6mm Toughened Louvre Blade",Glass_Keys,0)),0)+INDEX(Hardware_Vals,MATCH("Carports &amp; Canopies",Hardware_Keys,0))</f>
        <v>67700</v>
      </c>
      <c r="Q1542" s="27" t="n">
        <f aca="false">INDEX(Markup_Vals,MATCH("Outdoor Living &amp; Shading",MarkupCat_Keys,0))</f>
        <v>0.45</v>
      </c>
      <c r="R1542" s="28" t="n">
        <f aca="false">P1542*(1+Q1542)</f>
        <v>98165</v>
      </c>
      <c r="S1542" s="28" t="n">
        <f aca="false">R1542*(1-TradeDiscount)</f>
        <v>86385.2</v>
      </c>
      <c r="T1542" s="28" t="n">
        <f aca="false">R1542*(1-VolumeDiscount)</f>
        <v>78532</v>
      </c>
    </row>
    <row r="1543" customFormat="false" ht="15" hidden="false" customHeight="false" outlineLevel="0" collapsed="false">
      <c r="A1543" s="29" t="s">
        <v>3383</v>
      </c>
      <c r="B1543" s="29" t="s">
        <v>121</v>
      </c>
      <c r="C1543" s="29" t="s">
        <v>56</v>
      </c>
      <c r="D1543" s="29" t="s">
        <v>3384</v>
      </c>
      <c r="E1543" s="29" t="s">
        <v>3385</v>
      </c>
      <c r="F1543" s="29" t="s">
        <v>3350</v>
      </c>
      <c r="G1543" s="29" t="s">
        <v>35</v>
      </c>
      <c r="H1543" s="29" t="s">
        <v>3148</v>
      </c>
      <c r="I1543" s="29" t="s">
        <v>190</v>
      </c>
      <c r="J1543" s="29" t="s">
        <v>191</v>
      </c>
      <c r="K1543" s="29" t="s">
        <v>298</v>
      </c>
      <c r="L1543" s="29" t="s">
        <v>32</v>
      </c>
      <c r="M1543" s="29" t="n">
        <v>3000</v>
      </c>
      <c r="N1543" s="29" t="n">
        <v>5500</v>
      </c>
      <c r="O1543" s="29"/>
      <c r="P1543" s="30" t="n">
        <f aca="false">(M1543*N1543/1000000)*INDEX(AreaRate_Vals,MATCH(C1543,AreaRate_Keys,0))+IF(H1543="Aluminium Louvre Blade",(M1543*N1543/1000000)*INDEX(Glass_Vals,MATCH("6mm Toughened Louvre Blade",Glass_Keys,0)),0)+INDEX(Hardware_Vals,MATCH("Carports &amp; Canopies",Hardware_Keys,0))</f>
        <v>26900</v>
      </c>
      <c r="Q1543" s="31" t="n">
        <f aca="false">INDEX(Markup_Vals,MATCH("Outdoor Living &amp; Shading",MarkupCat_Keys,0))</f>
        <v>0.45</v>
      </c>
      <c r="R1543" s="32" t="n">
        <f aca="false">P1543*(1+Q1543)</f>
        <v>39005</v>
      </c>
      <c r="S1543" s="32" t="n">
        <f aca="false">R1543*(1-TradeDiscount)</f>
        <v>34324.4</v>
      </c>
      <c r="T1543" s="32" t="n">
        <f aca="false">R1543*(1-VolumeDiscount)</f>
        <v>31204</v>
      </c>
    </row>
    <row r="1544" customFormat="false" ht="15" hidden="false" customHeight="false" outlineLevel="0" collapsed="false">
      <c r="A1544" s="25" t="s">
        <v>3386</v>
      </c>
      <c r="B1544" s="25" t="s">
        <v>121</v>
      </c>
      <c r="C1544" s="25" t="s">
        <v>56</v>
      </c>
      <c r="D1544" s="25" t="s">
        <v>3387</v>
      </c>
      <c r="E1544" s="25" t="s">
        <v>3385</v>
      </c>
      <c r="F1544" s="25" t="s">
        <v>3350</v>
      </c>
      <c r="G1544" s="25" t="s">
        <v>36</v>
      </c>
      <c r="H1544" s="25" t="s">
        <v>3148</v>
      </c>
      <c r="I1544" s="25" t="s">
        <v>190</v>
      </c>
      <c r="J1544" s="25" t="s">
        <v>191</v>
      </c>
      <c r="K1544" s="25" t="s">
        <v>298</v>
      </c>
      <c r="L1544" s="25" t="s">
        <v>32</v>
      </c>
      <c r="M1544" s="25" t="n">
        <v>3000</v>
      </c>
      <c r="N1544" s="25" t="n">
        <v>5500</v>
      </c>
      <c r="O1544" s="25"/>
      <c r="P1544" s="26" t="n">
        <f aca="false">(M1544*N1544/1000000)*INDEX(AreaRate_Vals,MATCH(C1544,AreaRate_Keys,0))+IF(H1544="Aluminium Louvre Blade",(M1544*N1544/1000000)*INDEX(Glass_Vals,MATCH("6mm Toughened Louvre Blade",Glass_Keys,0)),0)+INDEX(Hardware_Vals,MATCH("Carports &amp; Canopies",Hardware_Keys,0))</f>
        <v>26900</v>
      </c>
      <c r="Q1544" s="27" t="n">
        <f aca="false">INDEX(Markup_Vals,MATCH("Outdoor Living &amp; Shading",MarkupCat_Keys,0))</f>
        <v>0.45</v>
      </c>
      <c r="R1544" s="28" t="n">
        <f aca="false">P1544*(1+Q1544)</f>
        <v>39005</v>
      </c>
      <c r="S1544" s="28" t="n">
        <f aca="false">R1544*(1-TradeDiscount)</f>
        <v>34324.4</v>
      </c>
      <c r="T1544" s="28" t="n">
        <f aca="false">R1544*(1-VolumeDiscount)</f>
        <v>31204</v>
      </c>
    </row>
    <row r="1545" customFormat="false" ht="15" hidden="false" customHeight="false" outlineLevel="0" collapsed="false">
      <c r="A1545" s="29" t="s">
        <v>3388</v>
      </c>
      <c r="B1545" s="29" t="s">
        <v>121</v>
      </c>
      <c r="C1545" s="29" t="s">
        <v>56</v>
      </c>
      <c r="D1545" s="29" t="s">
        <v>3389</v>
      </c>
      <c r="E1545" s="29" t="s">
        <v>3385</v>
      </c>
      <c r="F1545" s="29" t="s">
        <v>3350</v>
      </c>
      <c r="G1545" s="29" t="s">
        <v>37</v>
      </c>
      <c r="H1545" s="29" t="s">
        <v>3148</v>
      </c>
      <c r="I1545" s="29" t="s">
        <v>190</v>
      </c>
      <c r="J1545" s="29" t="s">
        <v>191</v>
      </c>
      <c r="K1545" s="29" t="s">
        <v>298</v>
      </c>
      <c r="L1545" s="29" t="s">
        <v>32</v>
      </c>
      <c r="M1545" s="29" t="n">
        <v>3000</v>
      </c>
      <c r="N1545" s="29" t="n">
        <v>5500</v>
      </c>
      <c r="O1545" s="29"/>
      <c r="P1545" s="30" t="n">
        <f aca="false">(M1545*N1545/1000000)*INDEX(AreaRate_Vals,MATCH(C1545,AreaRate_Keys,0))+IF(H1545="Aluminium Louvre Blade",(M1545*N1545/1000000)*INDEX(Glass_Vals,MATCH("6mm Toughened Louvre Blade",Glass_Keys,0)),0)+INDEX(Hardware_Vals,MATCH("Carports &amp; Canopies",Hardware_Keys,0))</f>
        <v>26900</v>
      </c>
      <c r="Q1545" s="31" t="n">
        <f aca="false">INDEX(Markup_Vals,MATCH("Outdoor Living &amp; Shading",MarkupCat_Keys,0))</f>
        <v>0.45</v>
      </c>
      <c r="R1545" s="32" t="n">
        <f aca="false">P1545*(1+Q1545)</f>
        <v>39005</v>
      </c>
      <c r="S1545" s="32" t="n">
        <f aca="false">R1545*(1-TradeDiscount)</f>
        <v>34324.4</v>
      </c>
      <c r="T1545" s="32" t="n">
        <f aca="false">R1545*(1-VolumeDiscount)</f>
        <v>31204</v>
      </c>
    </row>
    <row r="1546" customFormat="false" ht="15" hidden="false" customHeight="false" outlineLevel="0" collapsed="false">
      <c r="A1546" s="25" t="s">
        <v>3390</v>
      </c>
      <c r="B1546" s="25" t="s">
        <v>121</v>
      </c>
      <c r="C1546" s="25" t="s">
        <v>56</v>
      </c>
      <c r="D1546" s="25" t="s">
        <v>3391</v>
      </c>
      <c r="E1546" s="25" t="s">
        <v>3385</v>
      </c>
      <c r="F1546" s="25" t="s">
        <v>3357</v>
      </c>
      <c r="G1546" s="25" t="s">
        <v>35</v>
      </c>
      <c r="H1546" s="25" t="s">
        <v>3148</v>
      </c>
      <c r="I1546" s="25" t="s">
        <v>190</v>
      </c>
      <c r="J1546" s="25" t="s">
        <v>191</v>
      </c>
      <c r="K1546" s="25" t="s">
        <v>298</v>
      </c>
      <c r="L1546" s="25" t="s">
        <v>32</v>
      </c>
      <c r="M1546" s="25" t="n">
        <v>3000</v>
      </c>
      <c r="N1546" s="25" t="n">
        <v>6000</v>
      </c>
      <c r="O1546" s="25"/>
      <c r="P1546" s="26" t="n">
        <f aca="false">(M1546*N1546/1000000)*INDEX(AreaRate_Vals,MATCH(C1546,AreaRate_Keys,0))+IF(H1546="Aluminium Louvre Blade",(M1546*N1546/1000000)*INDEX(Glass_Vals,MATCH("6mm Toughened Louvre Blade",Glass_Keys,0)),0)+INDEX(Hardware_Vals,MATCH("Carports &amp; Canopies",Hardware_Keys,0))</f>
        <v>29300</v>
      </c>
      <c r="Q1546" s="27" t="n">
        <f aca="false">INDEX(Markup_Vals,MATCH("Outdoor Living &amp; Shading",MarkupCat_Keys,0))</f>
        <v>0.45</v>
      </c>
      <c r="R1546" s="28" t="n">
        <f aca="false">P1546*(1+Q1546)</f>
        <v>42485</v>
      </c>
      <c r="S1546" s="28" t="n">
        <f aca="false">R1546*(1-TradeDiscount)</f>
        <v>37386.8</v>
      </c>
      <c r="T1546" s="28" t="n">
        <f aca="false">R1546*(1-VolumeDiscount)</f>
        <v>33988</v>
      </c>
    </row>
    <row r="1547" customFormat="false" ht="15" hidden="false" customHeight="false" outlineLevel="0" collapsed="false">
      <c r="A1547" s="29" t="s">
        <v>3392</v>
      </c>
      <c r="B1547" s="29" t="s">
        <v>121</v>
      </c>
      <c r="C1547" s="29" t="s">
        <v>56</v>
      </c>
      <c r="D1547" s="29" t="s">
        <v>3393</v>
      </c>
      <c r="E1547" s="29" t="s">
        <v>3385</v>
      </c>
      <c r="F1547" s="29" t="s">
        <v>3357</v>
      </c>
      <c r="G1547" s="29" t="s">
        <v>36</v>
      </c>
      <c r="H1547" s="29" t="s">
        <v>3148</v>
      </c>
      <c r="I1547" s="29" t="s">
        <v>190</v>
      </c>
      <c r="J1547" s="29" t="s">
        <v>191</v>
      </c>
      <c r="K1547" s="29" t="s">
        <v>298</v>
      </c>
      <c r="L1547" s="29" t="s">
        <v>32</v>
      </c>
      <c r="M1547" s="29" t="n">
        <v>3000</v>
      </c>
      <c r="N1547" s="29" t="n">
        <v>6000</v>
      </c>
      <c r="O1547" s="29"/>
      <c r="P1547" s="30" t="n">
        <f aca="false">(M1547*N1547/1000000)*INDEX(AreaRate_Vals,MATCH(C1547,AreaRate_Keys,0))+IF(H1547="Aluminium Louvre Blade",(M1547*N1547/1000000)*INDEX(Glass_Vals,MATCH("6mm Toughened Louvre Blade",Glass_Keys,0)),0)+INDEX(Hardware_Vals,MATCH("Carports &amp; Canopies",Hardware_Keys,0))</f>
        <v>29300</v>
      </c>
      <c r="Q1547" s="31" t="n">
        <f aca="false">INDEX(Markup_Vals,MATCH("Outdoor Living &amp; Shading",MarkupCat_Keys,0))</f>
        <v>0.45</v>
      </c>
      <c r="R1547" s="32" t="n">
        <f aca="false">P1547*(1+Q1547)</f>
        <v>42485</v>
      </c>
      <c r="S1547" s="32" t="n">
        <f aca="false">R1547*(1-TradeDiscount)</f>
        <v>37386.8</v>
      </c>
      <c r="T1547" s="32" t="n">
        <f aca="false">R1547*(1-VolumeDiscount)</f>
        <v>33988</v>
      </c>
    </row>
    <row r="1548" customFormat="false" ht="15" hidden="false" customHeight="false" outlineLevel="0" collapsed="false">
      <c r="A1548" s="25" t="s">
        <v>3394</v>
      </c>
      <c r="B1548" s="25" t="s">
        <v>121</v>
      </c>
      <c r="C1548" s="25" t="s">
        <v>56</v>
      </c>
      <c r="D1548" s="25" t="s">
        <v>3395</v>
      </c>
      <c r="E1548" s="25" t="s">
        <v>3385</v>
      </c>
      <c r="F1548" s="25" t="s">
        <v>3357</v>
      </c>
      <c r="G1548" s="25" t="s">
        <v>37</v>
      </c>
      <c r="H1548" s="25" t="s">
        <v>3148</v>
      </c>
      <c r="I1548" s="25" t="s">
        <v>190</v>
      </c>
      <c r="J1548" s="25" t="s">
        <v>191</v>
      </c>
      <c r="K1548" s="25" t="s">
        <v>298</v>
      </c>
      <c r="L1548" s="25" t="s">
        <v>32</v>
      </c>
      <c r="M1548" s="25" t="n">
        <v>3000</v>
      </c>
      <c r="N1548" s="25" t="n">
        <v>6000</v>
      </c>
      <c r="O1548" s="25"/>
      <c r="P1548" s="26" t="n">
        <f aca="false">(M1548*N1548/1000000)*INDEX(AreaRate_Vals,MATCH(C1548,AreaRate_Keys,0))+IF(H1548="Aluminium Louvre Blade",(M1548*N1548/1000000)*INDEX(Glass_Vals,MATCH("6mm Toughened Louvre Blade",Glass_Keys,0)),0)+INDEX(Hardware_Vals,MATCH("Carports &amp; Canopies",Hardware_Keys,0))</f>
        <v>29300</v>
      </c>
      <c r="Q1548" s="27" t="n">
        <f aca="false">INDEX(Markup_Vals,MATCH("Outdoor Living &amp; Shading",MarkupCat_Keys,0))</f>
        <v>0.45</v>
      </c>
      <c r="R1548" s="28" t="n">
        <f aca="false">P1548*(1+Q1548)</f>
        <v>42485</v>
      </c>
      <c r="S1548" s="28" t="n">
        <f aca="false">R1548*(1-TradeDiscount)</f>
        <v>37386.8</v>
      </c>
      <c r="T1548" s="28" t="n">
        <f aca="false">R1548*(1-VolumeDiscount)</f>
        <v>33988</v>
      </c>
    </row>
    <row r="1549" customFormat="false" ht="15" hidden="false" customHeight="false" outlineLevel="0" collapsed="false">
      <c r="A1549" s="29" t="s">
        <v>3396</v>
      </c>
      <c r="B1549" s="29" t="s">
        <v>121</v>
      </c>
      <c r="C1549" s="29" t="s">
        <v>56</v>
      </c>
      <c r="D1549" s="29" t="s">
        <v>3397</v>
      </c>
      <c r="E1549" s="29" t="s">
        <v>3385</v>
      </c>
      <c r="F1549" s="29" t="s">
        <v>3364</v>
      </c>
      <c r="G1549" s="29" t="s">
        <v>35</v>
      </c>
      <c r="H1549" s="29" t="s">
        <v>3148</v>
      </c>
      <c r="I1549" s="29" t="s">
        <v>190</v>
      </c>
      <c r="J1549" s="29" t="s">
        <v>191</v>
      </c>
      <c r="K1549" s="29" t="s">
        <v>298</v>
      </c>
      <c r="L1549" s="29" t="s">
        <v>32</v>
      </c>
      <c r="M1549" s="29" t="n">
        <v>5500</v>
      </c>
      <c r="N1549" s="29" t="n">
        <v>5500</v>
      </c>
      <c r="O1549" s="29"/>
      <c r="P1549" s="30" t="n">
        <f aca="false">(M1549*N1549/1000000)*INDEX(AreaRate_Vals,MATCH(C1549,AreaRate_Keys,0))+IF(H1549="Aluminium Louvre Blade",(M1549*N1549/1000000)*INDEX(Glass_Vals,MATCH("6mm Toughened Louvre Blade",Glass_Keys,0)),0)+INDEX(Hardware_Vals,MATCH("Carports &amp; Canopies",Hardware_Keys,0))</f>
        <v>48900</v>
      </c>
      <c r="Q1549" s="31" t="n">
        <f aca="false">INDEX(Markup_Vals,MATCH("Outdoor Living &amp; Shading",MarkupCat_Keys,0))</f>
        <v>0.45</v>
      </c>
      <c r="R1549" s="32" t="n">
        <f aca="false">P1549*(1+Q1549)</f>
        <v>70905</v>
      </c>
      <c r="S1549" s="32" t="n">
        <f aca="false">R1549*(1-TradeDiscount)</f>
        <v>62396.4</v>
      </c>
      <c r="T1549" s="32" t="n">
        <f aca="false">R1549*(1-VolumeDiscount)</f>
        <v>56724</v>
      </c>
    </row>
    <row r="1550" customFormat="false" ht="15" hidden="false" customHeight="false" outlineLevel="0" collapsed="false">
      <c r="A1550" s="25" t="s">
        <v>3398</v>
      </c>
      <c r="B1550" s="25" t="s">
        <v>121</v>
      </c>
      <c r="C1550" s="25" t="s">
        <v>56</v>
      </c>
      <c r="D1550" s="25" t="s">
        <v>3399</v>
      </c>
      <c r="E1550" s="25" t="s">
        <v>3385</v>
      </c>
      <c r="F1550" s="25" t="s">
        <v>3364</v>
      </c>
      <c r="G1550" s="25" t="s">
        <v>36</v>
      </c>
      <c r="H1550" s="25" t="s">
        <v>3148</v>
      </c>
      <c r="I1550" s="25" t="s">
        <v>190</v>
      </c>
      <c r="J1550" s="25" t="s">
        <v>191</v>
      </c>
      <c r="K1550" s="25" t="s">
        <v>298</v>
      </c>
      <c r="L1550" s="25" t="s">
        <v>32</v>
      </c>
      <c r="M1550" s="25" t="n">
        <v>5500</v>
      </c>
      <c r="N1550" s="25" t="n">
        <v>5500</v>
      </c>
      <c r="O1550" s="25"/>
      <c r="P1550" s="26" t="n">
        <f aca="false">(M1550*N1550/1000000)*INDEX(AreaRate_Vals,MATCH(C1550,AreaRate_Keys,0))+IF(H1550="Aluminium Louvre Blade",(M1550*N1550/1000000)*INDEX(Glass_Vals,MATCH("6mm Toughened Louvre Blade",Glass_Keys,0)),0)+INDEX(Hardware_Vals,MATCH("Carports &amp; Canopies",Hardware_Keys,0))</f>
        <v>48900</v>
      </c>
      <c r="Q1550" s="27" t="n">
        <f aca="false">INDEX(Markup_Vals,MATCH("Outdoor Living &amp; Shading",MarkupCat_Keys,0))</f>
        <v>0.45</v>
      </c>
      <c r="R1550" s="28" t="n">
        <f aca="false">P1550*(1+Q1550)</f>
        <v>70905</v>
      </c>
      <c r="S1550" s="28" t="n">
        <f aca="false">R1550*(1-TradeDiscount)</f>
        <v>62396.4</v>
      </c>
      <c r="T1550" s="28" t="n">
        <f aca="false">R1550*(1-VolumeDiscount)</f>
        <v>56724</v>
      </c>
    </row>
    <row r="1551" customFormat="false" ht="15" hidden="false" customHeight="false" outlineLevel="0" collapsed="false">
      <c r="A1551" s="29" t="s">
        <v>3400</v>
      </c>
      <c r="B1551" s="29" t="s">
        <v>121</v>
      </c>
      <c r="C1551" s="29" t="s">
        <v>56</v>
      </c>
      <c r="D1551" s="29" t="s">
        <v>3401</v>
      </c>
      <c r="E1551" s="29" t="s">
        <v>3385</v>
      </c>
      <c r="F1551" s="29" t="s">
        <v>3364</v>
      </c>
      <c r="G1551" s="29" t="s">
        <v>37</v>
      </c>
      <c r="H1551" s="29" t="s">
        <v>3148</v>
      </c>
      <c r="I1551" s="29" t="s">
        <v>190</v>
      </c>
      <c r="J1551" s="29" t="s">
        <v>191</v>
      </c>
      <c r="K1551" s="29" t="s">
        <v>298</v>
      </c>
      <c r="L1551" s="29" t="s">
        <v>32</v>
      </c>
      <c r="M1551" s="29" t="n">
        <v>5500</v>
      </c>
      <c r="N1551" s="29" t="n">
        <v>5500</v>
      </c>
      <c r="O1551" s="29"/>
      <c r="P1551" s="30" t="n">
        <f aca="false">(M1551*N1551/1000000)*INDEX(AreaRate_Vals,MATCH(C1551,AreaRate_Keys,0))+IF(H1551="Aluminium Louvre Blade",(M1551*N1551/1000000)*INDEX(Glass_Vals,MATCH("6mm Toughened Louvre Blade",Glass_Keys,0)),0)+INDEX(Hardware_Vals,MATCH("Carports &amp; Canopies",Hardware_Keys,0))</f>
        <v>48900</v>
      </c>
      <c r="Q1551" s="31" t="n">
        <f aca="false">INDEX(Markup_Vals,MATCH("Outdoor Living &amp; Shading",MarkupCat_Keys,0))</f>
        <v>0.45</v>
      </c>
      <c r="R1551" s="32" t="n">
        <f aca="false">P1551*(1+Q1551)</f>
        <v>70905</v>
      </c>
      <c r="S1551" s="32" t="n">
        <f aca="false">R1551*(1-TradeDiscount)</f>
        <v>62396.4</v>
      </c>
      <c r="T1551" s="32" t="n">
        <f aca="false">R1551*(1-VolumeDiscount)</f>
        <v>56724</v>
      </c>
    </row>
    <row r="1552" customFormat="false" ht="15" hidden="false" customHeight="false" outlineLevel="0" collapsed="false">
      <c r="A1552" s="25" t="s">
        <v>3402</v>
      </c>
      <c r="B1552" s="25" t="s">
        <v>121</v>
      </c>
      <c r="C1552" s="25" t="s">
        <v>56</v>
      </c>
      <c r="D1552" s="25" t="s">
        <v>3403</v>
      </c>
      <c r="E1552" s="25" t="s">
        <v>3385</v>
      </c>
      <c r="F1552" s="25" t="s">
        <v>3371</v>
      </c>
      <c r="G1552" s="25" t="s">
        <v>35</v>
      </c>
      <c r="H1552" s="25" t="s">
        <v>3148</v>
      </c>
      <c r="I1552" s="25" t="s">
        <v>190</v>
      </c>
      <c r="J1552" s="25" t="s">
        <v>191</v>
      </c>
      <c r="K1552" s="25" t="s">
        <v>298</v>
      </c>
      <c r="L1552" s="25" t="s">
        <v>32</v>
      </c>
      <c r="M1552" s="25" t="n">
        <v>6000</v>
      </c>
      <c r="N1552" s="25" t="n">
        <v>6000</v>
      </c>
      <c r="O1552" s="25"/>
      <c r="P1552" s="26" t="n">
        <f aca="false">(M1552*N1552/1000000)*INDEX(AreaRate_Vals,MATCH(C1552,AreaRate_Keys,0))+IF(H1552="Aluminium Louvre Blade",(M1552*N1552/1000000)*INDEX(Glass_Vals,MATCH("6mm Toughened Louvre Blade",Glass_Keys,0)),0)+INDEX(Hardware_Vals,MATCH("Carports &amp; Canopies",Hardware_Keys,0))</f>
        <v>58100</v>
      </c>
      <c r="Q1552" s="27" t="n">
        <f aca="false">INDEX(Markup_Vals,MATCH("Outdoor Living &amp; Shading",MarkupCat_Keys,0))</f>
        <v>0.45</v>
      </c>
      <c r="R1552" s="28" t="n">
        <f aca="false">P1552*(1+Q1552)</f>
        <v>84245</v>
      </c>
      <c r="S1552" s="28" t="n">
        <f aca="false">R1552*(1-TradeDiscount)</f>
        <v>74135.6</v>
      </c>
      <c r="T1552" s="28" t="n">
        <f aca="false">R1552*(1-VolumeDiscount)</f>
        <v>67396</v>
      </c>
    </row>
    <row r="1553" customFormat="false" ht="15" hidden="false" customHeight="false" outlineLevel="0" collapsed="false">
      <c r="A1553" s="29" t="s">
        <v>3404</v>
      </c>
      <c r="B1553" s="29" t="s">
        <v>121</v>
      </c>
      <c r="C1553" s="29" t="s">
        <v>56</v>
      </c>
      <c r="D1553" s="29" t="s">
        <v>3405</v>
      </c>
      <c r="E1553" s="29" t="s">
        <v>3385</v>
      </c>
      <c r="F1553" s="29" t="s">
        <v>3371</v>
      </c>
      <c r="G1553" s="29" t="s">
        <v>36</v>
      </c>
      <c r="H1553" s="29" t="s">
        <v>3148</v>
      </c>
      <c r="I1553" s="29" t="s">
        <v>190</v>
      </c>
      <c r="J1553" s="29" t="s">
        <v>191</v>
      </c>
      <c r="K1553" s="29" t="s">
        <v>298</v>
      </c>
      <c r="L1553" s="29" t="s">
        <v>32</v>
      </c>
      <c r="M1553" s="29" t="n">
        <v>6000</v>
      </c>
      <c r="N1553" s="29" t="n">
        <v>6000</v>
      </c>
      <c r="O1553" s="29"/>
      <c r="P1553" s="30" t="n">
        <f aca="false">(M1553*N1553/1000000)*INDEX(AreaRate_Vals,MATCH(C1553,AreaRate_Keys,0))+IF(H1553="Aluminium Louvre Blade",(M1553*N1553/1000000)*INDEX(Glass_Vals,MATCH("6mm Toughened Louvre Blade",Glass_Keys,0)),0)+INDEX(Hardware_Vals,MATCH("Carports &amp; Canopies",Hardware_Keys,0))</f>
        <v>58100</v>
      </c>
      <c r="Q1553" s="31" t="n">
        <f aca="false">INDEX(Markup_Vals,MATCH("Outdoor Living &amp; Shading",MarkupCat_Keys,0))</f>
        <v>0.45</v>
      </c>
      <c r="R1553" s="32" t="n">
        <f aca="false">P1553*(1+Q1553)</f>
        <v>84245</v>
      </c>
      <c r="S1553" s="32" t="n">
        <f aca="false">R1553*(1-TradeDiscount)</f>
        <v>74135.6</v>
      </c>
      <c r="T1553" s="32" t="n">
        <f aca="false">R1553*(1-VolumeDiscount)</f>
        <v>67396</v>
      </c>
    </row>
    <row r="1554" customFormat="false" ht="15" hidden="false" customHeight="false" outlineLevel="0" collapsed="false">
      <c r="A1554" s="25" t="s">
        <v>3406</v>
      </c>
      <c r="B1554" s="25" t="s">
        <v>121</v>
      </c>
      <c r="C1554" s="25" t="s">
        <v>56</v>
      </c>
      <c r="D1554" s="25" t="s">
        <v>3407</v>
      </c>
      <c r="E1554" s="25" t="s">
        <v>3385</v>
      </c>
      <c r="F1554" s="25" t="s">
        <v>3371</v>
      </c>
      <c r="G1554" s="25" t="s">
        <v>37</v>
      </c>
      <c r="H1554" s="25" t="s">
        <v>3148</v>
      </c>
      <c r="I1554" s="25" t="s">
        <v>190</v>
      </c>
      <c r="J1554" s="25" t="s">
        <v>191</v>
      </c>
      <c r="K1554" s="25" t="s">
        <v>298</v>
      </c>
      <c r="L1554" s="25" t="s">
        <v>32</v>
      </c>
      <c r="M1554" s="25" t="n">
        <v>6000</v>
      </c>
      <c r="N1554" s="25" t="n">
        <v>6000</v>
      </c>
      <c r="O1554" s="25"/>
      <c r="P1554" s="26" t="n">
        <f aca="false">(M1554*N1554/1000000)*INDEX(AreaRate_Vals,MATCH(C1554,AreaRate_Keys,0))+IF(H1554="Aluminium Louvre Blade",(M1554*N1554/1000000)*INDEX(Glass_Vals,MATCH("6mm Toughened Louvre Blade",Glass_Keys,0)),0)+INDEX(Hardware_Vals,MATCH("Carports &amp; Canopies",Hardware_Keys,0))</f>
        <v>58100</v>
      </c>
      <c r="Q1554" s="27" t="n">
        <f aca="false">INDEX(Markup_Vals,MATCH("Outdoor Living &amp; Shading",MarkupCat_Keys,0))</f>
        <v>0.45</v>
      </c>
      <c r="R1554" s="28" t="n">
        <f aca="false">P1554*(1+Q1554)</f>
        <v>84245</v>
      </c>
      <c r="S1554" s="28" t="n">
        <f aca="false">R1554*(1-TradeDiscount)</f>
        <v>74135.6</v>
      </c>
      <c r="T1554" s="28" t="n">
        <f aca="false">R1554*(1-VolumeDiscount)</f>
        <v>67396</v>
      </c>
    </row>
    <row r="1555" customFormat="false" ht="15" hidden="false" customHeight="false" outlineLevel="0" collapsed="false">
      <c r="A1555" s="29" t="s">
        <v>3408</v>
      </c>
      <c r="B1555" s="29" t="s">
        <v>121</v>
      </c>
      <c r="C1555" s="29" t="s">
        <v>56</v>
      </c>
      <c r="D1555" s="29" t="s">
        <v>3409</v>
      </c>
      <c r="E1555" s="29" t="s">
        <v>3385</v>
      </c>
      <c r="F1555" s="29" t="s">
        <v>3378</v>
      </c>
      <c r="G1555" s="29" t="s">
        <v>35</v>
      </c>
      <c r="H1555" s="29" t="s">
        <v>3148</v>
      </c>
      <c r="I1555" s="29" t="s">
        <v>190</v>
      </c>
      <c r="J1555" s="29" t="s">
        <v>191</v>
      </c>
      <c r="K1555" s="29" t="s">
        <v>298</v>
      </c>
      <c r="L1555" s="29" t="s">
        <v>32</v>
      </c>
      <c r="M1555" s="29" t="n">
        <v>6000</v>
      </c>
      <c r="N1555" s="29" t="n">
        <v>7000</v>
      </c>
      <c r="O1555" s="29"/>
      <c r="P1555" s="30" t="n">
        <f aca="false">(M1555*N1555/1000000)*INDEX(AreaRate_Vals,MATCH(C1555,AreaRate_Keys,0))+IF(H1555="Aluminium Louvre Blade",(M1555*N1555/1000000)*INDEX(Glass_Vals,MATCH("6mm Toughened Louvre Blade",Glass_Keys,0)),0)+INDEX(Hardware_Vals,MATCH("Carports &amp; Canopies",Hardware_Keys,0))</f>
        <v>67700</v>
      </c>
      <c r="Q1555" s="31" t="n">
        <f aca="false">INDEX(Markup_Vals,MATCH("Outdoor Living &amp; Shading",MarkupCat_Keys,0))</f>
        <v>0.45</v>
      </c>
      <c r="R1555" s="32" t="n">
        <f aca="false">P1555*(1+Q1555)</f>
        <v>98165</v>
      </c>
      <c r="S1555" s="32" t="n">
        <f aca="false">R1555*(1-TradeDiscount)</f>
        <v>86385.2</v>
      </c>
      <c r="T1555" s="32" t="n">
        <f aca="false">R1555*(1-VolumeDiscount)</f>
        <v>78532</v>
      </c>
    </row>
    <row r="1556" customFormat="false" ht="15" hidden="false" customHeight="false" outlineLevel="0" collapsed="false">
      <c r="A1556" s="25" t="s">
        <v>3410</v>
      </c>
      <c r="B1556" s="25" t="s">
        <v>121</v>
      </c>
      <c r="C1556" s="25" t="s">
        <v>56</v>
      </c>
      <c r="D1556" s="25" t="s">
        <v>3411</v>
      </c>
      <c r="E1556" s="25" t="s">
        <v>3385</v>
      </c>
      <c r="F1556" s="25" t="s">
        <v>3378</v>
      </c>
      <c r="G1556" s="25" t="s">
        <v>36</v>
      </c>
      <c r="H1556" s="25" t="s">
        <v>3148</v>
      </c>
      <c r="I1556" s="25" t="s">
        <v>190</v>
      </c>
      <c r="J1556" s="25" t="s">
        <v>191</v>
      </c>
      <c r="K1556" s="25" t="s">
        <v>298</v>
      </c>
      <c r="L1556" s="25" t="s">
        <v>32</v>
      </c>
      <c r="M1556" s="25" t="n">
        <v>6000</v>
      </c>
      <c r="N1556" s="25" t="n">
        <v>7000</v>
      </c>
      <c r="O1556" s="25"/>
      <c r="P1556" s="26" t="n">
        <f aca="false">(M1556*N1556/1000000)*INDEX(AreaRate_Vals,MATCH(C1556,AreaRate_Keys,0))+IF(H1556="Aluminium Louvre Blade",(M1556*N1556/1000000)*INDEX(Glass_Vals,MATCH("6mm Toughened Louvre Blade",Glass_Keys,0)),0)+INDEX(Hardware_Vals,MATCH("Carports &amp; Canopies",Hardware_Keys,0))</f>
        <v>67700</v>
      </c>
      <c r="Q1556" s="27" t="n">
        <f aca="false">INDEX(Markup_Vals,MATCH("Outdoor Living &amp; Shading",MarkupCat_Keys,0))</f>
        <v>0.45</v>
      </c>
      <c r="R1556" s="28" t="n">
        <f aca="false">P1556*(1+Q1556)</f>
        <v>98165</v>
      </c>
      <c r="S1556" s="28" t="n">
        <f aca="false">R1556*(1-TradeDiscount)</f>
        <v>86385.2</v>
      </c>
      <c r="T1556" s="28" t="n">
        <f aca="false">R1556*(1-VolumeDiscount)</f>
        <v>78532</v>
      </c>
    </row>
    <row r="1557" customFormat="false" ht="15" hidden="false" customHeight="false" outlineLevel="0" collapsed="false">
      <c r="A1557" s="29" t="s">
        <v>3412</v>
      </c>
      <c r="B1557" s="29" t="s">
        <v>121</v>
      </c>
      <c r="C1557" s="29" t="s">
        <v>56</v>
      </c>
      <c r="D1557" s="29" t="s">
        <v>3413</v>
      </c>
      <c r="E1557" s="29" t="s">
        <v>3385</v>
      </c>
      <c r="F1557" s="29" t="s">
        <v>3378</v>
      </c>
      <c r="G1557" s="29" t="s">
        <v>37</v>
      </c>
      <c r="H1557" s="29" t="s">
        <v>3148</v>
      </c>
      <c r="I1557" s="29" t="s">
        <v>190</v>
      </c>
      <c r="J1557" s="29" t="s">
        <v>191</v>
      </c>
      <c r="K1557" s="29" t="s">
        <v>298</v>
      </c>
      <c r="L1557" s="29" t="s">
        <v>32</v>
      </c>
      <c r="M1557" s="29" t="n">
        <v>6000</v>
      </c>
      <c r="N1557" s="29" t="n">
        <v>7000</v>
      </c>
      <c r="O1557" s="29"/>
      <c r="P1557" s="30" t="n">
        <f aca="false">(M1557*N1557/1000000)*INDEX(AreaRate_Vals,MATCH(C1557,AreaRate_Keys,0))+IF(H1557="Aluminium Louvre Blade",(M1557*N1557/1000000)*INDEX(Glass_Vals,MATCH("6mm Toughened Louvre Blade",Glass_Keys,0)),0)+INDEX(Hardware_Vals,MATCH("Carports &amp; Canopies",Hardware_Keys,0))</f>
        <v>67700</v>
      </c>
      <c r="Q1557" s="31" t="n">
        <f aca="false">INDEX(Markup_Vals,MATCH("Outdoor Living &amp; Shading",MarkupCat_Keys,0))</f>
        <v>0.45</v>
      </c>
      <c r="R1557" s="32" t="n">
        <f aca="false">P1557*(1+Q1557)</f>
        <v>98165</v>
      </c>
      <c r="S1557" s="32" t="n">
        <f aca="false">R1557*(1-TradeDiscount)</f>
        <v>86385.2</v>
      </c>
      <c r="T1557" s="32" t="n">
        <f aca="false">R1557*(1-VolumeDiscount)</f>
        <v>78532</v>
      </c>
    </row>
    <row r="1558" customFormat="false" ht="15" hidden="false" customHeight="false" outlineLevel="0" collapsed="false">
      <c r="A1558" s="25" t="s">
        <v>3414</v>
      </c>
      <c r="B1558" s="25" t="s">
        <v>121</v>
      </c>
      <c r="C1558" s="25" t="s">
        <v>56</v>
      </c>
      <c r="D1558" s="25" t="s">
        <v>3415</v>
      </c>
      <c r="E1558" s="25" t="s">
        <v>3416</v>
      </c>
      <c r="F1558" s="25" t="s">
        <v>3350</v>
      </c>
      <c r="G1558" s="25" t="s">
        <v>35</v>
      </c>
      <c r="H1558" s="25" t="s">
        <v>3148</v>
      </c>
      <c r="I1558" s="25" t="s">
        <v>190</v>
      </c>
      <c r="J1558" s="25" t="s">
        <v>191</v>
      </c>
      <c r="K1558" s="25" t="s">
        <v>298</v>
      </c>
      <c r="L1558" s="25" t="s">
        <v>32</v>
      </c>
      <c r="M1558" s="25" t="n">
        <v>3000</v>
      </c>
      <c r="N1558" s="25" t="n">
        <v>5500</v>
      </c>
      <c r="O1558" s="25"/>
      <c r="P1558" s="26" t="n">
        <f aca="false">(M1558*N1558/1000000)*INDEX(AreaRate_Vals,MATCH(C1558,AreaRate_Keys,0))+IF(H1558="Aluminium Louvre Blade",(M1558*N1558/1000000)*INDEX(Glass_Vals,MATCH("6mm Toughened Louvre Blade",Glass_Keys,0)),0)+INDEX(Hardware_Vals,MATCH("Carports &amp; Canopies",Hardware_Keys,0))</f>
        <v>26900</v>
      </c>
      <c r="Q1558" s="27" t="n">
        <f aca="false">INDEX(Markup_Vals,MATCH("Outdoor Living &amp; Shading",MarkupCat_Keys,0))</f>
        <v>0.45</v>
      </c>
      <c r="R1558" s="28" t="n">
        <f aca="false">P1558*(1+Q1558)</f>
        <v>39005</v>
      </c>
      <c r="S1558" s="28" t="n">
        <f aca="false">R1558*(1-TradeDiscount)</f>
        <v>34324.4</v>
      </c>
      <c r="T1558" s="28" t="n">
        <f aca="false">R1558*(1-VolumeDiscount)</f>
        <v>31204</v>
      </c>
    </row>
    <row r="1559" customFormat="false" ht="15" hidden="false" customHeight="false" outlineLevel="0" collapsed="false">
      <c r="A1559" s="29" t="s">
        <v>3417</v>
      </c>
      <c r="B1559" s="29" t="s">
        <v>121</v>
      </c>
      <c r="C1559" s="29" t="s">
        <v>56</v>
      </c>
      <c r="D1559" s="29" t="s">
        <v>3418</v>
      </c>
      <c r="E1559" s="29" t="s">
        <v>3416</v>
      </c>
      <c r="F1559" s="29" t="s">
        <v>3350</v>
      </c>
      <c r="G1559" s="29" t="s">
        <v>36</v>
      </c>
      <c r="H1559" s="29" t="s">
        <v>3148</v>
      </c>
      <c r="I1559" s="29" t="s">
        <v>190</v>
      </c>
      <c r="J1559" s="29" t="s">
        <v>191</v>
      </c>
      <c r="K1559" s="29" t="s">
        <v>298</v>
      </c>
      <c r="L1559" s="29" t="s">
        <v>32</v>
      </c>
      <c r="M1559" s="29" t="n">
        <v>3000</v>
      </c>
      <c r="N1559" s="29" t="n">
        <v>5500</v>
      </c>
      <c r="O1559" s="29"/>
      <c r="P1559" s="30" t="n">
        <f aca="false">(M1559*N1559/1000000)*INDEX(AreaRate_Vals,MATCH(C1559,AreaRate_Keys,0))+IF(H1559="Aluminium Louvre Blade",(M1559*N1559/1000000)*INDEX(Glass_Vals,MATCH("6mm Toughened Louvre Blade",Glass_Keys,0)),0)+INDEX(Hardware_Vals,MATCH("Carports &amp; Canopies",Hardware_Keys,0))</f>
        <v>26900</v>
      </c>
      <c r="Q1559" s="31" t="n">
        <f aca="false">INDEX(Markup_Vals,MATCH("Outdoor Living &amp; Shading",MarkupCat_Keys,0))</f>
        <v>0.45</v>
      </c>
      <c r="R1559" s="32" t="n">
        <f aca="false">P1559*(1+Q1559)</f>
        <v>39005</v>
      </c>
      <c r="S1559" s="32" t="n">
        <f aca="false">R1559*(1-TradeDiscount)</f>
        <v>34324.4</v>
      </c>
      <c r="T1559" s="32" t="n">
        <f aca="false">R1559*(1-VolumeDiscount)</f>
        <v>31204</v>
      </c>
    </row>
    <row r="1560" customFormat="false" ht="15" hidden="false" customHeight="false" outlineLevel="0" collapsed="false">
      <c r="A1560" s="25" t="s">
        <v>3419</v>
      </c>
      <c r="B1560" s="25" t="s">
        <v>121</v>
      </c>
      <c r="C1560" s="25" t="s">
        <v>56</v>
      </c>
      <c r="D1560" s="25" t="s">
        <v>3420</v>
      </c>
      <c r="E1560" s="25" t="s">
        <v>3416</v>
      </c>
      <c r="F1560" s="25" t="s">
        <v>3350</v>
      </c>
      <c r="G1560" s="25" t="s">
        <v>37</v>
      </c>
      <c r="H1560" s="25" t="s">
        <v>3148</v>
      </c>
      <c r="I1560" s="25" t="s">
        <v>190</v>
      </c>
      <c r="J1560" s="25" t="s">
        <v>191</v>
      </c>
      <c r="K1560" s="25" t="s">
        <v>298</v>
      </c>
      <c r="L1560" s="25" t="s">
        <v>32</v>
      </c>
      <c r="M1560" s="25" t="n">
        <v>3000</v>
      </c>
      <c r="N1560" s="25" t="n">
        <v>5500</v>
      </c>
      <c r="O1560" s="25"/>
      <c r="P1560" s="26" t="n">
        <f aca="false">(M1560*N1560/1000000)*INDEX(AreaRate_Vals,MATCH(C1560,AreaRate_Keys,0))+IF(H1560="Aluminium Louvre Blade",(M1560*N1560/1000000)*INDEX(Glass_Vals,MATCH("6mm Toughened Louvre Blade",Glass_Keys,0)),0)+INDEX(Hardware_Vals,MATCH("Carports &amp; Canopies",Hardware_Keys,0))</f>
        <v>26900</v>
      </c>
      <c r="Q1560" s="27" t="n">
        <f aca="false">INDEX(Markup_Vals,MATCH("Outdoor Living &amp; Shading",MarkupCat_Keys,0))</f>
        <v>0.45</v>
      </c>
      <c r="R1560" s="28" t="n">
        <f aca="false">P1560*(1+Q1560)</f>
        <v>39005</v>
      </c>
      <c r="S1560" s="28" t="n">
        <f aca="false">R1560*(1-TradeDiscount)</f>
        <v>34324.4</v>
      </c>
      <c r="T1560" s="28" t="n">
        <f aca="false">R1560*(1-VolumeDiscount)</f>
        <v>31204</v>
      </c>
    </row>
    <row r="1561" customFormat="false" ht="15" hidden="false" customHeight="false" outlineLevel="0" collapsed="false">
      <c r="A1561" s="29" t="s">
        <v>3421</v>
      </c>
      <c r="B1561" s="29" t="s">
        <v>121</v>
      </c>
      <c r="C1561" s="29" t="s">
        <v>56</v>
      </c>
      <c r="D1561" s="29" t="s">
        <v>3422</v>
      </c>
      <c r="E1561" s="29" t="s">
        <v>3416</v>
      </c>
      <c r="F1561" s="29" t="s">
        <v>3357</v>
      </c>
      <c r="G1561" s="29" t="s">
        <v>35</v>
      </c>
      <c r="H1561" s="29" t="s">
        <v>3148</v>
      </c>
      <c r="I1561" s="29" t="s">
        <v>190</v>
      </c>
      <c r="J1561" s="29" t="s">
        <v>191</v>
      </c>
      <c r="K1561" s="29" t="s">
        <v>298</v>
      </c>
      <c r="L1561" s="29" t="s">
        <v>32</v>
      </c>
      <c r="M1561" s="29" t="n">
        <v>3000</v>
      </c>
      <c r="N1561" s="29" t="n">
        <v>6000</v>
      </c>
      <c r="O1561" s="29"/>
      <c r="P1561" s="30" t="n">
        <f aca="false">(M1561*N1561/1000000)*INDEX(AreaRate_Vals,MATCH(C1561,AreaRate_Keys,0))+IF(H1561="Aluminium Louvre Blade",(M1561*N1561/1000000)*INDEX(Glass_Vals,MATCH("6mm Toughened Louvre Blade",Glass_Keys,0)),0)+INDEX(Hardware_Vals,MATCH("Carports &amp; Canopies",Hardware_Keys,0))</f>
        <v>29300</v>
      </c>
      <c r="Q1561" s="31" t="n">
        <f aca="false">INDEX(Markup_Vals,MATCH("Outdoor Living &amp; Shading",MarkupCat_Keys,0))</f>
        <v>0.45</v>
      </c>
      <c r="R1561" s="32" t="n">
        <f aca="false">P1561*(1+Q1561)</f>
        <v>42485</v>
      </c>
      <c r="S1561" s="32" t="n">
        <f aca="false">R1561*(1-TradeDiscount)</f>
        <v>37386.8</v>
      </c>
      <c r="T1561" s="32" t="n">
        <f aca="false">R1561*(1-VolumeDiscount)</f>
        <v>33988</v>
      </c>
    </row>
    <row r="1562" customFormat="false" ht="15" hidden="false" customHeight="false" outlineLevel="0" collapsed="false">
      <c r="A1562" s="25" t="s">
        <v>3423</v>
      </c>
      <c r="B1562" s="25" t="s">
        <v>121</v>
      </c>
      <c r="C1562" s="25" t="s">
        <v>56</v>
      </c>
      <c r="D1562" s="25" t="s">
        <v>3424</v>
      </c>
      <c r="E1562" s="25" t="s">
        <v>3416</v>
      </c>
      <c r="F1562" s="25" t="s">
        <v>3357</v>
      </c>
      <c r="G1562" s="25" t="s">
        <v>36</v>
      </c>
      <c r="H1562" s="25" t="s">
        <v>3148</v>
      </c>
      <c r="I1562" s="25" t="s">
        <v>190</v>
      </c>
      <c r="J1562" s="25" t="s">
        <v>191</v>
      </c>
      <c r="K1562" s="25" t="s">
        <v>298</v>
      </c>
      <c r="L1562" s="25" t="s">
        <v>32</v>
      </c>
      <c r="M1562" s="25" t="n">
        <v>3000</v>
      </c>
      <c r="N1562" s="25" t="n">
        <v>6000</v>
      </c>
      <c r="O1562" s="25"/>
      <c r="P1562" s="26" t="n">
        <f aca="false">(M1562*N1562/1000000)*INDEX(AreaRate_Vals,MATCH(C1562,AreaRate_Keys,0))+IF(H1562="Aluminium Louvre Blade",(M1562*N1562/1000000)*INDEX(Glass_Vals,MATCH("6mm Toughened Louvre Blade",Glass_Keys,0)),0)+INDEX(Hardware_Vals,MATCH("Carports &amp; Canopies",Hardware_Keys,0))</f>
        <v>29300</v>
      </c>
      <c r="Q1562" s="27" t="n">
        <f aca="false">INDEX(Markup_Vals,MATCH("Outdoor Living &amp; Shading",MarkupCat_Keys,0))</f>
        <v>0.45</v>
      </c>
      <c r="R1562" s="28" t="n">
        <f aca="false">P1562*(1+Q1562)</f>
        <v>42485</v>
      </c>
      <c r="S1562" s="28" t="n">
        <f aca="false">R1562*(1-TradeDiscount)</f>
        <v>37386.8</v>
      </c>
      <c r="T1562" s="28" t="n">
        <f aca="false">R1562*(1-VolumeDiscount)</f>
        <v>33988</v>
      </c>
    </row>
    <row r="1563" customFormat="false" ht="15" hidden="false" customHeight="false" outlineLevel="0" collapsed="false">
      <c r="A1563" s="29" t="s">
        <v>3425</v>
      </c>
      <c r="B1563" s="29" t="s">
        <v>121</v>
      </c>
      <c r="C1563" s="29" t="s">
        <v>56</v>
      </c>
      <c r="D1563" s="29" t="s">
        <v>3426</v>
      </c>
      <c r="E1563" s="29" t="s">
        <v>3416</v>
      </c>
      <c r="F1563" s="29" t="s">
        <v>3357</v>
      </c>
      <c r="G1563" s="29" t="s">
        <v>37</v>
      </c>
      <c r="H1563" s="29" t="s">
        <v>3148</v>
      </c>
      <c r="I1563" s="29" t="s">
        <v>190</v>
      </c>
      <c r="J1563" s="29" t="s">
        <v>191</v>
      </c>
      <c r="K1563" s="29" t="s">
        <v>298</v>
      </c>
      <c r="L1563" s="29" t="s">
        <v>32</v>
      </c>
      <c r="M1563" s="29" t="n">
        <v>3000</v>
      </c>
      <c r="N1563" s="29" t="n">
        <v>6000</v>
      </c>
      <c r="O1563" s="29"/>
      <c r="P1563" s="30" t="n">
        <f aca="false">(M1563*N1563/1000000)*INDEX(AreaRate_Vals,MATCH(C1563,AreaRate_Keys,0))+IF(H1563="Aluminium Louvre Blade",(M1563*N1563/1000000)*INDEX(Glass_Vals,MATCH("6mm Toughened Louvre Blade",Glass_Keys,0)),0)+INDEX(Hardware_Vals,MATCH("Carports &amp; Canopies",Hardware_Keys,0))</f>
        <v>29300</v>
      </c>
      <c r="Q1563" s="31" t="n">
        <f aca="false">INDEX(Markup_Vals,MATCH("Outdoor Living &amp; Shading",MarkupCat_Keys,0))</f>
        <v>0.45</v>
      </c>
      <c r="R1563" s="32" t="n">
        <f aca="false">P1563*(1+Q1563)</f>
        <v>42485</v>
      </c>
      <c r="S1563" s="32" t="n">
        <f aca="false">R1563*(1-TradeDiscount)</f>
        <v>37386.8</v>
      </c>
      <c r="T1563" s="32" t="n">
        <f aca="false">R1563*(1-VolumeDiscount)</f>
        <v>33988</v>
      </c>
    </row>
    <row r="1564" customFormat="false" ht="15" hidden="false" customHeight="false" outlineLevel="0" collapsed="false">
      <c r="A1564" s="25" t="s">
        <v>3427</v>
      </c>
      <c r="B1564" s="25" t="s">
        <v>121</v>
      </c>
      <c r="C1564" s="25" t="s">
        <v>56</v>
      </c>
      <c r="D1564" s="25" t="s">
        <v>3428</v>
      </c>
      <c r="E1564" s="25" t="s">
        <v>3416</v>
      </c>
      <c r="F1564" s="25" t="s">
        <v>3364</v>
      </c>
      <c r="G1564" s="25" t="s">
        <v>35</v>
      </c>
      <c r="H1564" s="25" t="s">
        <v>3148</v>
      </c>
      <c r="I1564" s="25" t="s">
        <v>190</v>
      </c>
      <c r="J1564" s="25" t="s">
        <v>191</v>
      </c>
      <c r="K1564" s="25" t="s">
        <v>298</v>
      </c>
      <c r="L1564" s="25" t="s">
        <v>32</v>
      </c>
      <c r="M1564" s="25" t="n">
        <v>5500</v>
      </c>
      <c r="N1564" s="25" t="n">
        <v>5500</v>
      </c>
      <c r="O1564" s="25"/>
      <c r="P1564" s="26" t="n">
        <f aca="false">(M1564*N1564/1000000)*INDEX(AreaRate_Vals,MATCH(C1564,AreaRate_Keys,0))+IF(H1564="Aluminium Louvre Blade",(M1564*N1564/1000000)*INDEX(Glass_Vals,MATCH("6mm Toughened Louvre Blade",Glass_Keys,0)),0)+INDEX(Hardware_Vals,MATCH("Carports &amp; Canopies",Hardware_Keys,0))</f>
        <v>48900</v>
      </c>
      <c r="Q1564" s="27" t="n">
        <f aca="false">INDEX(Markup_Vals,MATCH("Outdoor Living &amp; Shading",MarkupCat_Keys,0))</f>
        <v>0.45</v>
      </c>
      <c r="R1564" s="28" t="n">
        <f aca="false">P1564*(1+Q1564)</f>
        <v>70905</v>
      </c>
      <c r="S1564" s="28" t="n">
        <f aca="false">R1564*(1-TradeDiscount)</f>
        <v>62396.4</v>
      </c>
      <c r="T1564" s="28" t="n">
        <f aca="false">R1564*(1-VolumeDiscount)</f>
        <v>56724</v>
      </c>
    </row>
    <row r="1565" customFormat="false" ht="15" hidden="false" customHeight="false" outlineLevel="0" collapsed="false">
      <c r="A1565" s="29" t="s">
        <v>3429</v>
      </c>
      <c r="B1565" s="29" t="s">
        <v>121</v>
      </c>
      <c r="C1565" s="29" t="s">
        <v>56</v>
      </c>
      <c r="D1565" s="29" t="s">
        <v>3430</v>
      </c>
      <c r="E1565" s="29" t="s">
        <v>3416</v>
      </c>
      <c r="F1565" s="29" t="s">
        <v>3364</v>
      </c>
      <c r="G1565" s="29" t="s">
        <v>36</v>
      </c>
      <c r="H1565" s="29" t="s">
        <v>3148</v>
      </c>
      <c r="I1565" s="29" t="s">
        <v>190</v>
      </c>
      <c r="J1565" s="29" t="s">
        <v>191</v>
      </c>
      <c r="K1565" s="29" t="s">
        <v>298</v>
      </c>
      <c r="L1565" s="29" t="s">
        <v>32</v>
      </c>
      <c r="M1565" s="29" t="n">
        <v>5500</v>
      </c>
      <c r="N1565" s="29" t="n">
        <v>5500</v>
      </c>
      <c r="O1565" s="29"/>
      <c r="P1565" s="30" t="n">
        <f aca="false">(M1565*N1565/1000000)*INDEX(AreaRate_Vals,MATCH(C1565,AreaRate_Keys,0))+IF(H1565="Aluminium Louvre Blade",(M1565*N1565/1000000)*INDEX(Glass_Vals,MATCH("6mm Toughened Louvre Blade",Glass_Keys,0)),0)+INDEX(Hardware_Vals,MATCH("Carports &amp; Canopies",Hardware_Keys,0))</f>
        <v>48900</v>
      </c>
      <c r="Q1565" s="31" t="n">
        <f aca="false">INDEX(Markup_Vals,MATCH("Outdoor Living &amp; Shading",MarkupCat_Keys,0))</f>
        <v>0.45</v>
      </c>
      <c r="R1565" s="32" t="n">
        <f aca="false">P1565*(1+Q1565)</f>
        <v>70905</v>
      </c>
      <c r="S1565" s="32" t="n">
        <f aca="false">R1565*(1-TradeDiscount)</f>
        <v>62396.4</v>
      </c>
      <c r="T1565" s="32" t="n">
        <f aca="false">R1565*(1-VolumeDiscount)</f>
        <v>56724</v>
      </c>
    </row>
    <row r="1566" customFormat="false" ht="15" hidden="false" customHeight="false" outlineLevel="0" collapsed="false">
      <c r="A1566" s="25" t="s">
        <v>3431</v>
      </c>
      <c r="B1566" s="25" t="s">
        <v>121</v>
      </c>
      <c r="C1566" s="25" t="s">
        <v>56</v>
      </c>
      <c r="D1566" s="25" t="s">
        <v>3432</v>
      </c>
      <c r="E1566" s="25" t="s">
        <v>3416</v>
      </c>
      <c r="F1566" s="25" t="s">
        <v>3364</v>
      </c>
      <c r="G1566" s="25" t="s">
        <v>37</v>
      </c>
      <c r="H1566" s="25" t="s">
        <v>3148</v>
      </c>
      <c r="I1566" s="25" t="s">
        <v>190</v>
      </c>
      <c r="J1566" s="25" t="s">
        <v>191</v>
      </c>
      <c r="K1566" s="25" t="s">
        <v>298</v>
      </c>
      <c r="L1566" s="25" t="s">
        <v>32</v>
      </c>
      <c r="M1566" s="25" t="n">
        <v>5500</v>
      </c>
      <c r="N1566" s="25" t="n">
        <v>5500</v>
      </c>
      <c r="O1566" s="25"/>
      <c r="P1566" s="26" t="n">
        <f aca="false">(M1566*N1566/1000000)*INDEX(AreaRate_Vals,MATCH(C1566,AreaRate_Keys,0))+IF(H1566="Aluminium Louvre Blade",(M1566*N1566/1000000)*INDEX(Glass_Vals,MATCH("6mm Toughened Louvre Blade",Glass_Keys,0)),0)+INDEX(Hardware_Vals,MATCH("Carports &amp; Canopies",Hardware_Keys,0))</f>
        <v>48900</v>
      </c>
      <c r="Q1566" s="27" t="n">
        <f aca="false">INDEX(Markup_Vals,MATCH("Outdoor Living &amp; Shading",MarkupCat_Keys,0))</f>
        <v>0.45</v>
      </c>
      <c r="R1566" s="28" t="n">
        <f aca="false">P1566*(1+Q1566)</f>
        <v>70905</v>
      </c>
      <c r="S1566" s="28" t="n">
        <f aca="false">R1566*(1-TradeDiscount)</f>
        <v>62396.4</v>
      </c>
      <c r="T1566" s="28" t="n">
        <f aca="false">R1566*(1-VolumeDiscount)</f>
        <v>56724</v>
      </c>
    </row>
    <row r="1567" customFormat="false" ht="15" hidden="false" customHeight="false" outlineLevel="0" collapsed="false">
      <c r="A1567" s="29" t="s">
        <v>3433</v>
      </c>
      <c r="B1567" s="29" t="s">
        <v>121</v>
      </c>
      <c r="C1567" s="29" t="s">
        <v>56</v>
      </c>
      <c r="D1567" s="29" t="s">
        <v>3434</v>
      </c>
      <c r="E1567" s="29" t="s">
        <v>3416</v>
      </c>
      <c r="F1567" s="29" t="s">
        <v>3371</v>
      </c>
      <c r="G1567" s="29" t="s">
        <v>35</v>
      </c>
      <c r="H1567" s="29" t="s">
        <v>3148</v>
      </c>
      <c r="I1567" s="29" t="s">
        <v>190</v>
      </c>
      <c r="J1567" s="29" t="s">
        <v>191</v>
      </c>
      <c r="K1567" s="29" t="s">
        <v>298</v>
      </c>
      <c r="L1567" s="29" t="s">
        <v>32</v>
      </c>
      <c r="M1567" s="29" t="n">
        <v>6000</v>
      </c>
      <c r="N1567" s="29" t="n">
        <v>6000</v>
      </c>
      <c r="O1567" s="29"/>
      <c r="P1567" s="30" t="n">
        <f aca="false">(M1567*N1567/1000000)*INDEX(AreaRate_Vals,MATCH(C1567,AreaRate_Keys,0))+IF(H1567="Aluminium Louvre Blade",(M1567*N1567/1000000)*INDEX(Glass_Vals,MATCH("6mm Toughened Louvre Blade",Glass_Keys,0)),0)+INDEX(Hardware_Vals,MATCH("Carports &amp; Canopies",Hardware_Keys,0))</f>
        <v>58100</v>
      </c>
      <c r="Q1567" s="31" t="n">
        <f aca="false">INDEX(Markup_Vals,MATCH("Outdoor Living &amp; Shading",MarkupCat_Keys,0))</f>
        <v>0.45</v>
      </c>
      <c r="R1567" s="32" t="n">
        <f aca="false">P1567*(1+Q1567)</f>
        <v>84245</v>
      </c>
      <c r="S1567" s="32" t="n">
        <f aca="false">R1567*(1-TradeDiscount)</f>
        <v>74135.6</v>
      </c>
      <c r="T1567" s="32" t="n">
        <f aca="false">R1567*(1-VolumeDiscount)</f>
        <v>67396</v>
      </c>
    </row>
    <row r="1568" customFormat="false" ht="15" hidden="false" customHeight="false" outlineLevel="0" collapsed="false">
      <c r="A1568" s="25" t="s">
        <v>3435</v>
      </c>
      <c r="B1568" s="25" t="s">
        <v>121</v>
      </c>
      <c r="C1568" s="25" t="s">
        <v>56</v>
      </c>
      <c r="D1568" s="25" t="s">
        <v>3436</v>
      </c>
      <c r="E1568" s="25" t="s">
        <v>3416</v>
      </c>
      <c r="F1568" s="25" t="s">
        <v>3371</v>
      </c>
      <c r="G1568" s="25" t="s">
        <v>36</v>
      </c>
      <c r="H1568" s="25" t="s">
        <v>3148</v>
      </c>
      <c r="I1568" s="25" t="s">
        <v>190</v>
      </c>
      <c r="J1568" s="25" t="s">
        <v>191</v>
      </c>
      <c r="K1568" s="25" t="s">
        <v>298</v>
      </c>
      <c r="L1568" s="25" t="s">
        <v>32</v>
      </c>
      <c r="M1568" s="25" t="n">
        <v>6000</v>
      </c>
      <c r="N1568" s="25" t="n">
        <v>6000</v>
      </c>
      <c r="O1568" s="25"/>
      <c r="P1568" s="26" t="n">
        <f aca="false">(M1568*N1568/1000000)*INDEX(AreaRate_Vals,MATCH(C1568,AreaRate_Keys,0))+IF(H1568="Aluminium Louvre Blade",(M1568*N1568/1000000)*INDEX(Glass_Vals,MATCH("6mm Toughened Louvre Blade",Glass_Keys,0)),0)+INDEX(Hardware_Vals,MATCH("Carports &amp; Canopies",Hardware_Keys,0))</f>
        <v>58100</v>
      </c>
      <c r="Q1568" s="27" t="n">
        <f aca="false">INDEX(Markup_Vals,MATCH("Outdoor Living &amp; Shading",MarkupCat_Keys,0))</f>
        <v>0.45</v>
      </c>
      <c r="R1568" s="28" t="n">
        <f aca="false">P1568*(1+Q1568)</f>
        <v>84245</v>
      </c>
      <c r="S1568" s="28" t="n">
        <f aca="false">R1568*(1-TradeDiscount)</f>
        <v>74135.6</v>
      </c>
      <c r="T1568" s="28" t="n">
        <f aca="false">R1568*(1-VolumeDiscount)</f>
        <v>67396</v>
      </c>
    </row>
    <row r="1569" customFormat="false" ht="15" hidden="false" customHeight="false" outlineLevel="0" collapsed="false">
      <c r="A1569" s="29" t="s">
        <v>3437</v>
      </c>
      <c r="B1569" s="29" t="s">
        <v>121</v>
      </c>
      <c r="C1569" s="29" t="s">
        <v>56</v>
      </c>
      <c r="D1569" s="29" t="s">
        <v>3438</v>
      </c>
      <c r="E1569" s="29" t="s">
        <v>3416</v>
      </c>
      <c r="F1569" s="29" t="s">
        <v>3371</v>
      </c>
      <c r="G1569" s="29" t="s">
        <v>37</v>
      </c>
      <c r="H1569" s="29" t="s">
        <v>3148</v>
      </c>
      <c r="I1569" s="29" t="s">
        <v>190</v>
      </c>
      <c r="J1569" s="29" t="s">
        <v>191</v>
      </c>
      <c r="K1569" s="29" t="s">
        <v>298</v>
      </c>
      <c r="L1569" s="29" t="s">
        <v>32</v>
      </c>
      <c r="M1569" s="29" t="n">
        <v>6000</v>
      </c>
      <c r="N1569" s="29" t="n">
        <v>6000</v>
      </c>
      <c r="O1569" s="29"/>
      <c r="P1569" s="30" t="n">
        <f aca="false">(M1569*N1569/1000000)*INDEX(AreaRate_Vals,MATCH(C1569,AreaRate_Keys,0))+IF(H1569="Aluminium Louvre Blade",(M1569*N1569/1000000)*INDEX(Glass_Vals,MATCH("6mm Toughened Louvre Blade",Glass_Keys,0)),0)+INDEX(Hardware_Vals,MATCH("Carports &amp; Canopies",Hardware_Keys,0))</f>
        <v>58100</v>
      </c>
      <c r="Q1569" s="31" t="n">
        <f aca="false">INDEX(Markup_Vals,MATCH("Outdoor Living &amp; Shading",MarkupCat_Keys,0))</f>
        <v>0.45</v>
      </c>
      <c r="R1569" s="32" t="n">
        <f aca="false">P1569*(1+Q1569)</f>
        <v>84245</v>
      </c>
      <c r="S1569" s="32" t="n">
        <f aca="false">R1569*(1-TradeDiscount)</f>
        <v>74135.6</v>
      </c>
      <c r="T1569" s="32" t="n">
        <f aca="false">R1569*(1-VolumeDiscount)</f>
        <v>67396</v>
      </c>
    </row>
    <row r="1570" customFormat="false" ht="15" hidden="false" customHeight="false" outlineLevel="0" collapsed="false">
      <c r="A1570" s="25" t="s">
        <v>3439</v>
      </c>
      <c r="B1570" s="25" t="s">
        <v>121</v>
      </c>
      <c r="C1570" s="25" t="s">
        <v>56</v>
      </c>
      <c r="D1570" s="25" t="s">
        <v>3440</v>
      </c>
      <c r="E1570" s="25" t="s">
        <v>3416</v>
      </c>
      <c r="F1570" s="25" t="s">
        <v>3378</v>
      </c>
      <c r="G1570" s="25" t="s">
        <v>35</v>
      </c>
      <c r="H1570" s="25" t="s">
        <v>3148</v>
      </c>
      <c r="I1570" s="25" t="s">
        <v>190</v>
      </c>
      <c r="J1570" s="25" t="s">
        <v>191</v>
      </c>
      <c r="K1570" s="25" t="s">
        <v>298</v>
      </c>
      <c r="L1570" s="25" t="s">
        <v>32</v>
      </c>
      <c r="M1570" s="25" t="n">
        <v>6000</v>
      </c>
      <c r="N1570" s="25" t="n">
        <v>7000</v>
      </c>
      <c r="O1570" s="25"/>
      <c r="P1570" s="26" t="n">
        <f aca="false">(M1570*N1570/1000000)*INDEX(AreaRate_Vals,MATCH(C1570,AreaRate_Keys,0))+IF(H1570="Aluminium Louvre Blade",(M1570*N1570/1000000)*INDEX(Glass_Vals,MATCH("6mm Toughened Louvre Blade",Glass_Keys,0)),0)+INDEX(Hardware_Vals,MATCH("Carports &amp; Canopies",Hardware_Keys,0))</f>
        <v>67700</v>
      </c>
      <c r="Q1570" s="27" t="n">
        <f aca="false">INDEX(Markup_Vals,MATCH("Outdoor Living &amp; Shading",MarkupCat_Keys,0))</f>
        <v>0.45</v>
      </c>
      <c r="R1570" s="28" t="n">
        <f aca="false">P1570*(1+Q1570)</f>
        <v>98165</v>
      </c>
      <c r="S1570" s="28" t="n">
        <f aca="false">R1570*(1-TradeDiscount)</f>
        <v>86385.2</v>
      </c>
      <c r="T1570" s="28" t="n">
        <f aca="false">R1570*(1-VolumeDiscount)</f>
        <v>78532</v>
      </c>
    </row>
    <row r="1571" customFormat="false" ht="15" hidden="false" customHeight="false" outlineLevel="0" collapsed="false">
      <c r="A1571" s="29" t="s">
        <v>3441</v>
      </c>
      <c r="B1571" s="29" t="s">
        <v>121</v>
      </c>
      <c r="C1571" s="29" t="s">
        <v>56</v>
      </c>
      <c r="D1571" s="29" t="s">
        <v>3442</v>
      </c>
      <c r="E1571" s="29" t="s">
        <v>3416</v>
      </c>
      <c r="F1571" s="29" t="s">
        <v>3378</v>
      </c>
      <c r="G1571" s="29" t="s">
        <v>36</v>
      </c>
      <c r="H1571" s="29" t="s">
        <v>3148</v>
      </c>
      <c r="I1571" s="29" t="s">
        <v>190</v>
      </c>
      <c r="J1571" s="29" t="s">
        <v>191</v>
      </c>
      <c r="K1571" s="29" t="s">
        <v>298</v>
      </c>
      <c r="L1571" s="29" t="s">
        <v>32</v>
      </c>
      <c r="M1571" s="29" t="n">
        <v>6000</v>
      </c>
      <c r="N1571" s="29" t="n">
        <v>7000</v>
      </c>
      <c r="O1571" s="29"/>
      <c r="P1571" s="30" t="n">
        <f aca="false">(M1571*N1571/1000000)*INDEX(AreaRate_Vals,MATCH(C1571,AreaRate_Keys,0))+IF(H1571="Aluminium Louvre Blade",(M1571*N1571/1000000)*INDEX(Glass_Vals,MATCH("6mm Toughened Louvre Blade",Glass_Keys,0)),0)+INDEX(Hardware_Vals,MATCH("Carports &amp; Canopies",Hardware_Keys,0))</f>
        <v>67700</v>
      </c>
      <c r="Q1571" s="31" t="n">
        <f aca="false">INDEX(Markup_Vals,MATCH("Outdoor Living &amp; Shading",MarkupCat_Keys,0))</f>
        <v>0.45</v>
      </c>
      <c r="R1571" s="32" t="n">
        <f aca="false">P1571*(1+Q1571)</f>
        <v>98165</v>
      </c>
      <c r="S1571" s="32" t="n">
        <f aca="false">R1571*(1-TradeDiscount)</f>
        <v>86385.2</v>
      </c>
      <c r="T1571" s="32" t="n">
        <f aca="false">R1571*(1-VolumeDiscount)</f>
        <v>78532</v>
      </c>
    </row>
    <row r="1572" customFormat="false" ht="15" hidden="false" customHeight="false" outlineLevel="0" collapsed="false">
      <c r="A1572" s="25" t="s">
        <v>3443</v>
      </c>
      <c r="B1572" s="25" t="s">
        <v>121</v>
      </c>
      <c r="C1572" s="25" t="s">
        <v>56</v>
      </c>
      <c r="D1572" s="25" t="s">
        <v>3444</v>
      </c>
      <c r="E1572" s="25" t="s">
        <v>3416</v>
      </c>
      <c r="F1572" s="25" t="s">
        <v>3378</v>
      </c>
      <c r="G1572" s="25" t="s">
        <v>37</v>
      </c>
      <c r="H1572" s="25" t="s">
        <v>3148</v>
      </c>
      <c r="I1572" s="25" t="s">
        <v>190</v>
      </c>
      <c r="J1572" s="25" t="s">
        <v>191</v>
      </c>
      <c r="K1572" s="25" t="s">
        <v>298</v>
      </c>
      <c r="L1572" s="25" t="s">
        <v>32</v>
      </c>
      <c r="M1572" s="25" t="n">
        <v>6000</v>
      </c>
      <c r="N1572" s="25" t="n">
        <v>7000</v>
      </c>
      <c r="O1572" s="25"/>
      <c r="P1572" s="26" t="n">
        <f aca="false">(M1572*N1572/1000000)*INDEX(AreaRate_Vals,MATCH(C1572,AreaRate_Keys,0))+IF(H1572="Aluminium Louvre Blade",(M1572*N1572/1000000)*INDEX(Glass_Vals,MATCH("6mm Toughened Louvre Blade",Glass_Keys,0)),0)+INDEX(Hardware_Vals,MATCH("Carports &amp; Canopies",Hardware_Keys,0))</f>
        <v>67700</v>
      </c>
      <c r="Q1572" s="27" t="n">
        <f aca="false">INDEX(Markup_Vals,MATCH("Outdoor Living &amp; Shading",MarkupCat_Keys,0))</f>
        <v>0.45</v>
      </c>
      <c r="R1572" s="28" t="n">
        <f aca="false">P1572*(1+Q1572)</f>
        <v>98165</v>
      </c>
      <c r="S1572" s="28" t="n">
        <f aca="false">R1572*(1-TradeDiscount)</f>
        <v>86385.2</v>
      </c>
      <c r="T1572" s="28" t="n">
        <f aca="false">R1572*(1-VolumeDiscount)</f>
        <v>78532</v>
      </c>
    </row>
    <row r="1573" customFormat="false" ht="15" hidden="false" customHeight="false" outlineLevel="0" collapsed="false">
      <c r="A1573" s="29" t="s">
        <v>3445</v>
      </c>
      <c r="B1573" s="29" t="s">
        <v>121</v>
      </c>
      <c r="C1573" s="29" t="s">
        <v>57</v>
      </c>
      <c r="D1573" s="29" t="s">
        <v>3446</v>
      </c>
      <c r="E1573" s="29" t="s">
        <v>3447</v>
      </c>
      <c r="F1573" s="29" t="s">
        <v>3448</v>
      </c>
      <c r="G1573" s="29" t="s">
        <v>35</v>
      </c>
      <c r="H1573" s="29" t="s">
        <v>3148</v>
      </c>
      <c r="I1573" s="29" t="s">
        <v>190</v>
      </c>
      <c r="J1573" s="29" t="s">
        <v>191</v>
      </c>
      <c r="K1573" s="29" t="s">
        <v>298</v>
      </c>
      <c r="L1573" s="29" t="s">
        <v>31</v>
      </c>
      <c r="M1573" s="29" t="n">
        <v>2000</v>
      </c>
      <c r="N1573" s="29" t="n">
        <v>1500</v>
      </c>
      <c r="O1573" s="29"/>
      <c r="P1573" s="30" t="n">
        <f aca="false">(M1573*N1573/1000000)*INDEX(AreaRate_Vals,MATCH(C1573,AreaRate_Keys,0))+INDEX(Hardware_Vals,MATCH("Awnings &amp; Canopy Shading",Hardware_Keys,0))</f>
        <v>3950</v>
      </c>
      <c r="Q1573" s="31" t="n">
        <f aca="false">INDEX(Markup_Vals,MATCH("Outdoor Living &amp; Shading",MarkupCat_Keys,0))</f>
        <v>0.45</v>
      </c>
      <c r="R1573" s="32" t="n">
        <f aca="false">P1573*(1+Q1573)</f>
        <v>5727.5</v>
      </c>
      <c r="S1573" s="32" t="n">
        <f aca="false">R1573*(1-TradeDiscount)</f>
        <v>5040.2</v>
      </c>
      <c r="T1573" s="32" t="n">
        <f aca="false">R1573*(1-VolumeDiscount)</f>
        <v>4582</v>
      </c>
    </row>
    <row r="1574" customFormat="false" ht="15" hidden="false" customHeight="false" outlineLevel="0" collapsed="false">
      <c r="A1574" s="25" t="s">
        <v>3449</v>
      </c>
      <c r="B1574" s="25" t="s">
        <v>121</v>
      </c>
      <c r="C1574" s="25" t="s">
        <v>57</v>
      </c>
      <c r="D1574" s="25" t="s">
        <v>3450</v>
      </c>
      <c r="E1574" s="25" t="s">
        <v>3447</v>
      </c>
      <c r="F1574" s="25" t="s">
        <v>3448</v>
      </c>
      <c r="G1574" s="25" t="s">
        <v>36</v>
      </c>
      <c r="H1574" s="25" t="s">
        <v>3148</v>
      </c>
      <c r="I1574" s="25" t="s">
        <v>190</v>
      </c>
      <c r="J1574" s="25" t="s">
        <v>191</v>
      </c>
      <c r="K1574" s="25" t="s">
        <v>298</v>
      </c>
      <c r="L1574" s="25" t="s">
        <v>31</v>
      </c>
      <c r="M1574" s="25" t="n">
        <v>2000</v>
      </c>
      <c r="N1574" s="25" t="n">
        <v>1500</v>
      </c>
      <c r="O1574" s="25"/>
      <c r="P1574" s="26" t="n">
        <f aca="false">(M1574*N1574/1000000)*INDEX(AreaRate_Vals,MATCH(C1574,AreaRate_Keys,0))+INDEX(Hardware_Vals,MATCH("Awnings &amp; Canopy Shading",Hardware_Keys,0))</f>
        <v>3950</v>
      </c>
      <c r="Q1574" s="27" t="n">
        <f aca="false">INDEX(Markup_Vals,MATCH("Outdoor Living &amp; Shading",MarkupCat_Keys,0))</f>
        <v>0.45</v>
      </c>
      <c r="R1574" s="28" t="n">
        <f aca="false">P1574*(1+Q1574)</f>
        <v>5727.5</v>
      </c>
      <c r="S1574" s="28" t="n">
        <f aca="false">R1574*(1-TradeDiscount)</f>
        <v>5040.2</v>
      </c>
      <c r="T1574" s="28" t="n">
        <f aca="false">R1574*(1-VolumeDiscount)</f>
        <v>4582</v>
      </c>
    </row>
    <row r="1575" customFormat="false" ht="15" hidden="false" customHeight="false" outlineLevel="0" collapsed="false">
      <c r="A1575" s="29" t="s">
        <v>3451</v>
      </c>
      <c r="B1575" s="29" t="s">
        <v>121</v>
      </c>
      <c r="C1575" s="29" t="s">
        <v>57</v>
      </c>
      <c r="D1575" s="29" t="s">
        <v>3452</v>
      </c>
      <c r="E1575" s="29" t="s">
        <v>3447</v>
      </c>
      <c r="F1575" s="29" t="s">
        <v>3448</v>
      </c>
      <c r="G1575" s="29" t="s">
        <v>37</v>
      </c>
      <c r="H1575" s="29" t="s">
        <v>3148</v>
      </c>
      <c r="I1575" s="29" t="s">
        <v>190</v>
      </c>
      <c r="J1575" s="29" t="s">
        <v>191</v>
      </c>
      <c r="K1575" s="29" t="s">
        <v>298</v>
      </c>
      <c r="L1575" s="29" t="s">
        <v>31</v>
      </c>
      <c r="M1575" s="29" t="n">
        <v>2000</v>
      </c>
      <c r="N1575" s="29" t="n">
        <v>1500</v>
      </c>
      <c r="O1575" s="29"/>
      <c r="P1575" s="30" t="n">
        <f aca="false">(M1575*N1575/1000000)*INDEX(AreaRate_Vals,MATCH(C1575,AreaRate_Keys,0))+INDEX(Hardware_Vals,MATCH("Awnings &amp; Canopy Shading",Hardware_Keys,0))</f>
        <v>3950</v>
      </c>
      <c r="Q1575" s="31" t="n">
        <f aca="false">INDEX(Markup_Vals,MATCH("Outdoor Living &amp; Shading",MarkupCat_Keys,0))</f>
        <v>0.45</v>
      </c>
      <c r="R1575" s="32" t="n">
        <f aca="false">P1575*(1+Q1575)</f>
        <v>5727.5</v>
      </c>
      <c r="S1575" s="32" t="n">
        <f aca="false">R1575*(1-TradeDiscount)</f>
        <v>5040.2</v>
      </c>
      <c r="T1575" s="32" t="n">
        <f aca="false">R1575*(1-VolumeDiscount)</f>
        <v>4582</v>
      </c>
    </row>
    <row r="1576" customFormat="false" ht="15" hidden="false" customHeight="false" outlineLevel="0" collapsed="false">
      <c r="A1576" s="25" t="s">
        <v>3453</v>
      </c>
      <c r="B1576" s="25" t="s">
        <v>121</v>
      </c>
      <c r="C1576" s="25" t="s">
        <v>57</v>
      </c>
      <c r="D1576" s="25" t="s">
        <v>3454</v>
      </c>
      <c r="E1576" s="25" t="s">
        <v>3447</v>
      </c>
      <c r="F1576" s="25" t="s">
        <v>3455</v>
      </c>
      <c r="G1576" s="25" t="s">
        <v>35</v>
      </c>
      <c r="H1576" s="25" t="s">
        <v>3148</v>
      </c>
      <c r="I1576" s="25" t="s">
        <v>190</v>
      </c>
      <c r="J1576" s="25" t="s">
        <v>191</v>
      </c>
      <c r="K1576" s="25" t="s">
        <v>298</v>
      </c>
      <c r="L1576" s="25" t="s">
        <v>31</v>
      </c>
      <c r="M1576" s="25" t="n">
        <v>3000</v>
      </c>
      <c r="N1576" s="25" t="n">
        <v>2000</v>
      </c>
      <c r="O1576" s="25"/>
      <c r="P1576" s="26" t="n">
        <f aca="false">(M1576*N1576/1000000)*INDEX(AreaRate_Vals,MATCH(C1576,AreaRate_Keys,0))+INDEX(Hardware_Vals,MATCH("Awnings &amp; Canopy Shading",Hardware_Keys,0))</f>
        <v>7550</v>
      </c>
      <c r="Q1576" s="27" t="n">
        <f aca="false">INDEX(Markup_Vals,MATCH("Outdoor Living &amp; Shading",MarkupCat_Keys,0))</f>
        <v>0.45</v>
      </c>
      <c r="R1576" s="28" t="n">
        <f aca="false">P1576*(1+Q1576)</f>
        <v>10947.5</v>
      </c>
      <c r="S1576" s="28" t="n">
        <f aca="false">R1576*(1-TradeDiscount)</f>
        <v>9633.8</v>
      </c>
      <c r="T1576" s="28" t="n">
        <f aca="false">R1576*(1-VolumeDiscount)</f>
        <v>8758</v>
      </c>
    </row>
    <row r="1577" customFormat="false" ht="15" hidden="false" customHeight="false" outlineLevel="0" collapsed="false">
      <c r="A1577" s="29" t="s">
        <v>3456</v>
      </c>
      <c r="B1577" s="29" t="s">
        <v>121</v>
      </c>
      <c r="C1577" s="29" t="s">
        <v>57</v>
      </c>
      <c r="D1577" s="29" t="s">
        <v>3457</v>
      </c>
      <c r="E1577" s="29" t="s">
        <v>3447</v>
      </c>
      <c r="F1577" s="29" t="s">
        <v>3455</v>
      </c>
      <c r="G1577" s="29" t="s">
        <v>36</v>
      </c>
      <c r="H1577" s="29" t="s">
        <v>3148</v>
      </c>
      <c r="I1577" s="29" t="s">
        <v>190</v>
      </c>
      <c r="J1577" s="29" t="s">
        <v>191</v>
      </c>
      <c r="K1577" s="29" t="s">
        <v>298</v>
      </c>
      <c r="L1577" s="29" t="s">
        <v>31</v>
      </c>
      <c r="M1577" s="29" t="n">
        <v>3000</v>
      </c>
      <c r="N1577" s="29" t="n">
        <v>2000</v>
      </c>
      <c r="O1577" s="29"/>
      <c r="P1577" s="30" t="n">
        <f aca="false">(M1577*N1577/1000000)*INDEX(AreaRate_Vals,MATCH(C1577,AreaRate_Keys,0))+INDEX(Hardware_Vals,MATCH("Awnings &amp; Canopy Shading",Hardware_Keys,0))</f>
        <v>7550</v>
      </c>
      <c r="Q1577" s="31" t="n">
        <f aca="false">INDEX(Markup_Vals,MATCH("Outdoor Living &amp; Shading",MarkupCat_Keys,0))</f>
        <v>0.45</v>
      </c>
      <c r="R1577" s="32" t="n">
        <f aca="false">P1577*(1+Q1577)</f>
        <v>10947.5</v>
      </c>
      <c r="S1577" s="32" t="n">
        <f aca="false">R1577*(1-TradeDiscount)</f>
        <v>9633.8</v>
      </c>
      <c r="T1577" s="32" t="n">
        <f aca="false">R1577*(1-VolumeDiscount)</f>
        <v>8758</v>
      </c>
    </row>
    <row r="1578" customFormat="false" ht="15" hidden="false" customHeight="false" outlineLevel="0" collapsed="false">
      <c r="A1578" s="25" t="s">
        <v>3458</v>
      </c>
      <c r="B1578" s="25" t="s">
        <v>121</v>
      </c>
      <c r="C1578" s="25" t="s">
        <v>57</v>
      </c>
      <c r="D1578" s="25" t="s">
        <v>3459</v>
      </c>
      <c r="E1578" s="25" t="s">
        <v>3447</v>
      </c>
      <c r="F1578" s="25" t="s">
        <v>3455</v>
      </c>
      <c r="G1578" s="25" t="s">
        <v>37</v>
      </c>
      <c r="H1578" s="25" t="s">
        <v>3148</v>
      </c>
      <c r="I1578" s="25" t="s">
        <v>190</v>
      </c>
      <c r="J1578" s="25" t="s">
        <v>191</v>
      </c>
      <c r="K1578" s="25" t="s">
        <v>298</v>
      </c>
      <c r="L1578" s="25" t="s">
        <v>31</v>
      </c>
      <c r="M1578" s="25" t="n">
        <v>3000</v>
      </c>
      <c r="N1578" s="25" t="n">
        <v>2000</v>
      </c>
      <c r="O1578" s="25"/>
      <c r="P1578" s="26" t="n">
        <f aca="false">(M1578*N1578/1000000)*INDEX(AreaRate_Vals,MATCH(C1578,AreaRate_Keys,0))+INDEX(Hardware_Vals,MATCH("Awnings &amp; Canopy Shading",Hardware_Keys,0))</f>
        <v>7550</v>
      </c>
      <c r="Q1578" s="27" t="n">
        <f aca="false">INDEX(Markup_Vals,MATCH("Outdoor Living &amp; Shading",MarkupCat_Keys,0))</f>
        <v>0.45</v>
      </c>
      <c r="R1578" s="28" t="n">
        <f aca="false">P1578*(1+Q1578)</f>
        <v>10947.5</v>
      </c>
      <c r="S1578" s="28" t="n">
        <f aca="false">R1578*(1-TradeDiscount)</f>
        <v>9633.8</v>
      </c>
      <c r="T1578" s="28" t="n">
        <f aca="false">R1578*(1-VolumeDiscount)</f>
        <v>8758</v>
      </c>
    </row>
    <row r="1579" customFormat="false" ht="15" hidden="false" customHeight="false" outlineLevel="0" collapsed="false">
      <c r="A1579" s="29" t="s">
        <v>3460</v>
      </c>
      <c r="B1579" s="29" t="s">
        <v>121</v>
      </c>
      <c r="C1579" s="29" t="s">
        <v>57</v>
      </c>
      <c r="D1579" s="29" t="s">
        <v>3461</v>
      </c>
      <c r="E1579" s="29" t="s">
        <v>3447</v>
      </c>
      <c r="F1579" s="29" t="s">
        <v>3462</v>
      </c>
      <c r="G1579" s="29" t="s">
        <v>35</v>
      </c>
      <c r="H1579" s="29" t="s">
        <v>3148</v>
      </c>
      <c r="I1579" s="29" t="s">
        <v>190</v>
      </c>
      <c r="J1579" s="29" t="s">
        <v>191</v>
      </c>
      <c r="K1579" s="29" t="s">
        <v>298</v>
      </c>
      <c r="L1579" s="29" t="s">
        <v>31</v>
      </c>
      <c r="M1579" s="29" t="n">
        <v>4000</v>
      </c>
      <c r="N1579" s="29" t="n">
        <v>2500</v>
      </c>
      <c r="O1579" s="29"/>
      <c r="P1579" s="30" t="n">
        <f aca="false">(M1579*N1579/1000000)*INDEX(AreaRate_Vals,MATCH(C1579,AreaRate_Keys,0))+INDEX(Hardware_Vals,MATCH("Awnings &amp; Canopy Shading",Hardware_Keys,0))</f>
        <v>12350</v>
      </c>
      <c r="Q1579" s="31" t="n">
        <f aca="false">INDEX(Markup_Vals,MATCH("Outdoor Living &amp; Shading",MarkupCat_Keys,0))</f>
        <v>0.45</v>
      </c>
      <c r="R1579" s="32" t="n">
        <f aca="false">P1579*(1+Q1579)</f>
        <v>17907.5</v>
      </c>
      <c r="S1579" s="32" t="n">
        <f aca="false">R1579*(1-TradeDiscount)</f>
        <v>15758.6</v>
      </c>
      <c r="T1579" s="32" t="n">
        <f aca="false">R1579*(1-VolumeDiscount)</f>
        <v>14326</v>
      </c>
    </row>
    <row r="1580" customFormat="false" ht="15" hidden="false" customHeight="false" outlineLevel="0" collapsed="false">
      <c r="A1580" s="25" t="s">
        <v>3463</v>
      </c>
      <c r="B1580" s="25" t="s">
        <v>121</v>
      </c>
      <c r="C1580" s="25" t="s">
        <v>57</v>
      </c>
      <c r="D1580" s="25" t="s">
        <v>3464</v>
      </c>
      <c r="E1580" s="25" t="s">
        <v>3447</v>
      </c>
      <c r="F1580" s="25" t="s">
        <v>3462</v>
      </c>
      <c r="G1580" s="25" t="s">
        <v>36</v>
      </c>
      <c r="H1580" s="25" t="s">
        <v>3148</v>
      </c>
      <c r="I1580" s="25" t="s">
        <v>190</v>
      </c>
      <c r="J1580" s="25" t="s">
        <v>191</v>
      </c>
      <c r="K1580" s="25" t="s">
        <v>298</v>
      </c>
      <c r="L1580" s="25" t="s">
        <v>31</v>
      </c>
      <c r="M1580" s="25" t="n">
        <v>4000</v>
      </c>
      <c r="N1580" s="25" t="n">
        <v>2500</v>
      </c>
      <c r="O1580" s="25"/>
      <c r="P1580" s="26" t="n">
        <f aca="false">(M1580*N1580/1000000)*INDEX(AreaRate_Vals,MATCH(C1580,AreaRate_Keys,0))+INDEX(Hardware_Vals,MATCH("Awnings &amp; Canopy Shading",Hardware_Keys,0))</f>
        <v>12350</v>
      </c>
      <c r="Q1580" s="27" t="n">
        <f aca="false">INDEX(Markup_Vals,MATCH("Outdoor Living &amp; Shading",MarkupCat_Keys,0))</f>
        <v>0.45</v>
      </c>
      <c r="R1580" s="28" t="n">
        <f aca="false">P1580*(1+Q1580)</f>
        <v>17907.5</v>
      </c>
      <c r="S1580" s="28" t="n">
        <f aca="false">R1580*(1-TradeDiscount)</f>
        <v>15758.6</v>
      </c>
      <c r="T1580" s="28" t="n">
        <f aca="false">R1580*(1-VolumeDiscount)</f>
        <v>14326</v>
      </c>
    </row>
    <row r="1581" customFormat="false" ht="15" hidden="false" customHeight="false" outlineLevel="0" collapsed="false">
      <c r="A1581" s="29" t="s">
        <v>3465</v>
      </c>
      <c r="B1581" s="29" t="s">
        <v>121</v>
      </c>
      <c r="C1581" s="29" t="s">
        <v>57</v>
      </c>
      <c r="D1581" s="29" t="s">
        <v>3466</v>
      </c>
      <c r="E1581" s="29" t="s">
        <v>3447</v>
      </c>
      <c r="F1581" s="29" t="s">
        <v>3462</v>
      </c>
      <c r="G1581" s="29" t="s">
        <v>37</v>
      </c>
      <c r="H1581" s="29" t="s">
        <v>3148</v>
      </c>
      <c r="I1581" s="29" t="s">
        <v>190</v>
      </c>
      <c r="J1581" s="29" t="s">
        <v>191</v>
      </c>
      <c r="K1581" s="29" t="s">
        <v>298</v>
      </c>
      <c r="L1581" s="29" t="s">
        <v>31</v>
      </c>
      <c r="M1581" s="29" t="n">
        <v>4000</v>
      </c>
      <c r="N1581" s="29" t="n">
        <v>2500</v>
      </c>
      <c r="O1581" s="29"/>
      <c r="P1581" s="30" t="n">
        <f aca="false">(M1581*N1581/1000000)*INDEX(AreaRate_Vals,MATCH(C1581,AreaRate_Keys,0))+INDEX(Hardware_Vals,MATCH("Awnings &amp; Canopy Shading",Hardware_Keys,0))</f>
        <v>12350</v>
      </c>
      <c r="Q1581" s="31" t="n">
        <f aca="false">INDEX(Markup_Vals,MATCH("Outdoor Living &amp; Shading",MarkupCat_Keys,0))</f>
        <v>0.45</v>
      </c>
      <c r="R1581" s="32" t="n">
        <f aca="false">P1581*(1+Q1581)</f>
        <v>17907.5</v>
      </c>
      <c r="S1581" s="32" t="n">
        <f aca="false">R1581*(1-TradeDiscount)</f>
        <v>15758.6</v>
      </c>
      <c r="T1581" s="32" t="n">
        <f aca="false">R1581*(1-VolumeDiscount)</f>
        <v>14326</v>
      </c>
    </row>
    <row r="1582" customFormat="false" ht="15" hidden="false" customHeight="false" outlineLevel="0" collapsed="false">
      <c r="A1582" s="25" t="s">
        <v>3467</v>
      </c>
      <c r="B1582" s="25" t="s">
        <v>121</v>
      </c>
      <c r="C1582" s="25" t="s">
        <v>57</v>
      </c>
      <c r="D1582" s="25" t="s">
        <v>3468</v>
      </c>
      <c r="E1582" s="25" t="s">
        <v>3447</v>
      </c>
      <c r="F1582" s="25" t="s">
        <v>3469</v>
      </c>
      <c r="G1582" s="25" t="s">
        <v>35</v>
      </c>
      <c r="H1582" s="25" t="s">
        <v>3148</v>
      </c>
      <c r="I1582" s="25" t="s">
        <v>190</v>
      </c>
      <c r="J1582" s="25" t="s">
        <v>191</v>
      </c>
      <c r="K1582" s="25" t="s">
        <v>298</v>
      </c>
      <c r="L1582" s="25" t="s">
        <v>31</v>
      </c>
      <c r="M1582" s="25" t="n">
        <v>5000</v>
      </c>
      <c r="N1582" s="25" t="n">
        <v>3000</v>
      </c>
      <c r="O1582" s="25"/>
      <c r="P1582" s="26" t="n">
        <f aca="false">(M1582*N1582/1000000)*INDEX(AreaRate_Vals,MATCH(C1582,AreaRate_Keys,0))+INDEX(Hardware_Vals,MATCH("Awnings &amp; Canopy Shading",Hardware_Keys,0))</f>
        <v>18350</v>
      </c>
      <c r="Q1582" s="27" t="n">
        <f aca="false">INDEX(Markup_Vals,MATCH("Outdoor Living &amp; Shading",MarkupCat_Keys,0))</f>
        <v>0.45</v>
      </c>
      <c r="R1582" s="28" t="n">
        <f aca="false">P1582*(1+Q1582)</f>
        <v>26607.5</v>
      </c>
      <c r="S1582" s="28" t="n">
        <f aca="false">R1582*(1-TradeDiscount)</f>
        <v>23414.6</v>
      </c>
      <c r="T1582" s="28" t="n">
        <f aca="false">R1582*(1-VolumeDiscount)</f>
        <v>21286</v>
      </c>
    </row>
    <row r="1583" customFormat="false" ht="15" hidden="false" customHeight="false" outlineLevel="0" collapsed="false">
      <c r="A1583" s="29" t="s">
        <v>3470</v>
      </c>
      <c r="B1583" s="29" t="s">
        <v>121</v>
      </c>
      <c r="C1583" s="29" t="s">
        <v>57</v>
      </c>
      <c r="D1583" s="29" t="s">
        <v>3471</v>
      </c>
      <c r="E1583" s="29" t="s">
        <v>3447</v>
      </c>
      <c r="F1583" s="29" t="s">
        <v>3469</v>
      </c>
      <c r="G1583" s="29" t="s">
        <v>36</v>
      </c>
      <c r="H1583" s="29" t="s">
        <v>3148</v>
      </c>
      <c r="I1583" s="29" t="s">
        <v>190</v>
      </c>
      <c r="J1583" s="29" t="s">
        <v>191</v>
      </c>
      <c r="K1583" s="29" t="s">
        <v>298</v>
      </c>
      <c r="L1583" s="29" t="s">
        <v>31</v>
      </c>
      <c r="M1583" s="29" t="n">
        <v>5000</v>
      </c>
      <c r="N1583" s="29" t="n">
        <v>3000</v>
      </c>
      <c r="O1583" s="29"/>
      <c r="P1583" s="30" t="n">
        <f aca="false">(M1583*N1583/1000000)*INDEX(AreaRate_Vals,MATCH(C1583,AreaRate_Keys,0))+INDEX(Hardware_Vals,MATCH("Awnings &amp; Canopy Shading",Hardware_Keys,0))</f>
        <v>18350</v>
      </c>
      <c r="Q1583" s="31" t="n">
        <f aca="false">INDEX(Markup_Vals,MATCH("Outdoor Living &amp; Shading",MarkupCat_Keys,0))</f>
        <v>0.45</v>
      </c>
      <c r="R1583" s="32" t="n">
        <f aca="false">P1583*(1+Q1583)</f>
        <v>26607.5</v>
      </c>
      <c r="S1583" s="32" t="n">
        <f aca="false">R1583*(1-TradeDiscount)</f>
        <v>23414.6</v>
      </c>
      <c r="T1583" s="32" t="n">
        <f aca="false">R1583*(1-VolumeDiscount)</f>
        <v>21286</v>
      </c>
    </row>
    <row r="1584" customFormat="false" ht="15" hidden="false" customHeight="false" outlineLevel="0" collapsed="false">
      <c r="A1584" s="25" t="s">
        <v>3472</v>
      </c>
      <c r="B1584" s="25" t="s">
        <v>121</v>
      </c>
      <c r="C1584" s="25" t="s">
        <v>57</v>
      </c>
      <c r="D1584" s="25" t="s">
        <v>3473</v>
      </c>
      <c r="E1584" s="25" t="s">
        <v>3447</v>
      </c>
      <c r="F1584" s="25" t="s">
        <v>3469</v>
      </c>
      <c r="G1584" s="25" t="s">
        <v>37</v>
      </c>
      <c r="H1584" s="25" t="s">
        <v>3148</v>
      </c>
      <c r="I1584" s="25" t="s">
        <v>190</v>
      </c>
      <c r="J1584" s="25" t="s">
        <v>191</v>
      </c>
      <c r="K1584" s="25" t="s">
        <v>298</v>
      </c>
      <c r="L1584" s="25" t="s">
        <v>31</v>
      </c>
      <c r="M1584" s="25" t="n">
        <v>5000</v>
      </c>
      <c r="N1584" s="25" t="n">
        <v>3000</v>
      </c>
      <c r="O1584" s="25"/>
      <c r="P1584" s="26" t="n">
        <f aca="false">(M1584*N1584/1000000)*INDEX(AreaRate_Vals,MATCH(C1584,AreaRate_Keys,0))+INDEX(Hardware_Vals,MATCH("Awnings &amp; Canopy Shading",Hardware_Keys,0))</f>
        <v>18350</v>
      </c>
      <c r="Q1584" s="27" t="n">
        <f aca="false">INDEX(Markup_Vals,MATCH("Outdoor Living &amp; Shading",MarkupCat_Keys,0))</f>
        <v>0.45</v>
      </c>
      <c r="R1584" s="28" t="n">
        <f aca="false">P1584*(1+Q1584)</f>
        <v>26607.5</v>
      </c>
      <c r="S1584" s="28" t="n">
        <f aca="false">R1584*(1-TradeDiscount)</f>
        <v>23414.6</v>
      </c>
      <c r="T1584" s="28" t="n">
        <f aca="false">R1584*(1-VolumeDiscount)</f>
        <v>21286</v>
      </c>
    </row>
    <row r="1585" customFormat="false" ht="15" hidden="false" customHeight="false" outlineLevel="0" collapsed="false">
      <c r="A1585" s="29" t="s">
        <v>3474</v>
      </c>
      <c r="B1585" s="29" t="s">
        <v>121</v>
      </c>
      <c r="C1585" s="29" t="s">
        <v>57</v>
      </c>
      <c r="D1585" s="29" t="s">
        <v>3475</v>
      </c>
      <c r="E1585" s="29" t="s">
        <v>3476</v>
      </c>
      <c r="F1585" s="29" t="s">
        <v>3448</v>
      </c>
      <c r="G1585" s="29" t="s">
        <v>35</v>
      </c>
      <c r="H1585" s="29" t="s">
        <v>3148</v>
      </c>
      <c r="I1585" s="29" t="s">
        <v>190</v>
      </c>
      <c r="J1585" s="29" t="s">
        <v>191</v>
      </c>
      <c r="K1585" s="29" t="s">
        <v>298</v>
      </c>
      <c r="L1585" s="29" t="s">
        <v>31</v>
      </c>
      <c r="M1585" s="29" t="n">
        <v>2000</v>
      </c>
      <c r="N1585" s="29" t="n">
        <v>1500</v>
      </c>
      <c r="O1585" s="29"/>
      <c r="P1585" s="30" t="n">
        <f aca="false">(M1585*N1585/1000000)*INDEX(AreaRate_Vals,MATCH(C1585,AreaRate_Keys,0))+INDEX(Hardware_Vals,MATCH("Awnings &amp; Canopy Shading",Hardware_Keys,0))</f>
        <v>3950</v>
      </c>
      <c r="Q1585" s="31" t="n">
        <f aca="false">INDEX(Markup_Vals,MATCH("Outdoor Living &amp; Shading",MarkupCat_Keys,0))</f>
        <v>0.45</v>
      </c>
      <c r="R1585" s="32" t="n">
        <f aca="false">P1585*(1+Q1585)</f>
        <v>5727.5</v>
      </c>
      <c r="S1585" s="32" t="n">
        <f aca="false">R1585*(1-TradeDiscount)</f>
        <v>5040.2</v>
      </c>
      <c r="T1585" s="32" t="n">
        <f aca="false">R1585*(1-VolumeDiscount)</f>
        <v>4582</v>
      </c>
    </row>
    <row r="1586" customFormat="false" ht="15" hidden="false" customHeight="false" outlineLevel="0" collapsed="false">
      <c r="A1586" s="25" t="s">
        <v>3477</v>
      </c>
      <c r="B1586" s="25" t="s">
        <v>121</v>
      </c>
      <c r="C1586" s="25" t="s">
        <v>57</v>
      </c>
      <c r="D1586" s="25" t="s">
        <v>3478</v>
      </c>
      <c r="E1586" s="25" t="s">
        <v>3476</v>
      </c>
      <c r="F1586" s="25" t="s">
        <v>3448</v>
      </c>
      <c r="G1586" s="25" t="s">
        <v>36</v>
      </c>
      <c r="H1586" s="25" t="s">
        <v>3148</v>
      </c>
      <c r="I1586" s="25" t="s">
        <v>190</v>
      </c>
      <c r="J1586" s="25" t="s">
        <v>191</v>
      </c>
      <c r="K1586" s="25" t="s">
        <v>298</v>
      </c>
      <c r="L1586" s="25" t="s">
        <v>31</v>
      </c>
      <c r="M1586" s="25" t="n">
        <v>2000</v>
      </c>
      <c r="N1586" s="25" t="n">
        <v>1500</v>
      </c>
      <c r="O1586" s="25"/>
      <c r="P1586" s="26" t="n">
        <f aca="false">(M1586*N1586/1000000)*INDEX(AreaRate_Vals,MATCH(C1586,AreaRate_Keys,0))+INDEX(Hardware_Vals,MATCH("Awnings &amp; Canopy Shading",Hardware_Keys,0))</f>
        <v>3950</v>
      </c>
      <c r="Q1586" s="27" t="n">
        <f aca="false">INDEX(Markup_Vals,MATCH("Outdoor Living &amp; Shading",MarkupCat_Keys,0))</f>
        <v>0.45</v>
      </c>
      <c r="R1586" s="28" t="n">
        <f aca="false">P1586*(1+Q1586)</f>
        <v>5727.5</v>
      </c>
      <c r="S1586" s="28" t="n">
        <f aca="false">R1586*(1-TradeDiscount)</f>
        <v>5040.2</v>
      </c>
      <c r="T1586" s="28" t="n">
        <f aca="false">R1586*(1-VolumeDiscount)</f>
        <v>4582</v>
      </c>
    </row>
    <row r="1587" customFormat="false" ht="15" hidden="false" customHeight="false" outlineLevel="0" collapsed="false">
      <c r="A1587" s="29" t="s">
        <v>3479</v>
      </c>
      <c r="B1587" s="29" t="s">
        <v>121</v>
      </c>
      <c r="C1587" s="29" t="s">
        <v>57</v>
      </c>
      <c r="D1587" s="29" t="s">
        <v>3480</v>
      </c>
      <c r="E1587" s="29" t="s">
        <v>3476</v>
      </c>
      <c r="F1587" s="29" t="s">
        <v>3448</v>
      </c>
      <c r="G1587" s="29" t="s">
        <v>37</v>
      </c>
      <c r="H1587" s="29" t="s">
        <v>3148</v>
      </c>
      <c r="I1587" s="29" t="s">
        <v>190</v>
      </c>
      <c r="J1587" s="29" t="s">
        <v>191</v>
      </c>
      <c r="K1587" s="29" t="s">
        <v>298</v>
      </c>
      <c r="L1587" s="29" t="s">
        <v>31</v>
      </c>
      <c r="M1587" s="29" t="n">
        <v>2000</v>
      </c>
      <c r="N1587" s="29" t="n">
        <v>1500</v>
      </c>
      <c r="O1587" s="29"/>
      <c r="P1587" s="30" t="n">
        <f aca="false">(M1587*N1587/1000000)*INDEX(AreaRate_Vals,MATCH(C1587,AreaRate_Keys,0))+INDEX(Hardware_Vals,MATCH("Awnings &amp; Canopy Shading",Hardware_Keys,0))</f>
        <v>3950</v>
      </c>
      <c r="Q1587" s="31" t="n">
        <f aca="false">INDEX(Markup_Vals,MATCH("Outdoor Living &amp; Shading",MarkupCat_Keys,0))</f>
        <v>0.45</v>
      </c>
      <c r="R1587" s="32" t="n">
        <f aca="false">P1587*(1+Q1587)</f>
        <v>5727.5</v>
      </c>
      <c r="S1587" s="32" t="n">
        <f aca="false">R1587*(1-TradeDiscount)</f>
        <v>5040.2</v>
      </c>
      <c r="T1587" s="32" t="n">
        <f aca="false">R1587*(1-VolumeDiscount)</f>
        <v>4582</v>
      </c>
    </row>
    <row r="1588" customFormat="false" ht="15" hidden="false" customHeight="false" outlineLevel="0" collapsed="false">
      <c r="A1588" s="25" t="s">
        <v>3481</v>
      </c>
      <c r="B1588" s="25" t="s">
        <v>121</v>
      </c>
      <c r="C1588" s="25" t="s">
        <v>57</v>
      </c>
      <c r="D1588" s="25" t="s">
        <v>3482</v>
      </c>
      <c r="E1588" s="25" t="s">
        <v>3476</v>
      </c>
      <c r="F1588" s="25" t="s">
        <v>3455</v>
      </c>
      <c r="G1588" s="25" t="s">
        <v>35</v>
      </c>
      <c r="H1588" s="25" t="s">
        <v>3148</v>
      </c>
      <c r="I1588" s="25" t="s">
        <v>190</v>
      </c>
      <c r="J1588" s="25" t="s">
        <v>191</v>
      </c>
      <c r="K1588" s="25" t="s">
        <v>298</v>
      </c>
      <c r="L1588" s="25" t="s">
        <v>31</v>
      </c>
      <c r="M1588" s="25" t="n">
        <v>3000</v>
      </c>
      <c r="N1588" s="25" t="n">
        <v>2000</v>
      </c>
      <c r="O1588" s="25"/>
      <c r="P1588" s="26" t="n">
        <f aca="false">(M1588*N1588/1000000)*INDEX(AreaRate_Vals,MATCH(C1588,AreaRate_Keys,0))+INDEX(Hardware_Vals,MATCH("Awnings &amp; Canopy Shading",Hardware_Keys,0))</f>
        <v>7550</v>
      </c>
      <c r="Q1588" s="27" t="n">
        <f aca="false">INDEX(Markup_Vals,MATCH("Outdoor Living &amp; Shading",MarkupCat_Keys,0))</f>
        <v>0.45</v>
      </c>
      <c r="R1588" s="28" t="n">
        <f aca="false">P1588*(1+Q1588)</f>
        <v>10947.5</v>
      </c>
      <c r="S1588" s="28" t="n">
        <f aca="false">R1588*(1-TradeDiscount)</f>
        <v>9633.8</v>
      </c>
      <c r="T1588" s="28" t="n">
        <f aca="false">R1588*(1-VolumeDiscount)</f>
        <v>8758</v>
      </c>
    </row>
    <row r="1589" customFormat="false" ht="15" hidden="false" customHeight="false" outlineLevel="0" collapsed="false">
      <c r="A1589" s="29" t="s">
        <v>3483</v>
      </c>
      <c r="B1589" s="29" t="s">
        <v>121</v>
      </c>
      <c r="C1589" s="29" t="s">
        <v>57</v>
      </c>
      <c r="D1589" s="29" t="s">
        <v>3484</v>
      </c>
      <c r="E1589" s="29" t="s">
        <v>3476</v>
      </c>
      <c r="F1589" s="29" t="s">
        <v>3455</v>
      </c>
      <c r="G1589" s="29" t="s">
        <v>36</v>
      </c>
      <c r="H1589" s="29" t="s">
        <v>3148</v>
      </c>
      <c r="I1589" s="29" t="s">
        <v>190</v>
      </c>
      <c r="J1589" s="29" t="s">
        <v>191</v>
      </c>
      <c r="K1589" s="29" t="s">
        <v>298</v>
      </c>
      <c r="L1589" s="29" t="s">
        <v>31</v>
      </c>
      <c r="M1589" s="29" t="n">
        <v>3000</v>
      </c>
      <c r="N1589" s="29" t="n">
        <v>2000</v>
      </c>
      <c r="O1589" s="29"/>
      <c r="P1589" s="30" t="n">
        <f aca="false">(M1589*N1589/1000000)*INDEX(AreaRate_Vals,MATCH(C1589,AreaRate_Keys,0))+INDEX(Hardware_Vals,MATCH("Awnings &amp; Canopy Shading",Hardware_Keys,0))</f>
        <v>7550</v>
      </c>
      <c r="Q1589" s="31" t="n">
        <f aca="false">INDEX(Markup_Vals,MATCH("Outdoor Living &amp; Shading",MarkupCat_Keys,0))</f>
        <v>0.45</v>
      </c>
      <c r="R1589" s="32" t="n">
        <f aca="false">P1589*(1+Q1589)</f>
        <v>10947.5</v>
      </c>
      <c r="S1589" s="32" t="n">
        <f aca="false">R1589*(1-TradeDiscount)</f>
        <v>9633.8</v>
      </c>
      <c r="T1589" s="32" t="n">
        <f aca="false">R1589*(1-VolumeDiscount)</f>
        <v>8758</v>
      </c>
    </row>
    <row r="1590" customFormat="false" ht="15" hidden="false" customHeight="false" outlineLevel="0" collapsed="false">
      <c r="A1590" s="25" t="s">
        <v>3485</v>
      </c>
      <c r="B1590" s="25" t="s">
        <v>121</v>
      </c>
      <c r="C1590" s="25" t="s">
        <v>57</v>
      </c>
      <c r="D1590" s="25" t="s">
        <v>3486</v>
      </c>
      <c r="E1590" s="25" t="s">
        <v>3476</v>
      </c>
      <c r="F1590" s="25" t="s">
        <v>3455</v>
      </c>
      <c r="G1590" s="25" t="s">
        <v>37</v>
      </c>
      <c r="H1590" s="25" t="s">
        <v>3148</v>
      </c>
      <c r="I1590" s="25" t="s">
        <v>190</v>
      </c>
      <c r="J1590" s="25" t="s">
        <v>191</v>
      </c>
      <c r="K1590" s="25" t="s">
        <v>298</v>
      </c>
      <c r="L1590" s="25" t="s">
        <v>31</v>
      </c>
      <c r="M1590" s="25" t="n">
        <v>3000</v>
      </c>
      <c r="N1590" s="25" t="n">
        <v>2000</v>
      </c>
      <c r="O1590" s="25"/>
      <c r="P1590" s="26" t="n">
        <f aca="false">(M1590*N1590/1000000)*INDEX(AreaRate_Vals,MATCH(C1590,AreaRate_Keys,0))+INDEX(Hardware_Vals,MATCH("Awnings &amp; Canopy Shading",Hardware_Keys,0))</f>
        <v>7550</v>
      </c>
      <c r="Q1590" s="27" t="n">
        <f aca="false">INDEX(Markup_Vals,MATCH("Outdoor Living &amp; Shading",MarkupCat_Keys,0))</f>
        <v>0.45</v>
      </c>
      <c r="R1590" s="28" t="n">
        <f aca="false">P1590*(1+Q1590)</f>
        <v>10947.5</v>
      </c>
      <c r="S1590" s="28" t="n">
        <f aca="false">R1590*(1-TradeDiscount)</f>
        <v>9633.8</v>
      </c>
      <c r="T1590" s="28" t="n">
        <f aca="false">R1590*(1-VolumeDiscount)</f>
        <v>8758</v>
      </c>
    </row>
    <row r="1591" customFormat="false" ht="15" hidden="false" customHeight="false" outlineLevel="0" collapsed="false">
      <c r="A1591" s="29" t="s">
        <v>3487</v>
      </c>
      <c r="B1591" s="29" t="s">
        <v>121</v>
      </c>
      <c r="C1591" s="29" t="s">
        <v>57</v>
      </c>
      <c r="D1591" s="29" t="s">
        <v>3488</v>
      </c>
      <c r="E1591" s="29" t="s">
        <v>3476</v>
      </c>
      <c r="F1591" s="29" t="s">
        <v>3462</v>
      </c>
      <c r="G1591" s="29" t="s">
        <v>35</v>
      </c>
      <c r="H1591" s="29" t="s">
        <v>3148</v>
      </c>
      <c r="I1591" s="29" t="s">
        <v>190</v>
      </c>
      <c r="J1591" s="29" t="s">
        <v>191</v>
      </c>
      <c r="K1591" s="29" t="s">
        <v>298</v>
      </c>
      <c r="L1591" s="29" t="s">
        <v>31</v>
      </c>
      <c r="M1591" s="29" t="n">
        <v>4000</v>
      </c>
      <c r="N1591" s="29" t="n">
        <v>2500</v>
      </c>
      <c r="O1591" s="29"/>
      <c r="P1591" s="30" t="n">
        <f aca="false">(M1591*N1591/1000000)*INDEX(AreaRate_Vals,MATCH(C1591,AreaRate_Keys,0))+INDEX(Hardware_Vals,MATCH("Awnings &amp; Canopy Shading",Hardware_Keys,0))</f>
        <v>12350</v>
      </c>
      <c r="Q1591" s="31" t="n">
        <f aca="false">INDEX(Markup_Vals,MATCH("Outdoor Living &amp; Shading",MarkupCat_Keys,0))</f>
        <v>0.45</v>
      </c>
      <c r="R1591" s="32" t="n">
        <f aca="false">P1591*(1+Q1591)</f>
        <v>17907.5</v>
      </c>
      <c r="S1591" s="32" t="n">
        <f aca="false">R1591*(1-TradeDiscount)</f>
        <v>15758.6</v>
      </c>
      <c r="T1591" s="32" t="n">
        <f aca="false">R1591*(1-VolumeDiscount)</f>
        <v>14326</v>
      </c>
    </row>
    <row r="1592" customFormat="false" ht="15" hidden="false" customHeight="false" outlineLevel="0" collapsed="false">
      <c r="A1592" s="25" t="s">
        <v>3489</v>
      </c>
      <c r="B1592" s="25" t="s">
        <v>121</v>
      </c>
      <c r="C1592" s="25" t="s">
        <v>57</v>
      </c>
      <c r="D1592" s="25" t="s">
        <v>3490</v>
      </c>
      <c r="E1592" s="25" t="s">
        <v>3476</v>
      </c>
      <c r="F1592" s="25" t="s">
        <v>3462</v>
      </c>
      <c r="G1592" s="25" t="s">
        <v>36</v>
      </c>
      <c r="H1592" s="25" t="s">
        <v>3148</v>
      </c>
      <c r="I1592" s="25" t="s">
        <v>190</v>
      </c>
      <c r="J1592" s="25" t="s">
        <v>191</v>
      </c>
      <c r="K1592" s="25" t="s">
        <v>298</v>
      </c>
      <c r="L1592" s="25" t="s">
        <v>31</v>
      </c>
      <c r="M1592" s="25" t="n">
        <v>4000</v>
      </c>
      <c r="N1592" s="25" t="n">
        <v>2500</v>
      </c>
      <c r="O1592" s="25"/>
      <c r="P1592" s="26" t="n">
        <f aca="false">(M1592*N1592/1000000)*INDEX(AreaRate_Vals,MATCH(C1592,AreaRate_Keys,0))+INDEX(Hardware_Vals,MATCH("Awnings &amp; Canopy Shading",Hardware_Keys,0))</f>
        <v>12350</v>
      </c>
      <c r="Q1592" s="27" t="n">
        <f aca="false">INDEX(Markup_Vals,MATCH("Outdoor Living &amp; Shading",MarkupCat_Keys,0))</f>
        <v>0.45</v>
      </c>
      <c r="R1592" s="28" t="n">
        <f aca="false">P1592*(1+Q1592)</f>
        <v>17907.5</v>
      </c>
      <c r="S1592" s="28" t="n">
        <f aca="false">R1592*(1-TradeDiscount)</f>
        <v>15758.6</v>
      </c>
      <c r="T1592" s="28" t="n">
        <f aca="false">R1592*(1-VolumeDiscount)</f>
        <v>14326</v>
      </c>
    </row>
    <row r="1593" customFormat="false" ht="15" hidden="false" customHeight="false" outlineLevel="0" collapsed="false">
      <c r="A1593" s="29" t="s">
        <v>3491</v>
      </c>
      <c r="B1593" s="29" t="s">
        <v>121</v>
      </c>
      <c r="C1593" s="29" t="s">
        <v>57</v>
      </c>
      <c r="D1593" s="29" t="s">
        <v>3492</v>
      </c>
      <c r="E1593" s="29" t="s">
        <v>3476</v>
      </c>
      <c r="F1593" s="29" t="s">
        <v>3462</v>
      </c>
      <c r="G1593" s="29" t="s">
        <v>37</v>
      </c>
      <c r="H1593" s="29" t="s">
        <v>3148</v>
      </c>
      <c r="I1593" s="29" t="s">
        <v>190</v>
      </c>
      <c r="J1593" s="29" t="s">
        <v>191</v>
      </c>
      <c r="K1593" s="29" t="s">
        <v>298</v>
      </c>
      <c r="L1593" s="29" t="s">
        <v>31</v>
      </c>
      <c r="M1593" s="29" t="n">
        <v>4000</v>
      </c>
      <c r="N1593" s="29" t="n">
        <v>2500</v>
      </c>
      <c r="O1593" s="29"/>
      <c r="P1593" s="30" t="n">
        <f aca="false">(M1593*N1593/1000000)*INDEX(AreaRate_Vals,MATCH(C1593,AreaRate_Keys,0))+INDEX(Hardware_Vals,MATCH("Awnings &amp; Canopy Shading",Hardware_Keys,0))</f>
        <v>12350</v>
      </c>
      <c r="Q1593" s="31" t="n">
        <f aca="false">INDEX(Markup_Vals,MATCH("Outdoor Living &amp; Shading",MarkupCat_Keys,0))</f>
        <v>0.45</v>
      </c>
      <c r="R1593" s="32" t="n">
        <f aca="false">P1593*(1+Q1593)</f>
        <v>17907.5</v>
      </c>
      <c r="S1593" s="32" t="n">
        <f aca="false">R1593*(1-TradeDiscount)</f>
        <v>15758.6</v>
      </c>
      <c r="T1593" s="32" t="n">
        <f aca="false">R1593*(1-VolumeDiscount)</f>
        <v>14326</v>
      </c>
    </row>
    <row r="1594" customFormat="false" ht="15" hidden="false" customHeight="false" outlineLevel="0" collapsed="false">
      <c r="A1594" s="25" t="s">
        <v>3493</v>
      </c>
      <c r="B1594" s="25" t="s">
        <v>121</v>
      </c>
      <c r="C1594" s="25" t="s">
        <v>57</v>
      </c>
      <c r="D1594" s="25" t="s">
        <v>3494</v>
      </c>
      <c r="E1594" s="25" t="s">
        <v>3476</v>
      </c>
      <c r="F1594" s="25" t="s">
        <v>3469</v>
      </c>
      <c r="G1594" s="25" t="s">
        <v>35</v>
      </c>
      <c r="H1594" s="25" t="s">
        <v>3148</v>
      </c>
      <c r="I1594" s="25" t="s">
        <v>190</v>
      </c>
      <c r="J1594" s="25" t="s">
        <v>191</v>
      </c>
      <c r="K1594" s="25" t="s">
        <v>298</v>
      </c>
      <c r="L1594" s="25" t="s">
        <v>31</v>
      </c>
      <c r="M1594" s="25" t="n">
        <v>5000</v>
      </c>
      <c r="N1594" s="25" t="n">
        <v>3000</v>
      </c>
      <c r="O1594" s="25"/>
      <c r="P1594" s="26" t="n">
        <f aca="false">(M1594*N1594/1000000)*INDEX(AreaRate_Vals,MATCH(C1594,AreaRate_Keys,0))+INDEX(Hardware_Vals,MATCH("Awnings &amp; Canopy Shading",Hardware_Keys,0))</f>
        <v>18350</v>
      </c>
      <c r="Q1594" s="27" t="n">
        <f aca="false">INDEX(Markup_Vals,MATCH("Outdoor Living &amp; Shading",MarkupCat_Keys,0))</f>
        <v>0.45</v>
      </c>
      <c r="R1594" s="28" t="n">
        <f aca="false">P1594*(1+Q1594)</f>
        <v>26607.5</v>
      </c>
      <c r="S1594" s="28" t="n">
        <f aca="false">R1594*(1-TradeDiscount)</f>
        <v>23414.6</v>
      </c>
      <c r="T1594" s="28" t="n">
        <f aca="false">R1594*(1-VolumeDiscount)</f>
        <v>21286</v>
      </c>
    </row>
    <row r="1595" customFormat="false" ht="15" hidden="false" customHeight="false" outlineLevel="0" collapsed="false">
      <c r="A1595" s="29" t="s">
        <v>3495</v>
      </c>
      <c r="B1595" s="29" t="s">
        <v>121</v>
      </c>
      <c r="C1595" s="29" t="s">
        <v>57</v>
      </c>
      <c r="D1595" s="29" t="s">
        <v>3496</v>
      </c>
      <c r="E1595" s="29" t="s">
        <v>3476</v>
      </c>
      <c r="F1595" s="29" t="s">
        <v>3469</v>
      </c>
      <c r="G1595" s="29" t="s">
        <v>36</v>
      </c>
      <c r="H1595" s="29" t="s">
        <v>3148</v>
      </c>
      <c r="I1595" s="29" t="s">
        <v>190</v>
      </c>
      <c r="J1595" s="29" t="s">
        <v>191</v>
      </c>
      <c r="K1595" s="29" t="s">
        <v>298</v>
      </c>
      <c r="L1595" s="29" t="s">
        <v>31</v>
      </c>
      <c r="M1595" s="29" t="n">
        <v>5000</v>
      </c>
      <c r="N1595" s="29" t="n">
        <v>3000</v>
      </c>
      <c r="O1595" s="29"/>
      <c r="P1595" s="30" t="n">
        <f aca="false">(M1595*N1595/1000000)*INDEX(AreaRate_Vals,MATCH(C1595,AreaRate_Keys,0))+INDEX(Hardware_Vals,MATCH("Awnings &amp; Canopy Shading",Hardware_Keys,0))</f>
        <v>18350</v>
      </c>
      <c r="Q1595" s="31" t="n">
        <f aca="false">INDEX(Markup_Vals,MATCH("Outdoor Living &amp; Shading",MarkupCat_Keys,0))</f>
        <v>0.45</v>
      </c>
      <c r="R1595" s="32" t="n">
        <f aca="false">P1595*(1+Q1595)</f>
        <v>26607.5</v>
      </c>
      <c r="S1595" s="32" t="n">
        <f aca="false">R1595*(1-TradeDiscount)</f>
        <v>23414.6</v>
      </c>
      <c r="T1595" s="32" t="n">
        <f aca="false">R1595*(1-VolumeDiscount)</f>
        <v>21286</v>
      </c>
    </row>
    <row r="1596" customFormat="false" ht="15" hidden="false" customHeight="false" outlineLevel="0" collapsed="false">
      <c r="A1596" s="25" t="s">
        <v>3497</v>
      </c>
      <c r="B1596" s="25" t="s">
        <v>121</v>
      </c>
      <c r="C1596" s="25" t="s">
        <v>57</v>
      </c>
      <c r="D1596" s="25" t="s">
        <v>3498</v>
      </c>
      <c r="E1596" s="25" t="s">
        <v>3476</v>
      </c>
      <c r="F1596" s="25" t="s">
        <v>3469</v>
      </c>
      <c r="G1596" s="25" t="s">
        <v>37</v>
      </c>
      <c r="H1596" s="25" t="s">
        <v>3148</v>
      </c>
      <c r="I1596" s="25" t="s">
        <v>190</v>
      </c>
      <c r="J1596" s="25" t="s">
        <v>191</v>
      </c>
      <c r="K1596" s="25" t="s">
        <v>298</v>
      </c>
      <c r="L1596" s="25" t="s">
        <v>31</v>
      </c>
      <c r="M1596" s="25" t="n">
        <v>5000</v>
      </c>
      <c r="N1596" s="25" t="n">
        <v>3000</v>
      </c>
      <c r="O1596" s="25"/>
      <c r="P1596" s="26" t="n">
        <f aca="false">(M1596*N1596/1000000)*INDEX(AreaRate_Vals,MATCH(C1596,AreaRate_Keys,0))+INDEX(Hardware_Vals,MATCH("Awnings &amp; Canopy Shading",Hardware_Keys,0))</f>
        <v>18350</v>
      </c>
      <c r="Q1596" s="27" t="n">
        <f aca="false">INDEX(Markup_Vals,MATCH("Outdoor Living &amp; Shading",MarkupCat_Keys,0))</f>
        <v>0.45</v>
      </c>
      <c r="R1596" s="28" t="n">
        <f aca="false">P1596*(1+Q1596)</f>
        <v>26607.5</v>
      </c>
      <c r="S1596" s="28" t="n">
        <f aca="false">R1596*(1-TradeDiscount)</f>
        <v>23414.6</v>
      </c>
      <c r="T1596" s="28" t="n">
        <f aca="false">R1596*(1-VolumeDiscount)</f>
        <v>21286</v>
      </c>
    </row>
    <row r="1597" customFormat="false" ht="15" hidden="false" customHeight="false" outlineLevel="0" collapsed="false">
      <c r="A1597" s="29" t="s">
        <v>3499</v>
      </c>
      <c r="B1597" s="29" t="s">
        <v>121</v>
      </c>
      <c r="C1597" s="29" t="s">
        <v>57</v>
      </c>
      <c r="D1597" s="29" t="s">
        <v>3500</v>
      </c>
      <c r="E1597" s="29" t="s">
        <v>3501</v>
      </c>
      <c r="F1597" s="29" t="s">
        <v>3448</v>
      </c>
      <c r="G1597" s="29" t="s">
        <v>35</v>
      </c>
      <c r="H1597" s="29" t="s">
        <v>3148</v>
      </c>
      <c r="I1597" s="29" t="s">
        <v>190</v>
      </c>
      <c r="J1597" s="29" t="s">
        <v>191</v>
      </c>
      <c r="K1597" s="29" t="s">
        <v>298</v>
      </c>
      <c r="L1597" s="29" t="s">
        <v>31</v>
      </c>
      <c r="M1597" s="29" t="n">
        <v>2000</v>
      </c>
      <c r="N1597" s="29" t="n">
        <v>1500</v>
      </c>
      <c r="O1597" s="29"/>
      <c r="P1597" s="30" t="n">
        <f aca="false">(M1597*N1597/1000000)*INDEX(AreaRate_Vals,MATCH(C1597,AreaRate_Keys,0))+INDEX(Hardware_Vals,MATCH("Awnings &amp; Canopy Shading",Hardware_Keys,0))</f>
        <v>3950</v>
      </c>
      <c r="Q1597" s="31" t="n">
        <f aca="false">INDEX(Markup_Vals,MATCH("Outdoor Living &amp; Shading",MarkupCat_Keys,0))</f>
        <v>0.45</v>
      </c>
      <c r="R1597" s="32" t="n">
        <f aca="false">P1597*(1+Q1597)</f>
        <v>5727.5</v>
      </c>
      <c r="S1597" s="32" t="n">
        <f aca="false">R1597*(1-TradeDiscount)</f>
        <v>5040.2</v>
      </c>
      <c r="T1597" s="32" t="n">
        <f aca="false">R1597*(1-VolumeDiscount)</f>
        <v>4582</v>
      </c>
    </row>
    <row r="1598" customFormat="false" ht="15" hidden="false" customHeight="false" outlineLevel="0" collapsed="false">
      <c r="A1598" s="25" t="s">
        <v>3502</v>
      </c>
      <c r="B1598" s="25" t="s">
        <v>121</v>
      </c>
      <c r="C1598" s="25" t="s">
        <v>57</v>
      </c>
      <c r="D1598" s="25" t="s">
        <v>3503</v>
      </c>
      <c r="E1598" s="25" t="s">
        <v>3501</v>
      </c>
      <c r="F1598" s="25" t="s">
        <v>3448</v>
      </c>
      <c r="G1598" s="25" t="s">
        <v>36</v>
      </c>
      <c r="H1598" s="25" t="s">
        <v>3148</v>
      </c>
      <c r="I1598" s="25" t="s">
        <v>190</v>
      </c>
      <c r="J1598" s="25" t="s">
        <v>191</v>
      </c>
      <c r="K1598" s="25" t="s">
        <v>298</v>
      </c>
      <c r="L1598" s="25" t="s">
        <v>31</v>
      </c>
      <c r="M1598" s="25" t="n">
        <v>2000</v>
      </c>
      <c r="N1598" s="25" t="n">
        <v>1500</v>
      </c>
      <c r="O1598" s="25"/>
      <c r="P1598" s="26" t="n">
        <f aca="false">(M1598*N1598/1000000)*INDEX(AreaRate_Vals,MATCH(C1598,AreaRate_Keys,0))+INDEX(Hardware_Vals,MATCH("Awnings &amp; Canopy Shading",Hardware_Keys,0))</f>
        <v>3950</v>
      </c>
      <c r="Q1598" s="27" t="n">
        <f aca="false">INDEX(Markup_Vals,MATCH("Outdoor Living &amp; Shading",MarkupCat_Keys,0))</f>
        <v>0.45</v>
      </c>
      <c r="R1598" s="28" t="n">
        <f aca="false">P1598*(1+Q1598)</f>
        <v>5727.5</v>
      </c>
      <c r="S1598" s="28" t="n">
        <f aca="false">R1598*(1-TradeDiscount)</f>
        <v>5040.2</v>
      </c>
      <c r="T1598" s="28" t="n">
        <f aca="false">R1598*(1-VolumeDiscount)</f>
        <v>4582</v>
      </c>
    </row>
    <row r="1599" customFormat="false" ht="15" hidden="false" customHeight="false" outlineLevel="0" collapsed="false">
      <c r="A1599" s="29" t="s">
        <v>3504</v>
      </c>
      <c r="B1599" s="29" t="s">
        <v>121</v>
      </c>
      <c r="C1599" s="29" t="s">
        <v>57</v>
      </c>
      <c r="D1599" s="29" t="s">
        <v>3505</v>
      </c>
      <c r="E1599" s="29" t="s">
        <v>3501</v>
      </c>
      <c r="F1599" s="29" t="s">
        <v>3448</v>
      </c>
      <c r="G1599" s="29" t="s">
        <v>37</v>
      </c>
      <c r="H1599" s="29" t="s">
        <v>3148</v>
      </c>
      <c r="I1599" s="29" t="s">
        <v>190</v>
      </c>
      <c r="J1599" s="29" t="s">
        <v>191</v>
      </c>
      <c r="K1599" s="29" t="s">
        <v>298</v>
      </c>
      <c r="L1599" s="29" t="s">
        <v>31</v>
      </c>
      <c r="M1599" s="29" t="n">
        <v>2000</v>
      </c>
      <c r="N1599" s="29" t="n">
        <v>1500</v>
      </c>
      <c r="O1599" s="29"/>
      <c r="P1599" s="30" t="n">
        <f aca="false">(M1599*N1599/1000000)*INDEX(AreaRate_Vals,MATCH(C1599,AreaRate_Keys,0))+INDEX(Hardware_Vals,MATCH("Awnings &amp; Canopy Shading",Hardware_Keys,0))</f>
        <v>3950</v>
      </c>
      <c r="Q1599" s="31" t="n">
        <f aca="false">INDEX(Markup_Vals,MATCH("Outdoor Living &amp; Shading",MarkupCat_Keys,0))</f>
        <v>0.45</v>
      </c>
      <c r="R1599" s="32" t="n">
        <f aca="false">P1599*(1+Q1599)</f>
        <v>5727.5</v>
      </c>
      <c r="S1599" s="32" t="n">
        <f aca="false">R1599*(1-TradeDiscount)</f>
        <v>5040.2</v>
      </c>
      <c r="T1599" s="32" t="n">
        <f aca="false">R1599*(1-VolumeDiscount)</f>
        <v>4582</v>
      </c>
    </row>
    <row r="1600" customFormat="false" ht="15" hidden="false" customHeight="false" outlineLevel="0" collapsed="false">
      <c r="A1600" s="25" t="s">
        <v>3506</v>
      </c>
      <c r="B1600" s="25" t="s">
        <v>121</v>
      </c>
      <c r="C1600" s="25" t="s">
        <v>57</v>
      </c>
      <c r="D1600" s="25" t="s">
        <v>3507</v>
      </c>
      <c r="E1600" s="25" t="s">
        <v>3501</v>
      </c>
      <c r="F1600" s="25" t="s">
        <v>3455</v>
      </c>
      <c r="G1600" s="25" t="s">
        <v>35</v>
      </c>
      <c r="H1600" s="25" t="s">
        <v>3148</v>
      </c>
      <c r="I1600" s="25" t="s">
        <v>190</v>
      </c>
      <c r="J1600" s="25" t="s">
        <v>191</v>
      </c>
      <c r="K1600" s="25" t="s">
        <v>298</v>
      </c>
      <c r="L1600" s="25" t="s">
        <v>31</v>
      </c>
      <c r="M1600" s="25" t="n">
        <v>3000</v>
      </c>
      <c r="N1600" s="25" t="n">
        <v>2000</v>
      </c>
      <c r="O1600" s="25"/>
      <c r="P1600" s="26" t="n">
        <f aca="false">(M1600*N1600/1000000)*INDEX(AreaRate_Vals,MATCH(C1600,AreaRate_Keys,0))+INDEX(Hardware_Vals,MATCH("Awnings &amp; Canopy Shading",Hardware_Keys,0))</f>
        <v>7550</v>
      </c>
      <c r="Q1600" s="27" t="n">
        <f aca="false">INDEX(Markup_Vals,MATCH("Outdoor Living &amp; Shading",MarkupCat_Keys,0))</f>
        <v>0.45</v>
      </c>
      <c r="R1600" s="28" t="n">
        <f aca="false">P1600*(1+Q1600)</f>
        <v>10947.5</v>
      </c>
      <c r="S1600" s="28" t="n">
        <f aca="false">R1600*(1-TradeDiscount)</f>
        <v>9633.8</v>
      </c>
      <c r="T1600" s="28" t="n">
        <f aca="false">R1600*(1-VolumeDiscount)</f>
        <v>8758</v>
      </c>
    </row>
    <row r="1601" customFormat="false" ht="15" hidden="false" customHeight="false" outlineLevel="0" collapsed="false">
      <c r="A1601" s="29" t="s">
        <v>3508</v>
      </c>
      <c r="B1601" s="29" t="s">
        <v>121</v>
      </c>
      <c r="C1601" s="29" t="s">
        <v>57</v>
      </c>
      <c r="D1601" s="29" t="s">
        <v>3509</v>
      </c>
      <c r="E1601" s="29" t="s">
        <v>3501</v>
      </c>
      <c r="F1601" s="29" t="s">
        <v>3455</v>
      </c>
      <c r="G1601" s="29" t="s">
        <v>36</v>
      </c>
      <c r="H1601" s="29" t="s">
        <v>3148</v>
      </c>
      <c r="I1601" s="29" t="s">
        <v>190</v>
      </c>
      <c r="J1601" s="29" t="s">
        <v>191</v>
      </c>
      <c r="K1601" s="29" t="s">
        <v>298</v>
      </c>
      <c r="L1601" s="29" t="s">
        <v>31</v>
      </c>
      <c r="M1601" s="29" t="n">
        <v>3000</v>
      </c>
      <c r="N1601" s="29" t="n">
        <v>2000</v>
      </c>
      <c r="O1601" s="29"/>
      <c r="P1601" s="30" t="n">
        <f aca="false">(M1601*N1601/1000000)*INDEX(AreaRate_Vals,MATCH(C1601,AreaRate_Keys,0))+INDEX(Hardware_Vals,MATCH("Awnings &amp; Canopy Shading",Hardware_Keys,0))</f>
        <v>7550</v>
      </c>
      <c r="Q1601" s="31" t="n">
        <f aca="false">INDEX(Markup_Vals,MATCH("Outdoor Living &amp; Shading",MarkupCat_Keys,0))</f>
        <v>0.45</v>
      </c>
      <c r="R1601" s="32" t="n">
        <f aca="false">P1601*(1+Q1601)</f>
        <v>10947.5</v>
      </c>
      <c r="S1601" s="32" t="n">
        <f aca="false">R1601*(1-TradeDiscount)</f>
        <v>9633.8</v>
      </c>
      <c r="T1601" s="32" t="n">
        <f aca="false">R1601*(1-VolumeDiscount)</f>
        <v>8758</v>
      </c>
    </row>
    <row r="1602" customFormat="false" ht="15" hidden="false" customHeight="false" outlineLevel="0" collapsed="false">
      <c r="A1602" s="25" t="s">
        <v>3510</v>
      </c>
      <c r="B1602" s="25" t="s">
        <v>121</v>
      </c>
      <c r="C1602" s="25" t="s">
        <v>57</v>
      </c>
      <c r="D1602" s="25" t="s">
        <v>3511</v>
      </c>
      <c r="E1602" s="25" t="s">
        <v>3501</v>
      </c>
      <c r="F1602" s="25" t="s">
        <v>3455</v>
      </c>
      <c r="G1602" s="25" t="s">
        <v>37</v>
      </c>
      <c r="H1602" s="25" t="s">
        <v>3148</v>
      </c>
      <c r="I1602" s="25" t="s">
        <v>190</v>
      </c>
      <c r="J1602" s="25" t="s">
        <v>191</v>
      </c>
      <c r="K1602" s="25" t="s">
        <v>298</v>
      </c>
      <c r="L1602" s="25" t="s">
        <v>31</v>
      </c>
      <c r="M1602" s="25" t="n">
        <v>3000</v>
      </c>
      <c r="N1602" s="25" t="n">
        <v>2000</v>
      </c>
      <c r="O1602" s="25"/>
      <c r="P1602" s="26" t="n">
        <f aca="false">(M1602*N1602/1000000)*INDEX(AreaRate_Vals,MATCH(C1602,AreaRate_Keys,0))+INDEX(Hardware_Vals,MATCH("Awnings &amp; Canopy Shading",Hardware_Keys,0))</f>
        <v>7550</v>
      </c>
      <c r="Q1602" s="27" t="n">
        <f aca="false">INDEX(Markup_Vals,MATCH("Outdoor Living &amp; Shading",MarkupCat_Keys,0))</f>
        <v>0.45</v>
      </c>
      <c r="R1602" s="28" t="n">
        <f aca="false">P1602*(1+Q1602)</f>
        <v>10947.5</v>
      </c>
      <c r="S1602" s="28" t="n">
        <f aca="false">R1602*(1-TradeDiscount)</f>
        <v>9633.8</v>
      </c>
      <c r="T1602" s="28" t="n">
        <f aca="false">R1602*(1-VolumeDiscount)</f>
        <v>8758</v>
      </c>
    </row>
    <row r="1603" customFormat="false" ht="15" hidden="false" customHeight="false" outlineLevel="0" collapsed="false">
      <c r="A1603" s="29" t="s">
        <v>3512</v>
      </c>
      <c r="B1603" s="29" t="s">
        <v>121</v>
      </c>
      <c r="C1603" s="29" t="s">
        <v>57</v>
      </c>
      <c r="D1603" s="29" t="s">
        <v>3513</v>
      </c>
      <c r="E1603" s="29" t="s">
        <v>3501</v>
      </c>
      <c r="F1603" s="29" t="s">
        <v>3462</v>
      </c>
      <c r="G1603" s="29" t="s">
        <v>35</v>
      </c>
      <c r="H1603" s="29" t="s">
        <v>3148</v>
      </c>
      <c r="I1603" s="29" t="s">
        <v>190</v>
      </c>
      <c r="J1603" s="29" t="s">
        <v>191</v>
      </c>
      <c r="K1603" s="29" t="s">
        <v>298</v>
      </c>
      <c r="L1603" s="29" t="s">
        <v>31</v>
      </c>
      <c r="M1603" s="29" t="n">
        <v>4000</v>
      </c>
      <c r="N1603" s="29" t="n">
        <v>2500</v>
      </c>
      <c r="O1603" s="29"/>
      <c r="P1603" s="30" t="n">
        <f aca="false">(M1603*N1603/1000000)*INDEX(AreaRate_Vals,MATCH(C1603,AreaRate_Keys,0))+INDEX(Hardware_Vals,MATCH("Awnings &amp; Canopy Shading",Hardware_Keys,0))</f>
        <v>12350</v>
      </c>
      <c r="Q1603" s="31" t="n">
        <f aca="false">INDEX(Markup_Vals,MATCH("Outdoor Living &amp; Shading",MarkupCat_Keys,0))</f>
        <v>0.45</v>
      </c>
      <c r="R1603" s="32" t="n">
        <f aca="false">P1603*(1+Q1603)</f>
        <v>17907.5</v>
      </c>
      <c r="S1603" s="32" t="n">
        <f aca="false">R1603*(1-TradeDiscount)</f>
        <v>15758.6</v>
      </c>
      <c r="T1603" s="32" t="n">
        <f aca="false">R1603*(1-VolumeDiscount)</f>
        <v>14326</v>
      </c>
    </row>
    <row r="1604" customFormat="false" ht="15" hidden="false" customHeight="false" outlineLevel="0" collapsed="false">
      <c r="A1604" s="25" t="s">
        <v>3514</v>
      </c>
      <c r="B1604" s="25" t="s">
        <v>121</v>
      </c>
      <c r="C1604" s="25" t="s">
        <v>57</v>
      </c>
      <c r="D1604" s="25" t="s">
        <v>3515</v>
      </c>
      <c r="E1604" s="25" t="s">
        <v>3501</v>
      </c>
      <c r="F1604" s="25" t="s">
        <v>3462</v>
      </c>
      <c r="G1604" s="25" t="s">
        <v>36</v>
      </c>
      <c r="H1604" s="25" t="s">
        <v>3148</v>
      </c>
      <c r="I1604" s="25" t="s">
        <v>190</v>
      </c>
      <c r="J1604" s="25" t="s">
        <v>191</v>
      </c>
      <c r="K1604" s="25" t="s">
        <v>298</v>
      </c>
      <c r="L1604" s="25" t="s">
        <v>31</v>
      </c>
      <c r="M1604" s="25" t="n">
        <v>4000</v>
      </c>
      <c r="N1604" s="25" t="n">
        <v>2500</v>
      </c>
      <c r="O1604" s="25"/>
      <c r="P1604" s="26" t="n">
        <f aca="false">(M1604*N1604/1000000)*INDEX(AreaRate_Vals,MATCH(C1604,AreaRate_Keys,0))+INDEX(Hardware_Vals,MATCH("Awnings &amp; Canopy Shading",Hardware_Keys,0))</f>
        <v>12350</v>
      </c>
      <c r="Q1604" s="27" t="n">
        <f aca="false">INDEX(Markup_Vals,MATCH("Outdoor Living &amp; Shading",MarkupCat_Keys,0))</f>
        <v>0.45</v>
      </c>
      <c r="R1604" s="28" t="n">
        <f aca="false">P1604*(1+Q1604)</f>
        <v>17907.5</v>
      </c>
      <c r="S1604" s="28" t="n">
        <f aca="false">R1604*(1-TradeDiscount)</f>
        <v>15758.6</v>
      </c>
      <c r="T1604" s="28" t="n">
        <f aca="false">R1604*(1-VolumeDiscount)</f>
        <v>14326</v>
      </c>
    </row>
    <row r="1605" customFormat="false" ht="15" hidden="false" customHeight="false" outlineLevel="0" collapsed="false">
      <c r="A1605" s="29" t="s">
        <v>3516</v>
      </c>
      <c r="B1605" s="29" t="s">
        <v>121</v>
      </c>
      <c r="C1605" s="29" t="s">
        <v>57</v>
      </c>
      <c r="D1605" s="29" t="s">
        <v>3517</v>
      </c>
      <c r="E1605" s="29" t="s">
        <v>3501</v>
      </c>
      <c r="F1605" s="29" t="s">
        <v>3462</v>
      </c>
      <c r="G1605" s="29" t="s">
        <v>37</v>
      </c>
      <c r="H1605" s="29" t="s">
        <v>3148</v>
      </c>
      <c r="I1605" s="29" t="s">
        <v>190</v>
      </c>
      <c r="J1605" s="29" t="s">
        <v>191</v>
      </c>
      <c r="K1605" s="29" t="s">
        <v>298</v>
      </c>
      <c r="L1605" s="29" t="s">
        <v>31</v>
      </c>
      <c r="M1605" s="29" t="n">
        <v>4000</v>
      </c>
      <c r="N1605" s="29" t="n">
        <v>2500</v>
      </c>
      <c r="O1605" s="29"/>
      <c r="P1605" s="30" t="n">
        <f aca="false">(M1605*N1605/1000000)*INDEX(AreaRate_Vals,MATCH(C1605,AreaRate_Keys,0))+INDEX(Hardware_Vals,MATCH("Awnings &amp; Canopy Shading",Hardware_Keys,0))</f>
        <v>12350</v>
      </c>
      <c r="Q1605" s="31" t="n">
        <f aca="false">INDEX(Markup_Vals,MATCH("Outdoor Living &amp; Shading",MarkupCat_Keys,0))</f>
        <v>0.45</v>
      </c>
      <c r="R1605" s="32" t="n">
        <f aca="false">P1605*(1+Q1605)</f>
        <v>17907.5</v>
      </c>
      <c r="S1605" s="32" t="n">
        <f aca="false">R1605*(1-TradeDiscount)</f>
        <v>15758.6</v>
      </c>
      <c r="T1605" s="32" t="n">
        <f aca="false">R1605*(1-VolumeDiscount)</f>
        <v>14326</v>
      </c>
    </row>
    <row r="1606" customFormat="false" ht="15" hidden="false" customHeight="false" outlineLevel="0" collapsed="false">
      <c r="A1606" s="25" t="s">
        <v>3518</v>
      </c>
      <c r="B1606" s="25" t="s">
        <v>121</v>
      </c>
      <c r="C1606" s="25" t="s">
        <v>57</v>
      </c>
      <c r="D1606" s="25" t="s">
        <v>3519</v>
      </c>
      <c r="E1606" s="25" t="s">
        <v>3501</v>
      </c>
      <c r="F1606" s="25" t="s">
        <v>3469</v>
      </c>
      <c r="G1606" s="25" t="s">
        <v>35</v>
      </c>
      <c r="H1606" s="25" t="s">
        <v>3148</v>
      </c>
      <c r="I1606" s="25" t="s">
        <v>190</v>
      </c>
      <c r="J1606" s="25" t="s">
        <v>191</v>
      </c>
      <c r="K1606" s="25" t="s">
        <v>298</v>
      </c>
      <c r="L1606" s="25" t="s">
        <v>31</v>
      </c>
      <c r="M1606" s="25" t="n">
        <v>5000</v>
      </c>
      <c r="N1606" s="25" t="n">
        <v>3000</v>
      </c>
      <c r="O1606" s="25"/>
      <c r="P1606" s="26" t="n">
        <f aca="false">(M1606*N1606/1000000)*INDEX(AreaRate_Vals,MATCH(C1606,AreaRate_Keys,0))+INDEX(Hardware_Vals,MATCH("Awnings &amp; Canopy Shading",Hardware_Keys,0))</f>
        <v>18350</v>
      </c>
      <c r="Q1606" s="27" t="n">
        <f aca="false">INDEX(Markup_Vals,MATCH("Outdoor Living &amp; Shading",MarkupCat_Keys,0))</f>
        <v>0.45</v>
      </c>
      <c r="R1606" s="28" t="n">
        <f aca="false">P1606*(1+Q1606)</f>
        <v>26607.5</v>
      </c>
      <c r="S1606" s="28" t="n">
        <f aca="false">R1606*(1-TradeDiscount)</f>
        <v>23414.6</v>
      </c>
      <c r="T1606" s="28" t="n">
        <f aca="false">R1606*(1-VolumeDiscount)</f>
        <v>21286</v>
      </c>
    </row>
    <row r="1607" customFormat="false" ht="15" hidden="false" customHeight="false" outlineLevel="0" collapsed="false">
      <c r="A1607" s="29" t="s">
        <v>3520</v>
      </c>
      <c r="B1607" s="29" t="s">
        <v>121</v>
      </c>
      <c r="C1607" s="29" t="s">
        <v>57</v>
      </c>
      <c r="D1607" s="29" t="s">
        <v>3521</v>
      </c>
      <c r="E1607" s="29" t="s">
        <v>3501</v>
      </c>
      <c r="F1607" s="29" t="s">
        <v>3469</v>
      </c>
      <c r="G1607" s="29" t="s">
        <v>36</v>
      </c>
      <c r="H1607" s="29" t="s">
        <v>3148</v>
      </c>
      <c r="I1607" s="29" t="s">
        <v>190</v>
      </c>
      <c r="J1607" s="29" t="s">
        <v>191</v>
      </c>
      <c r="K1607" s="29" t="s">
        <v>298</v>
      </c>
      <c r="L1607" s="29" t="s">
        <v>31</v>
      </c>
      <c r="M1607" s="29" t="n">
        <v>5000</v>
      </c>
      <c r="N1607" s="29" t="n">
        <v>3000</v>
      </c>
      <c r="O1607" s="29"/>
      <c r="P1607" s="30" t="n">
        <f aca="false">(M1607*N1607/1000000)*INDEX(AreaRate_Vals,MATCH(C1607,AreaRate_Keys,0))+INDEX(Hardware_Vals,MATCH("Awnings &amp; Canopy Shading",Hardware_Keys,0))</f>
        <v>18350</v>
      </c>
      <c r="Q1607" s="31" t="n">
        <f aca="false">INDEX(Markup_Vals,MATCH("Outdoor Living &amp; Shading",MarkupCat_Keys,0))</f>
        <v>0.45</v>
      </c>
      <c r="R1607" s="32" t="n">
        <f aca="false">P1607*(1+Q1607)</f>
        <v>26607.5</v>
      </c>
      <c r="S1607" s="32" t="n">
        <f aca="false">R1607*(1-TradeDiscount)</f>
        <v>23414.6</v>
      </c>
      <c r="T1607" s="32" t="n">
        <f aca="false">R1607*(1-VolumeDiscount)</f>
        <v>21286</v>
      </c>
    </row>
    <row r="1608" customFormat="false" ht="15" hidden="false" customHeight="false" outlineLevel="0" collapsed="false">
      <c r="A1608" s="25" t="s">
        <v>3522</v>
      </c>
      <c r="B1608" s="25" t="s">
        <v>121</v>
      </c>
      <c r="C1608" s="25" t="s">
        <v>57</v>
      </c>
      <c r="D1608" s="25" t="s">
        <v>3523</v>
      </c>
      <c r="E1608" s="25" t="s">
        <v>3501</v>
      </c>
      <c r="F1608" s="25" t="s">
        <v>3469</v>
      </c>
      <c r="G1608" s="25" t="s">
        <v>37</v>
      </c>
      <c r="H1608" s="25" t="s">
        <v>3148</v>
      </c>
      <c r="I1608" s="25" t="s">
        <v>190</v>
      </c>
      <c r="J1608" s="25" t="s">
        <v>191</v>
      </c>
      <c r="K1608" s="25" t="s">
        <v>298</v>
      </c>
      <c r="L1608" s="25" t="s">
        <v>31</v>
      </c>
      <c r="M1608" s="25" t="n">
        <v>5000</v>
      </c>
      <c r="N1608" s="25" t="n">
        <v>3000</v>
      </c>
      <c r="O1608" s="25"/>
      <c r="P1608" s="26" t="n">
        <f aca="false">(M1608*N1608/1000000)*INDEX(AreaRate_Vals,MATCH(C1608,AreaRate_Keys,0))+INDEX(Hardware_Vals,MATCH("Awnings &amp; Canopy Shading",Hardware_Keys,0))</f>
        <v>18350</v>
      </c>
      <c r="Q1608" s="27" t="n">
        <f aca="false">INDEX(Markup_Vals,MATCH("Outdoor Living &amp; Shading",MarkupCat_Keys,0))</f>
        <v>0.45</v>
      </c>
      <c r="R1608" s="28" t="n">
        <f aca="false">P1608*(1+Q1608)</f>
        <v>26607.5</v>
      </c>
      <c r="S1608" s="28" t="n">
        <f aca="false">R1608*(1-TradeDiscount)</f>
        <v>23414.6</v>
      </c>
      <c r="T1608" s="28" t="n">
        <f aca="false">R1608*(1-VolumeDiscount)</f>
        <v>21286</v>
      </c>
    </row>
    <row r="1609" customFormat="false" ht="15" hidden="false" customHeight="false" outlineLevel="0" collapsed="false">
      <c r="A1609" s="29" t="s">
        <v>3524</v>
      </c>
      <c r="B1609" s="29" t="s">
        <v>122</v>
      </c>
      <c r="C1609" s="29" t="s">
        <v>3525</v>
      </c>
      <c r="D1609" s="29" t="s">
        <v>3526</v>
      </c>
      <c r="E1609" s="29" t="s">
        <v>99</v>
      </c>
      <c r="F1609" s="29" t="s">
        <v>3527</v>
      </c>
      <c r="G1609" s="29" t="s">
        <v>35</v>
      </c>
      <c r="H1609" s="29" t="s">
        <v>71</v>
      </c>
      <c r="I1609" s="29" t="s">
        <v>3528</v>
      </c>
      <c r="J1609" s="29" t="s">
        <v>3529</v>
      </c>
      <c r="K1609" s="29" t="s">
        <v>298</v>
      </c>
      <c r="L1609" s="29" t="s">
        <v>33</v>
      </c>
      <c r="M1609" s="29"/>
      <c r="N1609" s="29"/>
      <c r="O1609" s="29" t="n">
        <v>1</v>
      </c>
      <c r="P1609" s="30" t="n">
        <f aca="false">(O1609*(INDEX(FrameWeight_Vals,MATCH(L1609,FrameWeight_Keys,0))*AlumCostPerKg+INDEX(Finish_Vals,MATCH(G1609,Finish_Keys,0)))+O1609*INDEX(InfillRun_Vals,MATCH(E1609,InfillRun_Keys,0)))</f>
        <v>2250.9</v>
      </c>
      <c r="Q1609" s="31" t="n">
        <f aca="false">INDEX(Markup_Vals,MATCH("Railing &amp; Screening Systems",MarkupCat_Keys,0))</f>
        <v>0.42</v>
      </c>
      <c r="R1609" s="32" t="n">
        <f aca="false">P1609*(1+Q1609)</f>
        <v>3196.278</v>
      </c>
      <c r="S1609" s="32" t="n">
        <f aca="false">R1609*(1-TradeDiscount)</f>
        <v>2812.72464</v>
      </c>
      <c r="T1609" s="32" t="n">
        <f aca="false">R1609*(1-VolumeDiscount)</f>
        <v>2557.0224</v>
      </c>
    </row>
    <row r="1610" customFormat="false" ht="15" hidden="false" customHeight="false" outlineLevel="0" collapsed="false">
      <c r="A1610" s="25" t="s">
        <v>3530</v>
      </c>
      <c r="B1610" s="25" t="s">
        <v>122</v>
      </c>
      <c r="C1610" s="25" t="s">
        <v>3525</v>
      </c>
      <c r="D1610" s="25" t="s">
        <v>3531</v>
      </c>
      <c r="E1610" s="25" t="s">
        <v>99</v>
      </c>
      <c r="F1610" s="25" t="s">
        <v>3527</v>
      </c>
      <c r="G1610" s="25" t="s">
        <v>36</v>
      </c>
      <c r="H1610" s="25" t="s">
        <v>71</v>
      </c>
      <c r="I1610" s="25" t="s">
        <v>3528</v>
      </c>
      <c r="J1610" s="25" t="s">
        <v>3529</v>
      </c>
      <c r="K1610" s="25" t="s">
        <v>298</v>
      </c>
      <c r="L1610" s="25" t="s">
        <v>33</v>
      </c>
      <c r="M1610" s="25"/>
      <c r="N1610" s="25"/>
      <c r="O1610" s="25" t="n">
        <v>1</v>
      </c>
      <c r="P1610" s="26" t="n">
        <f aca="false">(O1610*(INDEX(FrameWeight_Vals,MATCH(L1610,FrameWeight_Keys,0))*AlumCostPerKg+INDEX(Finish_Vals,MATCH(G1610,Finish_Keys,0)))+O1610*INDEX(InfillRun_Vals,MATCH(E1610,InfillRun_Keys,0)))</f>
        <v>2263.9</v>
      </c>
      <c r="Q1610" s="27" t="n">
        <f aca="false">INDEX(Markup_Vals,MATCH("Railing &amp; Screening Systems",MarkupCat_Keys,0))</f>
        <v>0.42</v>
      </c>
      <c r="R1610" s="28" t="n">
        <f aca="false">P1610*(1+Q1610)</f>
        <v>3214.738</v>
      </c>
      <c r="S1610" s="28" t="n">
        <f aca="false">R1610*(1-TradeDiscount)</f>
        <v>2828.96944</v>
      </c>
      <c r="T1610" s="28" t="n">
        <f aca="false">R1610*(1-VolumeDiscount)</f>
        <v>2571.7904</v>
      </c>
    </row>
    <row r="1611" customFormat="false" ht="15" hidden="false" customHeight="false" outlineLevel="0" collapsed="false">
      <c r="A1611" s="29" t="s">
        <v>3532</v>
      </c>
      <c r="B1611" s="29" t="s">
        <v>122</v>
      </c>
      <c r="C1611" s="29" t="s">
        <v>3525</v>
      </c>
      <c r="D1611" s="29" t="s">
        <v>3533</v>
      </c>
      <c r="E1611" s="29" t="s">
        <v>99</v>
      </c>
      <c r="F1611" s="29" t="s">
        <v>3527</v>
      </c>
      <c r="G1611" s="29" t="s">
        <v>37</v>
      </c>
      <c r="H1611" s="29" t="s">
        <v>71</v>
      </c>
      <c r="I1611" s="29" t="s">
        <v>3528</v>
      </c>
      <c r="J1611" s="29" t="s">
        <v>3529</v>
      </c>
      <c r="K1611" s="29" t="s">
        <v>298</v>
      </c>
      <c r="L1611" s="29" t="s">
        <v>33</v>
      </c>
      <c r="M1611" s="29"/>
      <c r="N1611" s="29"/>
      <c r="O1611" s="29" t="n">
        <v>1</v>
      </c>
      <c r="P1611" s="30" t="n">
        <f aca="false">(O1611*(INDEX(FrameWeight_Vals,MATCH(L1611,FrameWeight_Keys,0))*AlumCostPerKg+INDEX(Finish_Vals,MATCH(G1611,Finish_Keys,0)))+O1611*INDEX(InfillRun_Vals,MATCH(E1611,InfillRun_Keys,0)))</f>
        <v>2263.9</v>
      </c>
      <c r="Q1611" s="31" t="n">
        <f aca="false">INDEX(Markup_Vals,MATCH("Railing &amp; Screening Systems",MarkupCat_Keys,0))</f>
        <v>0.42</v>
      </c>
      <c r="R1611" s="32" t="n">
        <f aca="false">P1611*(1+Q1611)</f>
        <v>3214.738</v>
      </c>
      <c r="S1611" s="32" t="n">
        <f aca="false">R1611*(1-TradeDiscount)</f>
        <v>2828.96944</v>
      </c>
      <c r="T1611" s="32" t="n">
        <f aca="false">R1611*(1-VolumeDiscount)</f>
        <v>2571.7904</v>
      </c>
    </row>
    <row r="1612" customFormat="false" ht="15" hidden="false" customHeight="false" outlineLevel="0" collapsed="false">
      <c r="A1612" s="25" t="s">
        <v>3534</v>
      </c>
      <c r="B1612" s="25" t="s">
        <v>122</v>
      </c>
      <c r="C1612" s="25" t="s">
        <v>3525</v>
      </c>
      <c r="D1612" s="25" t="s">
        <v>3535</v>
      </c>
      <c r="E1612" s="25" t="s">
        <v>99</v>
      </c>
      <c r="F1612" s="25" t="s">
        <v>3527</v>
      </c>
      <c r="G1612" s="25" t="s">
        <v>39</v>
      </c>
      <c r="H1612" s="25" t="s">
        <v>71</v>
      </c>
      <c r="I1612" s="25" t="s">
        <v>3528</v>
      </c>
      <c r="J1612" s="25" t="s">
        <v>3529</v>
      </c>
      <c r="K1612" s="25" t="s">
        <v>298</v>
      </c>
      <c r="L1612" s="25" t="s">
        <v>33</v>
      </c>
      <c r="M1612" s="25"/>
      <c r="N1612" s="25"/>
      <c r="O1612" s="25" t="n">
        <v>1</v>
      </c>
      <c r="P1612" s="26" t="n">
        <f aca="false">(O1612*(INDEX(FrameWeight_Vals,MATCH(L1612,FrameWeight_Keys,0))*AlumCostPerKg+INDEX(Finish_Vals,MATCH(G1612,Finish_Keys,0)))+O1612*INDEX(InfillRun_Vals,MATCH(E1612,InfillRun_Keys,0)))</f>
        <v>2280.9</v>
      </c>
      <c r="Q1612" s="27" t="n">
        <f aca="false">INDEX(Markup_Vals,MATCH("Railing &amp; Screening Systems",MarkupCat_Keys,0))</f>
        <v>0.42</v>
      </c>
      <c r="R1612" s="28" t="n">
        <f aca="false">P1612*(1+Q1612)</f>
        <v>3238.878</v>
      </c>
      <c r="S1612" s="28" t="n">
        <f aca="false">R1612*(1-TradeDiscount)</f>
        <v>2850.21264</v>
      </c>
      <c r="T1612" s="28" t="n">
        <f aca="false">R1612*(1-VolumeDiscount)</f>
        <v>2591.1024</v>
      </c>
    </row>
    <row r="1613" customFormat="false" ht="15" hidden="false" customHeight="false" outlineLevel="0" collapsed="false">
      <c r="A1613" s="29" t="s">
        <v>3536</v>
      </c>
      <c r="B1613" s="29" t="s">
        <v>122</v>
      </c>
      <c r="C1613" s="29" t="s">
        <v>3525</v>
      </c>
      <c r="D1613" s="29" t="s">
        <v>3537</v>
      </c>
      <c r="E1613" s="29" t="s">
        <v>99</v>
      </c>
      <c r="F1613" s="29" t="s">
        <v>3538</v>
      </c>
      <c r="G1613" s="29" t="s">
        <v>35</v>
      </c>
      <c r="H1613" s="29" t="s">
        <v>71</v>
      </c>
      <c r="I1613" s="29" t="s">
        <v>3528</v>
      </c>
      <c r="J1613" s="29" t="s">
        <v>3529</v>
      </c>
      <c r="K1613" s="29" t="s">
        <v>298</v>
      </c>
      <c r="L1613" s="29" t="s">
        <v>33</v>
      </c>
      <c r="M1613" s="29"/>
      <c r="N1613" s="29"/>
      <c r="O1613" s="29" t="n">
        <v>2</v>
      </c>
      <c r="P1613" s="30" t="n">
        <f aca="false">(O1613*(INDEX(FrameWeight_Vals,MATCH(L1613,FrameWeight_Keys,0))*AlumCostPerKg+INDEX(Finish_Vals,MATCH(G1613,Finish_Keys,0)))+O1613*INDEX(InfillRun_Vals,MATCH(E1613,InfillRun_Keys,0)))</f>
        <v>4501.8</v>
      </c>
      <c r="Q1613" s="31" t="n">
        <f aca="false">INDEX(Markup_Vals,MATCH("Railing &amp; Screening Systems",MarkupCat_Keys,0))</f>
        <v>0.42</v>
      </c>
      <c r="R1613" s="32" t="n">
        <f aca="false">P1613*(1+Q1613)</f>
        <v>6392.556</v>
      </c>
      <c r="S1613" s="32" t="n">
        <f aca="false">R1613*(1-TradeDiscount)</f>
        <v>5625.44928</v>
      </c>
      <c r="T1613" s="32" t="n">
        <f aca="false">R1613*(1-VolumeDiscount)</f>
        <v>5114.0448</v>
      </c>
    </row>
    <row r="1614" customFormat="false" ht="15" hidden="false" customHeight="false" outlineLevel="0" collapsed="false">
      <c r="A1614" s="25" t="s">
        <v>3539</v>
      </c>
      <c r="B1614" s="25" t="s">
        <v>122</v>
      </c>
      <c r="C1614" s="25" t="s">
        <v>3525</v>
      </c>
      <c r="D1614" s="25" t="s">
        <v>3540</v>
      </c>
      <c r="E1614" s="25" t="s">
        <v>99</v>
      </c>
      <c r="F1614" s="25" t="s">
        <v>3538</v>
      </c>
      <c r="G1614" s="25" t="s">
        <v>36</v>
      </c>
      <c r="H1614" s="25" t="s">
        <v>71</v>
      </c>
      <c r="I1614" s="25" t="s">
        <v>3528</v>
      </c>
      <c r="J1614" s="25" t="s">
        <v>3529</v>
      </c>
      <c r="K1614" s="25" t="s">
        <v>298</v>
      </c>
      <c r="L1614" s="25" t="s">
        <v>33</v>
      </c>
      <c r="M1614" s="25"/>
      <c r="N1614" s="25"/>
      <c r="O1614" s="25" t="n">
        <v>2</v>
      </c>
      <c r="P1614" s="26" t="n">
        <f aca="false">(O1614*(INDEX(FrameWeight_Vals,MATCH(L1614,FrameWeight_Keys,0))*AlumCostPerKg+INDEX(Finish_Vals,MATCH(G1614,Finish_Keys,0)))+O1614*INDEX(InfillRun_Vals,MATCH(E1614,InfillRun_Keys,0)))</f>
        <v>4527.8</v>
      </c>
      <c r="Q1614" s="27" t="n">
        <f aca="false">INDEX(Markup_Vals,MATCH("Railing &amp; Screening Systems",MarkupCat_Keys,0))</f>
        <v>0.42</v>
      </c>
      <c r="R1614" s="28" t="n">
        <f aca="false">P1614*(1+Q1614)</f>
        <v>6429.476</v>
      </c>
      <c r="S1614" s="28" t="n">
        <f aca="false">R1614*(1-TradeDiscount)</f>
        <v>5657.93888</v>
      </c>
      <c r="T1614" s="28" t="n">
        <f aca="false">R1614*(1-VolumeDiscount)</f>
        <v>5143.5808</v>
      </c>
    </row>
    <row r="1615" customFormat="false" ht="15" hidden="false" customHeight="false" outlineLevel="0" collapsed="false">
      <c r="A1615" s="29" t="s">
        <v>3541</v>
      </c>
      <c r="B1615" s="29" t="s">
        <v>122</v>
      </c>
      <c r="C1615" s="29" t="s">
        <v>3525</v>
      </c>
      <c r="D1615" s="29" t="s">
        <v>3542</v>
      </c>
      <c r="E1615" s="29" t="s">
        <v>99</v>
      </c>
      <c r="F1615" s="29" t="s">
        <v>3538</v>
      </c>
      <c r="G1615" s="29" t="s">
        <v>37</v>
      </c>
      <c r="H1615" s="29" t="s">
        <v>71</v>
      </c>
      <c r="I1615" s="29" t="s">
        <v>3528</v>
      </c>
      <c r="J1615" s="29" t="s">
        <v>3529</v>
      </c>
      <c r="K1615" s="29" t="s">
        <v>298</v>
      </c>
      <c r="L1615" s="29" t="s">
        <v>33</v>
      </c>
      <c r="M1615" s="29"/>
      <c r="N1615" s="29"/>
      <c r="O1615" s="29" t="n">
        <v>2</v>
      </c>
      <c r="P1615" s="30" t="n">
        <f aca="false">(O1615*(INDEX(FrameWeight_Vals,MATCH(L1615,FrameWeight_Keys,0))*AlumCostPerKg+INDEX(Finish_Vals,MATCH(G1615,Finish_Keys,0)))+O1615*INDEX(InfillRun_Vals,MATCH(E1615,InfillRun_Keys,0)))</f>
        <v>4527.8</v>
      </c>
      <c r="Q1615" s="31" t="n">
        <f aca="false">INDEX(Markup_Vals,MATCH("Railing &amp; Screening Systems",MarkupCat_Keys,0))</f>
        <v>0.42</v>
      </c>
      <c r="R1615" s="32" t="n">
        <f aca="false">P1615*(1+Q1615)</f>
        <v>6429.476</v>
      </c>
      <c r="S1615" s="32" t="n">
        <f aca="false">R1615*(1-TradeDiscount)</f>
        <v>5657.93888</v>
      </c>
      <c r="T1615" s="32" t="n">
        <f aca="false">R1615*(1-VolumeDiscount)</f>
        <v>5143.5808</v>
      </c>
    </row>
    <row r="1616" customFormat="false" ht="15" hidden="false" customHeight="false" outlineLevel="0" collapsed="false">
      <c r="A1616" s="25" t="s">
        <v>3543</v>
      </c>
      <c r="B1616" s="25" t="s">
        <v>122</v>
      </c>
      <c r="C1616" s="25" t="s">
        <v>3525</v>
      </c>
      <c r="D1616" s="25" t="s">
        <v>3544</v>
      </c>
      <c r="E1616" s="25" t="s">
        <v>99</v>
      </c>
      <c r="F1616" s="25" t="s">
        <v>3538</v>
      </c>
      <c r="G1616" s="25" t="s">
        <v>39</v>
      </c>
      <c r="H1616" s="25" t="s">
        <v>71</v>
      </c>
      <c r="I1616" s="25" t="s">
        <v>3528</v>
      </c>
      <c r="J1616" s="25" t="s">
        <v>3529</v>
      </c>
      <c r="K1616" s="25" t="s">
        <v>298</v>
      </c>
      <c r="L1616" s="25" t="s">
        <v>33</v>
      </c>
      <c r="M1616" s="25"/>
      <c r="N1616" s="25"/>
      <c r="O1616" s="25" t="n">
        <v>2</v>
      </c>
      <c r="P1616" s="26" t="n">
        <f aca="false">(O1616*(INDEX(FrameWeight_Vals,MATCH(L1616,FrameWeight_Keys,0))*AlumCostPerKg+INDEX(Finish_Vals,MATCH(G1616,Finish_Keys,0)))+O1616*INDEX(InfillRun_Vals,MATCH(E1616,InfillRun_Keys,0)))</f>
        <v>4561.8</v>
      </c>
      <c r="Q1616" s="27" t="n">
        <f aca="false">INDEX(Markup_Vals,MATCH("Railing &amp; Screening Systems",MarkupCat_Keys,0))</f>
        <v>0.42</v>
      </c>
      <c r="R1616" s="28" t="n">
        <f aca="false">P1616*(1+Q1616)</f>
        <v>6477.756</v>
      </c>
      <c r="S1616" s="28" t="n">
        <f aca="false">R1616*(1-TradeDiscount)</f>
        <v>5700.42528</v>
      </c>
      <c r="T1616" s="28" t="n">
        <f aca="false">R1616*(1-VolumeDiscount)</f>
        <v>5182.2048</v>
      </c>
    </row>
    <row r="1617" customFormat="false" ht="15" hidden="false" customHeight="false" outlineLevel="0" collapsed="false">
      <c r="A1617" s="29" t="s">
        <v>3545</v>
      </c>
      <c r="B1617" s="29" t="s">
        <v>122</v>
      </c>
      <c r="C1617" s="29" t="s">
        <v>3525</v>
      </c>
      <c r="D1617" s="29" t="s">
        <v>3546</v>
      </c>
      <c r="E1617" s="29" t="s">
        <v>99</v>
      </c>
      <c r="F1617" s="29" t="s">
        <v>3547</v>
      </c>
      <c r="G1617" s="29" t="s">
        <v>35</v>
      </c>
      <c r="H1617" s="29" t="s">
        <v>71</v>
      </c>
      <c r="I1617" s="29" t="s">
        <v>3528</v>
      </c>
      <c r="J1617" s="29" t="s">
        <v>3529</v>
      </c>
      <c r="K1617" s="29" t="s">
        <v>298</v>
      </c>
      <c r="L1617" s="29" t="s">
        <v>33</v>
      </c>
      <c r="M1617" s="29"/>
      <c r="N1617" s="29"/>
      <c r="O1617" s="29" t="n">
        <v>3</v>
      </c>
      <c r="P1617" s="30" t="n">
        <f aca="false">(O1617*(INDEX(FrameWeight_Vals,MATCH(L1617,FrameWeight_Keys,0))*AlumCostPerKg+INDEX(Finish_Vals,MATCH(G1617,Finish_Keys,0)))+O1617*INDEX(InfillRun_Vals,MATCH(E1617,InfillRun_Keys,0)))</f>
        <v>6752.7</v>
      </c>
      <c r="Q1617" s="31" t="n">
        <f aca="false">INDEX(Markup_Vals,MATCH("Railing &amp; Screening Systems",MarkupCat_Keys,0))</f>
        <v>0.42</v>
      </c>
      <c r="R1617" s="32" t="n">
        <f aca="false">P1617*(1+Q1617)</f>
        <v>9588.834</v>
      </c>
      <c r="S1617" s="32" t="n">
        <f aca="false">R1617*(1-TradeDiscount)</f>
        <v>8438.17392</v>
      </c>
      <c r="T1617" s="32" t="n">
        <f aca="false">R1617*(1-VolumeDiscount)</f>
        <v>7671.0672</v>
      </c>
    </row>
    <row r="1618" customFormat="false" ht="15" hidden="false" customHeight="false" outlineLevel="0" collapsed="false">
      <c r="A1618" s="25" t="s">
        <v>3548</v>
      </c>
      <c r="B1618" s="25" t="s">
        <v>122</v>
      </c>
      <c r="C1618" s="25" t="s">
        <v>3525</v>
      </c>
      <c r="D1618" s="25" t="s">
        <v>3549</v>
      </c>
      <c r="E1618" s="25" t="s">
        <v>99</v>
      </c>
      <c r="F1618" s="25" t="s">
        <v>3547</v>
      </c>
      <c r="G1618" s="25" t="s">
        <v>36</v>
      </c>
      <c r="H1618" s="25" t="s">
        <v>71</v>
      </c>
      <c r="I1618" s="25" t="s">
        <v>3528</v>
      </c>
      <c r="J1618" s="25" t="s">
        <v>3529</v>
      </c>
      <c r="K1618" s="25" t="s">
        <v>298</v>
      </c>
      <c r="L1618" s="25" t="s">
        <v>33</v>
      </c>
      <c r="M1618" s="25"/>
      <c r="N1618" s="25"/>
      <c r="O1618" s="25" t="n">
        <v>3</v>
      </c>
      <c r="P1618" s="26" t="n">
        <f aca="false">(O1618*(INDEX(FrameWeight_Vals,MATCH(L1618,FrameWeight_Keys,0))*AlumCostPerKg+INDEX(Finish_Vals,MATCH(G1618,Finish_Keys,0)))+O1618*INDEX(InfillRun_Vals,MATCH(E1618,InfillRun_Keys,0)))</f>
        <v>6791.7</v>
      </c>
      <c r="Q1618" s="27" t="n">
        <f aca="false">INDEX(Markup_Vals,MATCH("Railing &amp; Screening Systems",MarkupCat_Keys,0))</f>
        <v>0.42</v>
      </c>
      <c r="R1618" s="28" t="n">
        <f aca="false">P1618*(1+Q1618)</f>
        <v>9644.214</v>
      </c>
      <c r="S1618" s="28" t="n">
        <f aca="false">R1618*(1-TradeDiscount)</f>
        <v>8486.90832</v>
      </c>
      <c r="T1618" s="28" t="n">
        <f aca="false">R1618*(1-VolumeDiscount)</f>
        <v>7715.3712</v>
      </c>
    </row>
    <row r="1619" customFormat="false" ht="15" hidden="false" customHeight="false" outlineLevel="0" collapsed="false">
      <c r="A1619" s="29" t="s">
        <v>3550</v>
      </c>
      <c r="B1619" s="29" t="s">
        <v>122</v>
      </c>
      <c r="C1619" s="29" t="s">
        <v>3525</v>
      </c>
      <c r="D1619" s="29" t="s">
        <v>3551</v>
      </c>
      <c r="E1619" s="29" t="s">
        <v>99</v>
      </c>
      <c r="F1619" s="29" t="s">
        <v>3547</v>
      </c>
      <c r="G1619" s="29" t="s">
        <v>37</v>
      </c>
      <c r="H1619" s="29" t="s">
        <v>71</v>
      </c>
      <c r="I1619" s="29" t="s">
        <v>3528</v>
      </c>
      <c r="J1619" s="29" t="s">
        <v>3529</v>
      </c>
      <c r="K1619" s="29" t="s">
        <v>298</v>
      </c>
      <c r="L1619" s="29" t="s">
        <v>33</v>
      </c>
      <c r="M1619" s="29"/>
      <c r="N1619" s="29"/>
      <c r="O1619" s="29" t="n">
        <v>3</v>
      </c>
      <c r="P1619" s="30" t="n">
        <f aca="false">(O1619*(INDEX(FrameWeight_Vals,MATCH(L1619,FrameWeight_Keys,0))*AlumCostPerKg+INDEX(Finish_Vals,MATCH(G1619,Finish_Keys,0)))+O1619*INDEX(InfillRun_Vals,MATCH(E1619,InfillRun_Keys,0)))</f>
        <v>6791.7</v>
      </c>
      <c r="Q1619" s="31" t="n">
        <f aca="false">INDEX(Markup_Vals,MATCH("Railing &amp; Screening Systems",MarkupCat_Keys,0))</f>
        <v>0.42</v>
      </c>
      <c r="R1619" s="32" t="n">
        <f aca="false">P1619*(1+Q1619)</f>
        <v>9644.214</v>
      </c>
      <c r="S1619" s="32" t="n">
        <f aca="false">R1619*(1-TradeDiscount)</f>
        <v>8486.90832</v>
      </c>
      <c r="T1619" s="32" t="n">
        <f aca="false">R1619*(1-VolumeDiscount)</f>
        <v>7715.3712</v>
      </c>
    </row>
    <row r="1620" customFormat="false" ht="15" hidden="false" customHeight="false" outlineLevel="0" collapsed="false">
      <c r="A1620" s="25" t="s">
        <v>3552</v>
      </c>
      <c r="B1620" s="25" t="s">
        <v>122</v>
      </c>
      <c r="C1620" s="25" t="s">
        <v>3525</v>
      </c>
      <c r="D1620" s="25" t="s">
        <v>3553</v>
      </c>
      <c r="E1620" s="25" t="s">
        <v>99</v>
      </c>
      <c r="F1620" s="25" t="s">
        <v>3547</v>
      </c>
      <c r="G1620" s="25" t="s">
        <v>39</v>
      </c>
      <c r="H1620" s="25" t="s">
        <v>71</v>
      </c>
      <c r="I1620" s="25" t="s">
        <v>3528</v>
      </c>
      <c r="J1620" s="25" t="s">
        <v>3529</v>
      </c>
      <c r="K1620" s="25" t="s">
        <v>298</v>
      </c>
      <c r="L1620" s="25" t="s">
        <v>33</v>
      </c>
      <c r="M1620" s="25"/>
      <c r="N1620" s="25"/>
      <c r="O1620" s="25" t="n">
        <v>3</v>
      </c>
      <c r="P1620" s="26" t="n">
        <f aca="false">(O1620*(INDEX(FrameWeight_Vals,MATCH(L1620,FrameWeight_Keys,0))*AlumCostPerKg+INDEX(Finish_Vals,MATCH(G1620,Finish_Keys,0)))+O1620*INDEX(InfillRun_Vals,MATCH(E1620,InfillRun_Keys,0)))</f>
        <v>6842.7</v>
      </c>
      <c r="Q1620" s="27" t="n">
        <f aca="false">INDEX(Markup_Vals,MATCH("Railing &amp; Screening Systems",MarkupCat_Keys,0))</f>
        <v>0.42</v>
      </c>
      <c r="R1620" s="28" t="n">
        <f aca="false">P1620*(1+Q1620)</f>
        <v>9716.634</v>
      </c>
      <c r="S1620" s="28" t="n">
        <f aca="false">R1620*(1-TradeDiscount)</f>
        <v>8550.63792</v>
      </c>
      <c r="T1620" s="28" t="n">
        <f aca="false">R1620*(1-VolumeDiscount)</f>
        <v>7773.3072</v>
      </c>
    </row>
    <row r="1621" customFormat="false" ht="15" hidden="false" customHeight="false" outlineLevel="0" collapsed="false">
      <c r="A1621" s="29" t="s">
        <v>3554</v>
      </c>
      <c r="B1621" s="29" t="s">
        <v>122</v>
      </c>
      <c r="C1621" s="29" t="s">
        <v>3525</v>
      </c>
      <c r="D1621" s="29" t="s">
        <v>3555</v>
      </c>
      <c r="E1621" s="29" t="s">
        <v>99</v>
      </c>
      <c r="F1621" s="29" t="s">
        <v>3556</v>
      </c>
      <c r="G1621" s="29" t="s">
        <v>35</v>
      </c>
      <c r="H1621" s="29" t="s">
        <v>71</v>
      </c>
      <c r="I1621" s="29" t="s">
        <v>3528</v>
      </c>
      <c r="J1621" s="29" t="s">
        <v>3529</v>
      </c>
      <c r="K1621" s="29" t="s">
        <v>298</v>
      </c>
      <c r="L1621" s="29" t="s">
        <v>33</v>
      </c>
      <c r="M1621" s="29"/>
      <c r="N1621" s="29"/>
      <c r="O1621" s="29" t="n">
        <v>4</v>
      </c>
      <c r="P1621" s="30" t="n">
        <f aca="false">(O1621*(INDEX(FrameWeight_Vals,MATCH(L1621,FrameWeight_Keys,0))*AlumCostPerKg+INDEX(Finish_Vals,MATCH(G1621,Finish_Keys,0)))+O1621*INDEX(InfillRun_Vals,MATCH(E1621,InfillRun_Keys,0)))</f>
        <v>9003.6</v>
      </c>
      <c r="Q1621" s="31" t="n">
        <f aca="false">INDEX(Markup_Vals,MATCH("Railing &amp; Screening Systems",MarkupCat_Keys,0))</f>
        <v>0.42</v>
      </c>
      <c r="R1621" s="32" t="n">
        <f aca="false">P1621*(1+Q1621)</f>
        <v>12785.112</v>
      </c>
      <c r="S1621" s="32" t="n">
        <f aca="false">R1621*(1-TradeDiscount)</f>
        <v>11250.89856</v>
      </c>
      <c r="T1621" s="32" t="n">
        <f aca="false">R1621*(1-VolumeDiscount)</f>
        <v>10228.0896</v>
      </c>
    </row>
    <row r="1622" customFormat="false" ht="15" hidden="false" customHeight="false" outlineLevel="0" collapsed="false">
      <c r="A1622" s="25" t="s">
        <v>3557</v>
      </c>
      <c r="B1622" s="25" t="s">
        <v>122</v>
      </c>
      <c r="C1622" s="25" t="s">
        <v>3525</v>
      </c>
      <c r="D1622" s="25" t="s">
        <v>3558</v>
      </c>
      <c r="E1622" s="25" t="s">
        <v>99</v>
      </c>
      <c r="F1622" s="25" t="s">
        <v>3556</v>
      </c>
      <c r="G1622" s="25" t="s">
        <v>36</v>
      </c>
      <c r="H1622" s="25" t="s">
        <v>71</v>
      </c>
      <c r="I1622" s="25" t="s">
        <v>3528</v>
      </c>
      <c r="J1622" s="25" t="s">
        <v>3529</v>
      </c>
      <c r="K1622" s="25" t="s">
        <v>298</v>
      </c>
      <c r="L1622" s="25" t="s">
        <v>33</v>
      </c>
      <c r="M1622" s="25"/>
      <c r="N1622" s="25"/>
      <c r="O1622" s="25" t="n">
        <v>4</v>
      </c>
      <c r="P1622" s="26" t="n">
        <f aca="false">(O1622*(INDEX(FrameWeight_Vals,MATCH(L1622,FrameWeight_Keys,0))*AlumCostPerKg+INDEX(Finish_Vals,MATCH(G1622,Finish_Keys,0)))+O1622*INDEX(InfillRun_Vals,MATCH(E1622,InfillRun_Keys,0)))</f>
        <v>9055.6</v>
      </c>
      <c r="Q1622" s="27" t="n">
        <f aca="false">INDEX(Markup_Vals,MATCH("Railing &amp; Screening Systems",MarkupCat_Keys,0))</f>
        <v>0.42</v>
      </c>
      <c r="R1622" s="28" t="n">
        <f aca="false">P1622*(1+Q1622)</f>
        <v>12858.952</v>
      </c>
      <c r="S1622" s="28" t="n">
        <f aca="false">R1622*(1-TradeDiscount)</f>
        <v>11315.87776</v>
      </c>
      <c r="T1622" s="28" t="n">
        <f aca="false">R1622*(1-VolumeDiscount)</f>
        <v>10287.1616</v>
      </c>
    </row>
    <row r="1623" customFormat="false" ht="15" hidden="false" customHeight="false" outlineLevel="0" collapsed="false">
      <c r="A1623" s="29" t="s">
        <v>3559</v>
      </c>
      <c r="B1623" s="29" t="s">
        <v>122</v>
      </c>
      <c r="C1623" s="29" t="s">
        <v>3525</v>
      </c>
      <c r="D1623" s="29" t="s">
        <v>3560</v>
      </c>
      <c r="E1623" s="29" t="s">
        <v>99</v>
      </c>
      <c r="F1623" s="29" t="s">
        <v>3556</v>
      </c>
      <c r="G1623" s="29" t="s">
        <v>37</v>
      </c>
      <c r="H1623" s="29" t="s">
        <v>71</v>
      </c>
      <c r="I1623" s="29" t="s">
        <v>3528</v>
      </c>
      <c r="J1623" s="29" t="s">
        <v>3529</v>
      </c>
      <c r="K1623" s="29" t="s">
        <v>298</v>
      </c>
      <c r="L1623" s="29" t="s">
        <v>33</v>
      </c>
      <c r="M1623" s="29"/>
      <c r="N1623" s="29"/>
      <c r="O1623" s="29" t="n">
        <v>4</v>
      </c>
      <c r="P1623" s="30" t="n">
        <f aca="false">(O1623*(INDEX(FrameWeight_Vals,MATCH(L1623,FrameWeight_Keys,0))*AlumCostPerKg+INDEX(Finish_Vals,MATCH(G1623,Finish_Keys,0)))+O1623*INDEX(InfillRun_Vals,MATCH(E1623,InfillRun_Keys,0)))</f>
        <v>9055.6</v>
      </c>
      <c r="Q1623" s="31" t="n">
        <f aca="false">INDEX(Markup_Vals,MATCH("Railing &amp; Screening Systems",MarkupCat_Keys,0))</f>
        <v>0.42</v>
      </c>
      <c r="R1623" s="32" t="n">
        <f aca="false">P1623*(1+Q1623)</f>
        <v>12858.952</v>
      </c>
      <c r="S1623" s="32" t="n">
        <f aca="false">R1623*(1-TradeDiscount)</f>
        <v>11315.87776</v>
      </c>
      <c r="T1623" s="32" t="n">
        <f aca="false">R1623*(1-VolumeDiscount)</f>
        <v>10287.1616</v>
      </c>
    </row>
    <row r="1624" customFormat="false" ht="15" hidden="false" customHeight="false" outlineLevel="0" collapsed="false">
      <c r="A1624" s="25" t="s">
        <v>3561</v>
      </c>
      <c r="B1624" s="25" t="s">
        <v>122</v>
      </c>
      <c r="C1624" s="25" t="s">
        <v>3525</v>
      </c>
      <c r="D1624" s="25" t="s">
        <v>3562</v>
      </c>
      <c r="E1624" s="25" t="s">
        <v>99</v>
      </c>
      <c r="F1624" s="25" t="s">
        <v>3556</v>
      </c>
      <c r="G1624" s="25" t="s">
        <v>39</v>
      </c>
      <c r="H1624" s="25" t="s">
        <v>71</v>
      </c>
      <c r="I1624" s="25" t="s">
        <v>3528</v>
      </c>
      <c r="J1624" s="25" t="s">
        <v>3529</v>
      </c>
      <c r="K1624" s="25" t="s">
        <v>298</v>
      </c>
      <c r="L1624" s="25" t="s">
        <v>33</v>
      </c>
      <c r="M1624" s="25"/>
      <c r="N1624" s="25"/>
      <c r="O1624" s="25" t="n">
        <v>4</v>
      </c>
      <c r="P1624" s="26" t="n">
        <f aca="false">(O1624*(INDEX(FrameWeight_Vals,MATCH(L1624,FrameWeight_Keys,0))*AlumCostPerKg+INDEX(Finish_Vals,MATCH(G1624,Finish_Keys,0)))+O1624*INDEX(InfillRun_Vals,MATCH(E1624,InfillRun_Keys,0)))</f>
        <v>9123.6</v>
      </c>
      <c r="Q1624" s="27" t="n">
        <f aca="false">INDEX(Markup_Vals,MATCH("Railing &amp; Screening Systems",MarkupCat_Keys,0))</f>
        <v>0.42</v>
      </c>
      <c r="R1624" s="28" t="n">
        <f aca="false">P1624*(1+Q1624)</f>
        <v>12955.512</v>
      </c>
      <c r="S1624" s="28" t="n">
        <f aca="false">R1624*(1-TradeDiscount)</f>
        <v>11400.85056</v>
      </c>
      <c r="T1624" s="28" t="n">
        <f aca="false">R1624*(1-VolumeDiscount)</f>
        <v>10364.4096</v>
      </c>
    </row>
    <row r="1625" customFormat="false" ht="15" hidden="false" customHeight="false" outlineLevel="0" collapsed="false">
      <c r="A1625" s="29" t="s">
        <v>3563</v>
      </c>
      <c r="B1625" s="29" t="s">
        <v>122</v>
      </c>
      <c r="C1625" s="29" t="s">
        <v>3525</v>
      </c>
      <c r="D1625" s="29" t="s">
        <v>3564</v>
      </c>
      <c r="E1625" s="29" t="s">
        <v>99</v>
      </c>
      <c r="F1625" s="29" t="s">
        <v>3565</v>
      </c>
      <c r="G1625" s="29" t="s">
        <v>35</v>
      </c>
      <c r="H1625" s="29" t="s">
        <v>71</v>
      </c>
      <c r="I1625" s="29" t="s">
        <v>3528</v>
      </c>
      <c r="J1625" s="29" t="s">
        <v>3529</v>
      </c>
      <c r="K1625" s="29" t="s">
        <v>298</v>
      </c>
      <c r="L1625" s="29" t="s">
        <v>33</v>
      </c>
      <c r="M1625" s="29"/>
      <c r="N1625" s="29"/>
      <c r="O1625" s="29" t="n">
        <v>5</v>
      </c>
      <c r="P1625" s="30" t="n">
        <f aca="false">(O1625*(INDEX(FrameWeight_Vals,MATCH(L1625,FrameWeight_Keys,0))*AlumCostPerKg+INDEX(Finish_Vals,MATCH(G1625,Finish_Keys,0)))+O1625*INDEX(InfillRun_Vals,MATCH(E1625,InfillRun_Keys,0)))</f>
        <v>11254.5</v>
      </c>
      <c r="Q1625" s="31" t="n">
        <f aca="false">INDEX(Markup_Vals,MATCH("Railing &amp; Screening Systems",MarkupCat_Keys,0))</f>
        <v>0.42</v>
      </c>
      <c r="R1625" s="32" t="n">
        <f aca="false">P1625*(1+Q1625)</f>
        <v>15981.39</v>
      </c>
      <c r="S1625" s="32" t="n">
        <f aca="false">R1625*(1-TradeDiscount)</f>
        <v>14063.6232</v>
      </c>
      <c r="T1625" s="32" t="n">
        <f aca="false">R1625*(1-VolumeDiscount)</f>
        <v>12785.112</v>
      </c>
    </row>
    <row r="1626" customFormat="false" ht="15" hidden="false" customHeight="false" outlineLevel="0" collapsed="false">
      <c r="A1626" s="25" t="s">
        <v>3566</v>
      </c>
      <c r="B1626" s="25" t="s">
        <v>122</v>
      </c>
      <c r="C1626" s="25" t="s">
        <v>3525</v>
      </c>
      <c r="D1626" s="25" t="s">
        <v>3567</v>
      </c>
      <c r="E1626" s="25" t="s">
        <v>99</v>
      </c>
      <c r="F1626" s="25" t="s">
        <v>3565</v>
      </c>
      <c r="G1626" s="25" t="s">
        <v>36</v>
      </c>
      <c r="H1626" s="25" t="s">
        <v>71</v>
      </c>
      <c r="I1626" s="25" t="s">
        <v>3528</v>
      </c>
      <c r="J1626" s="25" t="s">
        <v>3529</v>
      </c>
      <c r="K1626" s="25" t="s">
        <v>298</v>
      </c>
      <c r="L1626" s="25" t="s">
        <v>33</v>
      </c>
      <c r="M1626" s="25"/>
      <c r="N1626" s="25"/>
      <c r="O1626" s="25" t="n">
        <v>5</v>
      </c>
      <c r="P1626" s="26" t="n">
        <f aca="false">(O1626*(INDEX(FrameWeight_Vals,MATCH(L1626,FrameWeight_Keys,0))*AlumCostPerKg+INDEX(Finish_Vals,MATCH(G1626,Finish_Keys,0)))+O1626*INDEX(InfillRun_Vals,MATCH(E1626,InfillRun_Keys,0)))</f>
        <v>11319.5</v>
      </c>
      <c r="Q1626" s="27" t="n">
        <f aca="false">INDEX(Markup_Vals,MATCH("Railing &amp; Screening Systems",MarkupCat_Keys,0))</f>
        <v>0.42</v>
      </c>
      <c r="R1626" s="28" t="n">
        <f aca="false">P1626*(1+Q1626)</f>
        <v>16073.69</v>
      </c>
      <c r="S1626" s="28" t="n">
        <f aca="false">R1626*(1-TradeDiscount)</f>
        <v>14144.8472</v>
      </c>
      <c r="T1626" s="28" t="n">
        <f aca="false">R1626*(1-VolumeDiscount)</f>
        <v>12858.952</v>
      </c>
    </row>
    <row r="1627" customFormat="false" ht="15" hidden="false" customHeight="false" outlineLevel="0" collapsed="false">
      <c r="A1627" s="29" t="s">
        <v>3568</v>
      </c>
      <c r="B1627" s="29" t="s">
        <v>122</v>
      </c>
      <c r="C1627" s="29" t="s">
        <v>3525</v>
      </c>
      <c r="D1627" s="29" t="s">
        <v>3569</v>
      </c>
      <c r="E1627" s="29" t="s">
        <v>99</v>
      </c>
      <c r="F1627" s="29" t="s">
        <v>3565</v>
      </c>
      <c r="G1627" s="29" t="s">
        <v>37</v>
      </c>
      <c r="H1627" s="29" t="s">
        <v>71</v>
      </c>
      <c r="I1627" s="29" t="s">
        <v>3528</v>
      </c>
      <c r="J1627" s="29" t="s">
        <v>3529</v>
      </c>
      <c r="K1627" s="29" t="s">
        <v>298</v>
      </c>
      <c r="L1627" s="29" t="s">
        <v>33</v>
      </c>
      <c r="M1627" s="29"/>
      <c r="N1627" s="29"/>
      <c r="O1627" s="29" t="n">
        <v>5</v>
      </c>
      <c r="P1627" s="30" t="n">
        <f aca="false">(O1627*(INDEX(FrameWeight_Vals,MATCH(L1627,FrameWeight_Keys,0))*AlumCostPerKg+INDEX(Finish_Vals,MATCH(G1627,Finish_Keys,0)))+O1627*INDEX(InfillRun_Vals,MATCH(E1627,InfillRun_Keys,0)))</f>
        <v>11319.5</v>
      </c>
      <c r="Q1627" s="31" t="n">
        <f aca="false">INDEX(Markup_Vals,MATCH("Railing &amp; Screening Systems",MarkupCat_Keys,0))</f>
        <v>0.42</v>
      </c>
      <c r="R1627" s="32" t="n">
        <f aca="false">P1627*(1+Q1627)</f>
        <v>16073.69</v>
      </c>
      <c r="S1627" s="32" t="n">
        <f aca="false">R1627*(1-TradeDiscount)</f>
        <v>14144.8472</v>
      </c>
      <c r="T1627" s="32" t="n">
        <f aca="false">R1627*(1-VolumeDiscount)</f>
        <v>12858.952</v>
      </c>
    </row>
    <row r="1628" customFormat="false" ht="15" hidden="false" customHeight="false" outlineLevel="0" collapsed="false">
      <c r="A1628" s="25" t="s">
        <v>3570</v>
      </c>
      <c r="B1628" s="25" t="s">
        <v>122</v>
      </c>
      <c r="C1628" s="25" t="s">
        <v>3525</v>
      </c>
      <c r="D1628" s="25" t="s">
        <v>3571</v>
      </c>
      <c r="E1628" s="25" t="s">
        <v>99</v>
      </c>
      <c r="F1628" s="25" t="s">
        <v>3565</v>
      </c>
      <c r="G1628" s="25" t="s">
        <v>39</v>
      </c>
      <c r="H1628" s="25" t="s">
        <v>71</v>
      </c>
      <c r="I1628" s="25" t="s">
        <v>3528</v>
      </c>
      <c r="J1628" s="25" t="s">
        <v>3529</v>
      </c>
      <c r="K1628" s="25" t="s">
        <v>298</v>
      </c>
      <c r="L1628" s="25" t="s">
        <v>33</v>
      </c>
      <c r="M1628" s="25"/>
      <c r="N1628" s="25"/>
      <c r="O1628" s="25" t="n">
        <v>5</v>
      </c>
      <c r="P1628" s="26" t="n">
        <f aca="false">(O1628*(INDEX(FrameWeight_Vals,MATCH(L1628,FrameWeight_Keys,0))*AlumCostPerKg+INDEX(Finish_Vals,MATCH(G1628,Finish_Keys,0)))+O1628*INDEX(InfillRun_Vals,MATCH(E1628,InfillRun_Keys,0)))</f>
        <v>11404.5</v>
      </c>
      <c r="Q1628" s="27" t="n">
        <f aca="false">INDEX(Markup_Vals,MATCH("Railing &amp; Screening Systems",MarkupCat_Keys,0))</f>
        <v>0.42</v>
      </c>
      <c r="R1628" s="28" t="n">
        <f aca="false">P1628*(1+Q1628)</f>
        <v>16194.39</v>
      </c>
      <c r="S1628" s="28" t="n">
        <f aca="false">R1628*(1-TradeDiscount)</f>
        <v>14251.0632</v>
      </c>
      <c r="T1628" s="28" t="n">
        <f aca="false">R1628*(1-VolumeDiscount)</f>
        <v>12955.512</v>
      </c>
    </row>
    <row r="1629" customFormat="false" ht="15" hidden="false" customHeight="false" outlineLevel="0" collapsed="false">
      <c r="A1629" s="29" t="s">
        <v>3572</v>
      </c>
      <c r="B1629" s="29" t="s">
        <v>122</v>
      </c>
      <c r="C1629" s="29" t="s">
        <v>3525</v>
      </c>
      <c r="D1629" s="29" t="s">
        <v>3573</v>
      </c>
      <c r="E1629" s="29" t="s">
        <v>100</v>
      </c>
      <c r="F1629" s="29" t="s">
        <v>3527</v>
      </c>
      <c r="G1629" s="29" t="s">
        <v>35</v>
      </c>
      <c r="H1629" s="29" t="s">
        <v>3148</v>
      </c>
      <c r="I1629" s="29" t="s">
        <v>3528</v>
      </c>
      <c r="J1629" s="29" t="s">
        <v>3529</v>
      </c>
      <c r="K1629" s="29" t="s">
        <v>298</v>
      </c>
      <c r="L1629" s="29" t="s">
        <v>33</v>
      </c>
      <c r="M1629" s="29"/>
      <c r="N1629" s="29"/>
      <c r="O1629" s="29" t="n">
        <v>1</v>
      </c>
      <c r="P1629" s="30" t="n">
        <f aca="false">(O1629*(INDEX(FrameWeight_Vals,MATCH(L1629,FrameWeight_Keys,0))*AlumCostPerKg+INDEX(Finish_Vals,MATCH(G1629,Finish_Keys,0)))+O1629*INDEX(InfillRun_Vals,MATCH(E1629,InfillRun_Keys,0)))</f>
        <v>1450.9</v>
      </c>
      <c r="Q1629" s="31" t="n">
        <f aca="false">INDEX(Markup_Vals,MATCH("Railing &amp; Screening Systems",MarkupCat_Keys,0))</f>
        <v>0.42</v>
      </c>
      <c r="R1629" s="32" t="n">
        <f aca="false">P1629*(1+Q1629)</f>
        <v>2060.278</v>
      </c>
      <c r="S1629" s="32" t="n">
        <f aca="false">R1629*(1-TradeDiscount)</f>
        <v>1813.04464</v>
      </c>
      <c r="T1629" s="32" t="n">
        <f aca="false">R1629*(1-VolumeDiscount)</f>
        <v>1648.2224</v>
      </c>
    </row>
    <row r="1630" customFormat="false" ht="15" hidden="false" customHeight="false" outlineLevel="0" collapsed="false">
      <c r="A1630" s="25" t="s">
        <v>3574</v>
      </c>
      <c r="B1630" s="25" t="s">
        <v>122</v>
      </c>
      <c r="C1630" s="25" t="s">
        <v>3525</v>
      </c>
      <c r="D1630" s="25" t="s">
        <v>3575</v>
      </c>
      <c r="E1630" s="25" t="s">
        <v>100</v>
      </c>
      <c r="F1630" s="25" t="s">
        <v>3527</v>
      </c>
      <c r="G1630" s="25" t="s">
        <v>36</v>
      </c>
      <c r="H1630" s="25" t="s">
        <v>3148</v>
      </c>
      <c r="I1630" s="25" t="s">
        <v>3528</v>
      </c>
      <c r="J1630" s="25" t="s">
        <v>3529</v>
      </c>
      <c r="K1630" s="25" t="s">
        <v>298</v>
      </c>
      <c r="L1630" s="25" t="s">
        <v>33</v>
      </c>
      <c r="M1630" s="25"/>
      <c r="N1630" s="25"/>
      <c r="O1630" s="25" t="n">
        <v>1</v>
      </c>
      <c r="P1630" s="26" t="n">
        <f aca="false">(O1630*(INDEX(FrameWeight_Vals,MATCH(L1630,FrameWeight_Keys,0))*AlumCostPerKg+INDEX(Finish_Vals,MATCH(G1630,Finish_Keys,0)))+O1630*INDEX(InfillRun_Vals,MATCH(E1630,InfillRun_Keys,0)))</f>
        <v>1463.9</v>
      </c>
      <c r="Q1630" s="27" t="n">
        <f aca="false">INDEX(Markup_Vals,MATCH("Railing &amp; Screening Systems",MarkupCat_Keys,0))</f>
        <v>0.42</v>
      </c>
      <c r="R1630" s="28" t="n">
        <f aca="false">P1630*(1+Q1630)</f>
        <v>2078.738</v>
      </c>
      <c r="S1630" s="28" t="n">
        <f aca="false">R1630*(1-TradeDiscount)</f>
        <v>1829.28944</v>
      </c>
      <c r="T1630" s="28" t="n">
        <f aca="false">R1630*(1-VolumeDiscount)</f>
        <v>1662.9904</v>
      </c>
    </row>
    <row r="1631" customFormat="false" ht="15" hidden="false" customHeight="false" outlineLevel="0" collapsed="false">
      <c r="A1631" s="29" t="s">
        <v>3576</v>
      </c>
      <c r="B1631" s="29" t="s">
        <v>122</v>
      </c>
      <c r="C1631" s="29" t="s">
        <v>3525</v>
      </c>
      <c r="D1631" s="29" t="s">
        <v>3577</v>
      </c>
      <c r="E1631" s="29" t="s">
        <v>100</v>
      </c>
      <c r="F1631" s="29" t="s">
        <v>3527</v>
      </c>
      <c r="G1631" s="29" t="s">
        <v>37</v>
      </c>
      <c r="H1631" s="29" t="s">
        <v>3148</v>
      </c>
      <c r="I1631" s="29" t="s">
        <v>3528</v>
      </c>
      <c r="J1631" s="29" t="s">
        <v>3529</v>
      </c>
      <c r="K1631" s="29" t="s">
        <v>298</v>
      </c>
      <c r="L1631" s="29" t="s">
        <v>33</v>
      </c>
      <c r="M1631" s="29"/>
      <c r="N1631" s="29"/>
      <c r="O1631" s="29" t="n">
        <v>1</v>
      </c>
      <c r="P1631" s="30" t="n">
        <f aca="false">(O1631*(INDEX(FrameWeight_Vals,MATCH(L1631,FrameWeight_Keys,0))*AlumCostPerKg+INDEX(Finish_Vals,MATCH(G1631,Finish_Keys,0)))+O1631*INDEX(InfillRun_Vals,MATCH(E1631,InfillRun_Keys,0)))</f>
        <v>1463.9</v>
      </c>
      <c r="Q1631" s="31" t="n">
        <f aca="false">INDEX(Markup_Vals,MATCH("Railing &amp; Screening Systems",MarkupCat_Keys,0))</f>
        <v>0.42</v>
      </c>
      <c r="R1631" s="32" t="n">
        <f aca="false">P1631*(1+Q1631)</f>
        <v>2078.738</v>
      </c>
      <c r="S1631" s="32" t="n">
        <f aca="false">R1631*(1-TradeDiscount)</f>
        <v>1829.28944</v>
      </c>
      <c r="T1631" s="32" t="n">
        <f aca="false">R1631*(1-VolumeDiscount)</f>
        <v>1662.9904</v>
      </c>
    </row>
    <row r="1632" customFormat="false" ht="15" hidden="false" customHeight="false" outlineLevel="0" collapsed="false">
      <c r="A1632" s="25" t="s">
        <v>3578</v>
      </c>
      <c r="B1632" s="25" t="s">
        <v>122</v>
      </c>
      <c r="C1632" s="25" t="s">
        <v>3525</v>
      </c>
      <c r="D1632" s="25" t="s">
        <v>3579</v>
      </c>
      <c r="E1632" s="25" t="s">
        <v>100</v>
      </c>
      <c r="F1632" s="25" t="s">
        <v>3527</v>
      </c>
      <c r="G1632" s="25" t="s">
        <v>39</v>
      </c>
      <c r="H1632" s="25" t="s">
        <v>3148</v>
      </c>
      <c r="I1632" s="25" t="s">
        <v>3528</v>
      </c>
      <c r="J1632" s="25" t="s">
        <v>3529</v>
      </c>
      <c r="K1632" s="25" t="s">
        <v>298</v>
      </c>
      <c r="L1632" s="25" t="s">
        <v>33</v>
      </c>
      <c r="M1632" s="25"/>
      <c r="N1632" s="25"/>
      <c r="O1632" s="25" t="n">
        <v>1</v>
      </c>
      <c r="P1632" s="26" t="n">
        <f aca="false">(O1632*(INDEX(FrameWeight_Vals,MATCH(L1632,FrameWeight_Keys,0))*AlumCostPerKg+INDEX(Finish_Vals,MATCH(G1632,Finish_Keys,0)))+O1632*INDEX(InfillRun_Vals,MATCH(E1632,InfillRun_Keys,0)))</f>
        <v>1480.9</v>
      </c>
      <c r="Q1632" s="27" t="n">
        <f aca="false">INDEX(Markup_Vals,MATCH("Railing &amp; Screening Systems",MarkupCat_Keys,0))</f>
        <v>0.42</v>
      </c>
      <c r="R1632" s="28" t="n">
        <f aca="false">P1632*(1+Q1632)</f>
        <v>2102.878</v>
      </c>
      <c r="S1632" s="28" t="n">
        <f aca="false">R1632*(1-TradeDiscount)</f>
        <v>1850.53264</v>
      </c>
      <c r="T1632" s="28" t="n">
        <f aca="false">R1632*(1-VolumeDiscount)</f>
        <v>1682.3024</v>
      </c>
    </row>
    <row r="1633" customFormat="false" ht="15" hidden="false" customHeight="false" outlineLevel="0" collapsed="false">
      <c r="A1633" s="29" t="s">
        <v>3580</v>
      </c>
      <c r="B1633" s="29" t="s">
        <v>122</v>
      </c>
      <c r="C1633" s="29" t="s">
        <v>3525</v>
      </c>
      <c r="D1633" s="29" t="s">
        <v>3581</v>
      </c>
      <c r="E1633" s="29" t="s">
        <v>100</v>
      </c>
      <c r="F1633" s="29" t="s">
        <v>3538</v>
      </c>
      <c r="G1633" s="29" t="s">
        <v>35</v>
      </c>
      <c r="H1633" s="29" t="s">
        <v>3148</v>
      </c>
      <c r="I1633" s="29" t="s">
        <v>3528</v>
      </c>
      <c r="J1633" s="29" t="s">
        <v>3529</v>
      </c>
      <c r="K1633" s="29" t="s">
        <v>298</v>
      </c>
      <c r="L1633" s="29" t="s">
        <v>33</v>
      </c>
      <c r="M1633" s="29"/>
      <c r="N1633" s="29"/>
      <c r="O1633" s="29" t="n">
        <v>2</v>
      </c>
      <c r="P1633" s="30" t="n">
        <f aca="false">(O1633*(INDEX(FrameWeight_Vals,MATCH(L1633,FrameWeight_Keys,0))*AlumCostPerKg+INDEX(Finish_Vals,MATCH(G1633,Finish_Keys,0)))+O1633*INDEX(InfillRun_Vals,MATCH(E1633,InfillRun_Keys,0)))</f>
        <v>2901.8</v>
      </c>
      <c r="Q1633" s="31" t="n">
        <f aca="false">INDEX(Markup_Vals,MATCH("Railing &amp; Screening Systems",MarkupCat_Keys,0))</f>
        <v>0.42</v>
      </c>
      <c r="R1633" s="32" t="n">
        <f aca="false">P1633*(1+Q1633)</f>
        <v>4120.556</v>
      </c>
      <c r="S1633" s="32" t="n">
        <f aca="false">R1633*(1-TradeDiscount)</f>
        <v>3626.08928</v>
      </c>
      <c r="T1633" s="32" t="n">
        <f aca="false">R1633*(1-VolumeDiscount)</f>
        <v>3296.4448</v>
      </c>
    </row>
    <row r="1634" customFormat="false" ht="15" hidden="false" customHeight="false" outlineLevel="0" collapsed="false">
      <c r="A1634" s="25" t="s">
        <v>3582</v>
      </c>
      <c r="B1634" s="25" t="s">
        <v>122</v>
      </c>
      <c r="C1634" s="25" t="s">
        <v>3525</v>
      </c>
      <c r="D1634" s="25" t="s">
        <v>3583</v>
      </c>
      <c r="E1634" s="25" t="s">
        <v>100</v>
      </c>
      <c r="F1634" s="25" t="s">
        <v>3538</v>
      </c>
      <c r="G1634" s="25" t="s">
        <v>36</v>
      </c>
      <c r="H1634" s="25" t="s">
        <v>3148</v>
      </c>
      <c r="I1634" s="25" t="s">
        <v>3528</v>
      </c>
      <c r="J1634" s="25" t="s">
        <v>3529</v>
      </c>
      <c r="K1634" s="25" t="s">
        <v>298</v>
      </c>
      <c r="L1634" s="25" t="s">
        <v>33</v>
      </c>
      <c r="M1634" s="25"/>
      <c r="N1634" s="25"/>
      <c r="O1634" s="25" t="n">
        <v>2</v>
      </c>
      <c r="P1634" s="26" t="n">
        <f aca="false">(O1634*(INDEX(FrameWeight_Vals,MATCH(L1634,FrameWeight_Keys,0))*AlumCostPerKg+INDEX(Finish_Vals,MATCH(G1634,Finish_Keys,0)))+O1634*INDEX(InfillRun_Vals,MATCH(E1634,InfillRun_Keys,0)))</f>
        <v>2927.8</v>
      </c>
      <c r="Q1634" s="27" t="n">
        <f aca="false">INDEX(Markup_Vals,MATCH("Railing &amp; Screening Systems",MarkupCat_Keys,0))</f>
        <v>0.42</v>
      </c>
      <c r="R1634" s="28" t="n">
        <f aca="false">P1634*(1+Q1634)</f>
        <v>4157.476</v>
      </c>
      <c r="S1634" s="28" t="n">
        <f aca="false">R1634*(1-TradeDiscount)</f>
        <v>3658.57888</v>
      </c>
      <c r="T1634" s="28" t="n">
        <f aca="false">R1634*(1-VolumeDiscount)</f>
        <v>3325.9808</v>
      </c>
    </row>
    <row r="1635" customFormat="false" ht="15" hidden="false" customHeight="false" outlineLevel="0" collapsed="false">
      <c r="A1635" s="29" t="s">
        <v>3584</v>
      </c>
      <c r="B1635" s="29" t="s">
        <v>122</v>
      </c>
      <c r="C1635" s="29" t="s">
        <v>3525</v>
      </c>
      <c r="D1635" s="29" t="s">
        <v>3585</v>
      </c>
      <c r="E1635" s="29" t="s">
        <v>100</v>
      </c>
      <c r="F1635" s="29" t="s">
        <v>3538</v>
      </c>
      <c r="G1635" s="29" t="s">
        <v>37</v>
      </c>
      <c r="H1635" s="29" t="s">
        <v>3148</v>
      </c>
      <c r="I1635" s="29" t="s">
        <v>3528</v>
      </c>
      <c r="J1635" s="29" t="s">
        <v>3529</v>
      </c>
      <c r="K1635" s="29" t="s">
        <v>298</v>
      </c>
      <c r="L1635" s="29" t="s">
        <v>33</v>
      </c>
      <c r="M1635" s="29"/>
      <c r="N1635" s="29"/>
      <c r="O1635" s="29" t="n">
        <v>2</v>
      </c>
      <c r="P1635" s="30" t="n">
        <f aca="false">(O1635*(INDEX(FrameWeight_Vals,MATCH(L1635,FrameWeight_Keys,0))*AlumCostPerKg+INDEX(Finish_Vals,MATCH(G1635,Finish_Keys,0)))+O1635*INDEX(InfillRun_Vals,MATCH(E1635,InfillRun_Keys,0)))</f>
        <v>2927.8</v>
      </c>
      <c r="Q1635" s="31" t="n">
        <f aca="false">INDEX(Markup_Vals,MATCH("Railing &amp; Screening Systems",MarkupCat_Keys,0))</f>
        <v>0.42</v>
      </c>
      <c r="R1635" s="32" t="n">
        <f aca="false">P1635*(1+Q1635)</f>
        <v>4157.476</v>
      </c>
      <c r="S1635" s="32" t="n">
        <f aca="false">R1635*(1-TradeDiscount)</f>
        <v>3658.57888</v>
      </c>
      <c r="T1635" s="32" t="n">
        <f aca="false">R1635*(1-VolumeDiscount)</f>
        <v>3325.9808</v>
      </c>
    </row>
    <row r="1636" customFormat="false" ht="15" hidden="false" customHeight="false" outlineLevel="0" collapsed="false">
      <c r="A1636" s="25" t="s">
        <v>3586</v>
      </c>
      <c r="B1636" s="25" t="s">
        <v>122</v>
      </c>
      <c r="C1636" s="25" t="s">
        <v>3525</v>
      </c>
      <c r="D1636" s="25" t="s">
        <v>3587</v>
      </c>
      <c r="E1636" s="25" t="s">
        <v>100</v>
      </c>
      <c r="F1636" s="25" t="s">
        <v>3538</v>
      </c>
      <c r="G1636" s="25" t="s">
        <v>39</v>
      </c>
      <c r="H1636" s="25" t="s">
        <v>3148</v>
      </c>
      <c r="I1636" s="25" t="s">
        <v>3528</v>
      </c>
      <c r="J1636" s="25" t="s">
        <v>3529</v>
      </c>
      <c r="K1636" s="25" t="s">
        <v>298</v>
      </c>
      <c r="L1636" s="25" t="s">
        <v>33</v>
      </c>
      <c r="M1636" s="25"/>
      <c r="N1636" s="25"/>
      <c r="O1636" s="25" t="n">
        <v>2</v>
      </c>
      <c r="P1636" s="26" t="n">
        <f aca="false">(O1636*(INDEX(FrameWeight_Vals,MATCH(L1636,FrameWeight_Keys,0))*AlumCostPerKg+INDEX(Finish_Vals,MATCH(G1636,Finish_Keys,0)))+O1636*INDEX(InfillRun_Vals,MATCH(E1636,InfillRun_Keys,0)))</f>
        <v>2961.8</v>
      </c>
      <c r="Q1636" s="27" t="n">
        <f aca="false">INDEX(Markup_Vals,MATCH("Railing &amp; Screening Systems",MarkupCat_Keys,0))</f>
        <v>0.42</v>
      </c>
      <c r="R1636" s="28" t="n">
        <f aca="false">P1636*(1+Q1636)</f>
        <v>4205.756</v>
      </c>
      <c r="S1636" s="28" t="n">
        <f aca="false">R1636*(1-TradeDiscount)</f>
        <v>3701.06528</v>
      </c>
      <c r="T1636" s="28" t="n">
        <f aca="false">R1636*(1-VolumeDiscount)</f>
        <v>3364.6048</v>
      </c>
    </row>
    <row r="1637" customFormat="false" ht="15" hidden="false" customHeight="false" outlineLevel="0" collapsed="false">
      <c r="A1637" s="29" t="s">
        <v>3588</v>
      </c>
      <c r="B1637" s="29" t="s">
        <v>122</v>
      </c>
      <c r="C1637" s="29" t="s">
        <v>3525</v>
      </c>
      <c r="D1637" s="29" t="s">
        <v>3589</v>
      </c>
      <c r="E1637" s="29" t="s">
        <v>100</v>
      </c>
      <c r="F1637" s="29" t="s">
        <v>3547</v>
      </c>
      <c r="G1637" s="29" t="s">
        <v>35</v>
      </c>
      <c r="H1637" s="29" t="s">
        <v>3148</v>
      </c>
      <c r="I1637" s="29" t="s">
        <v>3528</v>
      </c>
      <c r="J1637" s="29" t="s">
        <v>3529</v>
      </c>
      <c r="K1637" s="29" t="s">
        <v>298</v>
      </c>
      <c r="L1637" s="29" t="s">
        <v>33</v>
      </c>
      <c r="M1637" s="29"/>
      <c r="N1637" s="29"/>
      <c r="O1637" s="29" t="n">
        <v>3</v>
      </c>
      <c r="P1637" s="30" t="n">
        <f aca="false">(O1637*(INDEX(FrameWeight_Vals,MATCH(L1637,FrameWeight_Keys,0))*AlumCostPerKg+INDEX(Finish_Vals,MATCH(G1637,Finish_Keys,0)))+O1637*INDEX(InfillRun_Vals,MATCH(E1637,InfillRun_Keys,0)))</f>
        <v>4352.7</v>
      </c>
      <c r="Q1637" s="31" t="n">
        <f aca="false">INDEX(Markup_Vals,MATCH("Railing &amp; Screening Systems",MarkupCat_Keys,0))</f>
        <v>0.42</v>
      </c>
      <c r="R1637" s="32" t="n">
        <f aca="false">P1637*(1+Q1637)</f>
        <v>6180.834</v>
      </c>
      <c r="S1637" s="32" t="n">
        <f aca="false">R1637*(1-TradeDiscount)</f>
        <v>5439.13392</v>
      </c>
      <c r="T1637" s="32" t="n">
        <f aca="false">R1637*(1-VolumeDiscount)</f>
        <v>4944.6672</v>
      </c>
    </row>
    <row r="1638" customFormat="false" ht="15" hidden="false" customHeight="false" outlineLevel="0" collapsed="false">
      <c r="A1638" s="25" t="s">
        <v>3590</v>
      </c>
      <c r="B1638" s="25" t="s">
        <v>122</v>
      </c>
      <c r="C1638" s="25" t="s">
        <v>3525</v>
      </c>
      <c r="D1638" s="25" t="s">
        <v>3591</v>
      </c>
      <c r="E1638" s="25" t="s">
        <v>100</v>
      </c>
      <c r="F1638" s="25" t="s">
        <v>3547</v>
      </c>
      <c r="G1638" s="25" t="s">
        <v>36</v>
      </c>
      <c r="H1638" s="25" t="s">
        <v>3148</v>
      </c>
      <c r="I1638" s="25" t="s">
        <v>3528</v>
      </c>
      <c r="J1638" s="25" t="s">
        <v>3529</v>
      </c>
      <c r="K1638" s="25" t="s">
        <v>298</v>
      </c>
      <c r="L1638" s="25" t="s">
        <v>33</v>
      </c>
      <c r="M1638" s="25"/>
      <c r="N1638" s="25"/>
      <c r="O1638" s="25" t="n">
        <v>3</v>
      </c>
      <c r="P1638" s="26" t="n">
        <f aca="false">(O1638*(INDEX(FrameWeight_Vals,MATCH(L1638,FrameWeight_Keys,0))*AlumCostPerKg+INDEX(Finish_Vals,MATCH(G1638,Finish_Keys,0)))+O1638*INDEX(InfillRun_Vals,MATCH(E1638,InfillRun_Keys,0)))</f>
        <v>4391.7</v>
      </c>
      <c r="Q1638" s="27" t="n">
        <f aca="false">INDEX(Markup_Vals,MATCH("Railing &amp; Screening Systems",MarkupCat_Keys,0))</f>
        <v>0.42</v>
      </c>
      <c r="R1638" s="28" t="n">
        <f aca="false">P1638*(1+Q1638)</f>
        <v>6236.214</v>
      </c>
      <c r="S1638" s="28" t="n">
        <f aca="false">R1638*(1-TradeDiscount)</f>
        <v>5487.86832</v>
      </c>
      <c r="T1638" s="28" t="n">
        <f aca="false">R1638*(1-VolumeDiscount)</f>
        <v>4988.9712</v>
      </c>
    </row>
    <row r="1639" customFormat="false" ht="15" hidden="false" customHeight="false" outlineLevel="0" collapsed="false">
      <c r="A1639" s="29" t="s">
        <v>3592</v>
      </c>
      <c r="B1639" s="29" t="s">
        <v>122</v>
      </c>
      <c r="C1639" s="29" t="s">
        <v>3525</v>
      </c>
      <c r="D1639" s="29" t="s">
        <v>3593</v>
      </c>
      <c r="E1639" s="29" t="s">
        <v>100</v>
      </c>
      <c r="F1639" s="29" t="s">
        <v>3547</v>
      </c>
      <c r="G1639" s="29" t="s">
        <v>37</v>
      </c>
      <c r="H1639" s="29" t="s">
        <v>3148</v>
      </c>
      <c r="I1639" s="29" t="s">
        <v>3528</v>
      </c>
      <c r="J1639" s="29" t="s">
        <v>3529</v>
      </c>
      <c r="K1639" s="29" t="s">
        <v>298</v>
      </c>
      <c r="L1639" s="29" t="s">
        <v>33</v>
      </c>
      <c r="M1639" s="29"/>
      <c r="N1639" s="29"/>
      <c r="O1639" s="29" t="n">
        <v>3</v>
      </c>
      <c r="P1639" s="30" t="n">
        <f aca="false">(O1639*(INDEX(FrameWeight_Vals,MATCH(L1639,FrameWeight_Keys,0))*AlumCostPerKg+INDEX(Finish_Vals,MATCH(G1639,Finish_Keys,0)))+O1639*INDEX(InfillRun_Vals,MATCH(E1639,InfillRun_Keys,0)))</f>
        <v>4391.7</v>
      </c>
      <c r="Q1639" s="31" t="n">
        <f aca="false">INDEX(Markup_Vals,MATCH("Railing &amp; Screening Systems",MarkupCat_Keys,0))</f>
        <v>0.42</v>
      </c>
      <c r="R1639" s="32" t="n">
        <f aca="false">P1639*(1+Q1639)</f>
        <v>6236.214</v>
      </c>
      <c r="S1639" s="32" t="n">
        <f aca="false">R1639*(1-TradeDiscount)</f>
        <v>5487.86832</v>
      </c>
      <c r="T1639" s="32" t="n">
        <f aca="false">R1639*(1-VolumeDiscount)</f>
        <v>4988.9712</v>
      </c>
    </row>
    <row r="1640" customFormat="false" ht="15" hidden="false" customHeight="false" outlineLevel="0" collapsed="false">
      <c r="A1640" s="25" t="s">
        <v>3594</v>
      </c>
      <c r="B1640" s="25" t="s">
        <v>122</v>
      </c>
      <c r="C1640" s="25" t="s">
        <v>3525</v>
      </c>
      <c r="D1640" s="25" t="s">
        <v>3595</v>
      </c>
      <c r="E1640" s="25" t="s">
        <v>100</v>
      </c>
      <c r="F1640" s="25" t="s">
        <v>3547</v>
      </c>
      <c r="G1640" s="25" t="s">
        <v>39</v>
      </c>
      <c r="H1640" s="25" t="s">
        <v>3148</v>
      </c>
      <c r="I1640" s="25" t="s">
        <v>3528</v>
      </c>
      <c r="J1640" s="25" t="s">
        <v>3529</v>
      </c>
      <c r="K1640" s="25" t="s">
        <v>298</v>
      </c>
      <c r="L1640" s="25" t="s">
        <v>33</v>
      </c>
      <c r="M1640" s="25"/>
      <c r="N1640" s="25"/>
      <c r="O1640" s="25" t="n">
        <v>3</v>
      </c>
      <c r="P1640" s="26" t="n">
        <f aca="false">(O1640*(INDEX(FrameWeight_Vals,MATCH(L1640,FrameWeight_Keys,0))*AlumCostPerKg+INDEX(Finish_Vals,MATCH(G1640,Finish_Keys,0)))+O1640*INDEX(InfillRun_Vals,MATCH(E1640,InfillRun_Keys,0)))</f>
        <v>4442.7</v>
      </c>
      <c r="Q1640" s="27" t="n">
        <f aca="false">INDEX(Markup_Vals,MATCH("Railing &amp; Screening Systems",MarkupCat_Keys,0))</f>
        <v>0.42</v>
      </c>
      <c r="R1640" s="28" t="n">
        <f aca="false">P1640*(1+Q1640)</f>
        <v>6308.634</v>
      </c>
      <c r="S1640" s="28" t="n">
        <f aca="false">R1640*(1-TradeDiscount)</f>
        <v>5551.59792</v>
      </c>
      <c r="T1640" s="28" t="n">
        <f aca="false">R1640*(1-VolumeDiscount)</f>
        <v>5046.9072</v>
      </c>
    </row>
    <row r="1641" customFormat="false" ht="15" hidden="false" customHeight="false" outlineLevel="0" collapsed="false">
      <c r="A1641" s="29" t="s">
        <v>3596</v>
      </c>
      <c r="B1641" s="29" t="s">
        <v>122</v>
      </c>
      <c r="C1641" s="29" t="s">
        <v>3525</v>
      </c>
      <c r="D1641" s="29" t="s">
        <v>3597</v>
      </c>
      <c r="E1641" s="29" t="s">
        <v>100</v>
      </c>
      <c r="F1641" s="29" t="s">
        <v>3556</v>
      </c>
      <c r="G1641" s="29" t="s">
        <v>35</v>
      </c>
      <c r="H1641" s="29" t="s">
        <v>3148</v>
      </c>
      <c r="I1641" s="29" t="s">
        <v>3528</v>
      </c>
      <c r="J1641" s="29" t="s">
        <v>3529</v>
      </c>
      <c r="K1641" s="29" t="s">
        <v>298</v>
      </c>
      <c r="L1641" s="29" t="s">
        <v>33</v>
      </c>
      <c r="M1641" s="29"/>
      <c r="N1641" s="29"/>
      <c r="O1641" s="29" t="n">
        <v>4</v>
      </c>
      <c r="P1641" s="30" t="n">
        <f aca="false">(O1641*(INDEX(FrameWeight_Vals,MATCH(L1641,FrameWeight_Keys,0))*AlumCostPerKg+INDEX(Finish_Vals,MATCH(G1641,Finish_Keys,0)))+O1641*INDEX(InfillRun_Vals,MATCH(E1641,InfillRun_Keys,0)))</f>
        <v>5803.6</v>
      </c>
      <c r="Q1641" s="31" t="n">
        <f aca="false">INDEX(Markup_Vals,MATCH("Railing &amp; Screening Systems",MarkupCat_Keys,0))</f>
        <v>0.42</v>
      </c>
      <c r="R1641" s="32" t="n">
        <f aca="false">P1641*(1+Q1641)</f>
        <v>8241.112</v>
      </c>
      <c r="S1641" s="32" t="n">
        <f aca="false">R1641*(1-TradeDiscount)</f>
        <v>7252.17856</v>
      </c>
      <c r="T1641" s="32" t="n">
        <f aca="false">R1641*(1-VolumeDiscount)</f>
        <v>6592.8896</v>
      </c>
    </row>
    <row r="1642" customFormat="false" ht="15" hidden="false" customHeight="false" outlineLevel="0" collapsed="false">
      <c r="A1642" s="25" t="s">
        <v>3598</v>
      </c>
      <c r="B1642" s="25" t="s">
        <v>122</v>
      </c>
      <c r="C1642" s="25" t="s">
        <v>3525</v>
      </c>
      <c r="D1642" s="25" t="s">
        <v>3599</v>
      </c>
      <c r="E1642" s="25" t="s">
        <v>100</v>
      </c>
      <c r="F1642" s="25" t="s">
        <v>3556</v>
      </c>
      <c r="G1642" s="25" t="s">
        <v>36</v>
      </c>
      <c r="H1642" s="25" t="s">
        <v>3148</v>
      </c>
      <c r="I1642" s="25" t="s">
        <v>3528</v>
      </c>
      <c r="J1642" s="25" t="s">
        <v>3529</v>
      </c>
      <c r="K1642" s="25" t="s">
        <v>298</v>
      </c>
      <c r="L1642" s="25" t="s">
        <v>33</v>
      </c>
      <c r="M1642" s="25"/>
      <c r="N1642" s="25"/>
      <c r="O1642" s="25" t="n">
        <v>4</v>
      </c>
      <c r="P1642" s="26" t="n">
        <f aca="false">(O1642*(INDEX(FrameWeight_Vals,MATCH(L1642,FrameWeight_Keys,0))*AlumCostPerKg+INDEX(Finish_Vals,MATCH(G1642,Finish_Keys,0)))+O1642*INDEX(InfillRun_Vals,MATCH(E1642,InfillRun_Keys,0)))</f>
        <v>5855.6</v>
      </c>
      <c r="Q1642" s="27" t="n">
        <f aca="false">INDEX(Markup_Vals,MATCH("Railing &amp; Screening Systems",MarkupCat_Keys,0))</f>
        <v>0.42</v>
      </c>
      <c r="R1642" s="28" t="n">
        <f aca="false">P1642*(1+Q1642)</f>
        <v>8314.952</v>
      </c>
      <c r="S1642" s="28" t="n">
        <f aca="false">R1642*(1-TradeDiscount)</f>
        <v>7317.15776</v>
      </c>
      <c r="T1642" s="28" t="n">
        <f aca="false">R1642*(1-VolumeDiscount)</f>
        <v>6651.9616</v>
      </c>
    </row>
    <row r="1643" customFormat="false" ht="15" hidden="false" customHeight="false" outlineLevel="0" collapsed="false">
      <c r="A1643" s="29" t="s">
        <v>3600</v>
      </c>
      <c r="B1643" s="29" t="s">
        <v>122</v>
      </c>
      <c r="C1643" s="29" t="s">
        <v>3525</v>
      </c>
      <c r="D1643" s="29" t="s">
        <v>3601</v>
      </c>
      <c r="E1643" s="29" t="s">
        <v>100</v>
      </c>
      <c r="F1643" s="29" t="s">
        <v>3556</v>
      </c>
      <c r="G1643" s="29" t="s">
        <v>37</v>
      </c>
      <c r="H1643" s="29" t="s">
        <v>3148</v>
      </c>
      <c r="I1643" s="29" t="s">
        <v>3528</v>
      </c>
      <c r="J1643" s="29" t="s">
        <v>3529</v>
      </c>
      <c r="K1643" s="29" t="s">
        <v>298</v>
      </c>
      <c r="L1643" s="29" t="s">
        <v>33</v>
      </c>
      <c r="M1643" s="29"/>
      <c r="N1643" s="29"/>
      <c r="O1643" s="29" t="n">
        <v>4</v>
      </c>
      <c r="P1643" s="30" t="n">
        <f aca="false">(O1643*(INDEX(FrameWeight_Vals,MATCH(L1643,FrameWeight_Keys,0))*AlumCostPerKg+INDEX(Finish_Vals,MATCH(G1643,Finish_Keys,0)))+O1643*INDEX(InfillRun_Vals,MATCH(E1643,InfillRun_Keys,0)))</f>
        <v>5855.6</v>
      </c>
      <c r="Q1643" s="31" t="n">
        <f aca="false">INDEX(Markup_Vals,MATCH("Railing &amp; Screening Systems",MarkupCat_Keys,0))</f>
        <v>0.42</v>
      </c>
      <c r="R1643" s="32" t="n">
        <f aca="false">P1643*(1+Q1643)</f>
        <v>8314.952</v>
      </c>
      <c r="S1643" s="32" t="n">
        <f aca="false">R1643*(1-TradeDiscount)</f>
        <v>7317.15776</v>
      </c>
      <c r="T1643" s="32" t="n">
        <f aca="false">R1643*(1-VolumeDiscount)</f>
        <v>6651.9616</v>
      </c>
    </row>
    <row r="1644" customFormat="false" ht="15" hidden="false" customHeight="false" outlineLevel="0" collapsed="false">
      <c r="A1644" s="25" t="s">
        <v>3602</v>
      </c>
      <c r="B1644" s="25" t="s">
        <v>122</v>
      </c>
      <c r="C1644" s="25" t="s">
        <v>3525</v>
      </c>
      <c r="D1644" s="25" t="s">
        <v>3603</v>
      </c>
      <c r="E1644" s="25" t="s">
        <v>100</v>
      </c>
      <c r="F1644" s="25" t="s">
        <v>3556</v>
      </c>
      <c r="G1644" s="25" t="s">
        <v>39</v>
      </c>
      <c r="H1644" s="25" t="s">
        <v>3148</v>
      </c>
      <c r="I1644" s="25" t="s">
        <v>3528</v>
      </c>
      <c r="J1644" s="25" t="s">
        <v>3529</v>
      </c>
      <c r="K1644" s="25" t="s">
        <v>298</v>
      </c>
      <c r="L1644" s="25" t="s">
        <v>33</v>
      </c>
      <c r="M1644" s="25"/>
      <c r="N1644" s="25"/>
      <c r="O1644" s="25" t="n">
        <v>4</v>
      </c>
      <c r="P1644" s="26" t="n">
        <f aca="false">(O1644*(INDEX(FrameWeight_Vals,MATCH(L1644,FrameWeight_Keys,0))*AlumCostPerKg+INDEX(Finish_Vals,MATCH(G1644,Finish_Keys,0)))+O1644*INDEX(InfillRun_Vals,MATCH(E1644,InfillRun_Keys,0)))</f>
        <v>5923.6</v>
      </c>
      <c r="Q1644" s="27" t="n">
        <f aca="false">INDEX(Markup_Vals,MATCH("Railing &amp; Screening Systems",MarkupCat_Keys,0))</f>
        <v>0.42</v>
      </c>
      <c r="R1644" s="28" t="n">
        <f aca="false">P1644*(1+Q1644)</f>
        <v>8411.512</v>
      </c>
      <c r="S1644" s="28" t="n">
        <f aca="false">R1644*(1-TradeDiscount)</f>
        <v>7402.13056</v>
      </c>
      <c r="T1644" s="28" t="n">
        <f aca="false">R1644*(1-VolumeDiscount)</f>
        <v>6729.2096</v>
      </c>
    </row>
    <row r="1645" customFormat="false" ht="15" hidden="false" customHeight="false" outlineLevel="0" collapsed="false">
      <c r="A1645" s="29" t="s">
        <v>3604</v>
      </c>
      <c r="B1645" s="29" t="s">
        <v>122</v>
      </c>
      <c r="C1645" s="29" t="s">
        <v>3525</v>
      </c>
      <c r="D1645" s="29" t="s">
        <v>3605</v>
      </c>
      <c r="E1645" s="29" t="s">
        <v>100</v>
      </c>
      <c r="F1645" s="29" t="s">
        <v>3565</v>
      </c>
      <c r="G1645" s="29" t="s">
        <v>35</v>
      </c>
      <c r="H1645" s="29" t="s">
        <v>3148</v>
      </c>
      <c r="I1645" s="29" t="s">
        <v>3528</v>
      </c>
      <c r="J1645" s="29" t="s">
        <v>3529</v>
      </c>
      <c r="K1645" s="29" t="s">
        <v>298</v>
      </c>
      <c r="L1645" s="29" t="s">
        <v>33</v>
      </c>
      <c r="M1645" s="29"/>
      <c r="N1645" s="29"/>
      <c r="O1645" s="29" t="n">
        <v>5</v>
      </c>
      <c r="P1645" s="30" t="n">
        <f aca="false">(O1645*(INDEX(FrameWeight_Vals,MATCH(L1645,FrameWeight_Keys,0))*AlumCostPerKg+INDEX(Finish_Vals,MATCH(G1645,Finish_Keys,0)))+O1645*INDEX(InfillRun_Vals,MATCH(E1645,InfillRun_Keys,0)))</f>
        <v>7254.5</v>
      </c>
      <c r="Q1645" s="31" t="n">
        <f aca="false">INDEX(Markup_Vals,MATCH("Railing &amp; Screening Systems",MarkupCat_Keys,0))</f>
        <v>0.42</v>
      </c>
      <c r="R1645" s="32" t="n">
        <f aca="false">P1645*(1+Q1645)</f>
        <v>10301.39</v>
      </c>
      <c r="S1645" s="32" t="n">
        <f aca="false">R1645*(1-TradeDiscount)</f>
        <v>9065.2232</v>
      </c>
      <c r="T1645" s="32" t="n">
        <f aca="false">R1645*(1-VolumeDiscount)</f>
        <v>8241.112</v>
      </c>
    </row>
    <row r="1646" customFormat="false" ht="15" hidden="false" customHeight="false" outlineLevel="0" collapsed="false">
      <c r="A1646" s="25" t="s">
        <v>3606</v>
      </c>
      <c r="B1646" s="25" t="s">
        <v>122</v>
      </c>
      <c r="C1646" s="25" t="s">
        <v>3525</v>
      </c>
      <c r="D1646" s="25" t="s">
        <v>3607</v>
      </c>
      <c r="E1646" s="25" t="s">
        <v>100</v>
      </c>
      <c r="F1646" s="25" t="s">
        <v>3565</v>
      </c>
      <c r="G1646" s="25" t="s">
        <v>36</v>
      </c>
      <c r="H1646" s="25" t="s">
        <v>3148</v>
      </c>
      <c r="I1646" s="25" t="s">
        <v>3528</v>
      </c>
      <c r="J1646" s="25" t="s">
        <v>3529</v>
      </c>
      <c r="K1646" s="25" t="s">
        <v>298</v>
      </c>
      <c r="L1646" s="25" t="s">
        <v>33</v>
      </c>
      <c r="M1646" s="25"/>
      <c r="N1646" s="25"/>
      <c r="O1646" s="25" t="n">
        <v>5</v>
      </c>
      <c r="P1646" s="26" t="n">
        <f aca="false">(O1646*(INDEX(FrameWeight_Vals,MATCH(L1646,FrameWeight_Keys,0))*AlumCostPerKg+INDEX(Finish_Vals,MATCH(G1646,Finish_Keys,0)))+O1646*INDEX(InfillRun_Vals,MATCH(E1646,InfillRun_Keys,0)))</f>
        <v>7319.5</v>
      </c>
      <c r="Q1646" s="27" t="n">
        <f aca="false">INDEX(Markup_Vals,MATCH("Railing &amp; Screening Systems",MarkupCat_Keys,0))</f>
        <v>0.42</v>
      </c>
      <c r="R1646" s="28" t="n">
        <f aca="false">P1646*(1+Q1646)</f>
        <v>10393.69</v>
      </c>
      <c r="S1646" s="28" t="n">
        <f aca="false">R1646*(1-TradeDiscount)</f>
        <v>9146.4472</v>
      </c>
      <c r="T1646" s="28" t="n">
        <f aca="false">R1646*(1-VolumeDiscount)</f>
        <v>8314.952</v>
      </c>
    </row>
    <row r="1647" customFormat="false" ht="15" hidden="false" customHeight="false" outlineLevel="0" collapsed="false">
      <c r="A1647" s="29" t="s">
        <v>3608</v>
      </c>
      <c r="B1647" s="29" t="s">
        <v>122</v>
      </c>
      <c r="C1647" s="29" t="s">
        <v>3525</v>
      </c>
      <c r="D1647" s="29" t="s">
        <v>3609</v>
      </c>
      <c r="E1647" s="29" t="s">
        <v>100</v>
      </c>
      <c r="F1647" s="29" t="s">
        <v>3565</v>
      </c>
      <c r="G1647" s="29" t="s">
        <v>37</v>
      </c>
      <c r="H1647" s="29" t="s">
        <v>3148</v>
      </c>
      <c r="I1647" s="29" t="s">
        <v>3528</v>
      </c>
      <c r="J1647" s="29" t="s">
        <v>3529</v>
      </c>
      <c r="K1647" s="29" t="s">
        <v>298</v>
      </c>
      <c r="L1647" s="29" t="s">
        <v>33</v>
      </c>
      <c r="M1647" s="29"/>
      <c r="N1647" s="29"/>
      <c r="O1647" s="29" t="n">
        <v>5</v>
      </c>
      <c r="P1647" s="30" t="n">
        <f aca="false">(O1647*(INDEX(FrameWeight_Vals,MATCH(L1647,FrameWeight_Keys,0))*AlumCostPerKg+INDEX(Finish_Vals,MATCH(G1647,Finish_Keys,0)))+O1647*INDEX(InfillRun_Vals,MATCH(E1647,InfillRun_Keys,0)))</f>
        <v>7319.5</v>
      </c>
      <c r="Q1647" s="31" t="n">
        <f aca="false">INDEX(Markup_Vals,MATCH("Railing &amp; Screening Systems",MarkupCat_Keys,0))</f>
        <v>0.42</v>
      </c>
      <c r="R1647" s="32" t="n">
        <f aca="false">P1647*(1+Q1647)</f>
        <v>10393.69</v>
      </c>
      <c r="S1647" s="32" t="n">
        <f aca="false">R1647*(1-TradeDiscount)</f>
        <v>9146.4472</v>
      </c>
      <c r="T1647" s="32" t="n">
        <f aca="false">R1647*(1-VolumeDiscount)</f>
        <v>8314.952</v>
      </c>
    </row>
    <row r="1648" customFormat="false" ht="15" hidden="false" customHeight="false" outlineLevel="0" collapsed="false">
      <c r="A1648" s="25" t="s">
        <v>3610</v>
      </c>
      <c r="B1648" s="25" t="s">
        <v>122</v>
      </c>
      <c r="C1648" s="25" t="s">
        <v>3525</v>
      </c>
      <c r="D1648" s="25" t="s">
        <v>3611</v>
      </c>
      <c r="E1648" s="25" t="s">
        <v>100</v>
      </c>
      <c r="F1648" s="25" t="s">
        <v>3565</v>
      </c>
      <c r="G1648" s="25" t="s">
        <v>39</v>
      </c>
      <c r="H1648" s="25" t="s">
        <v>3148</v>
      </c>
      <c r="I1648" s="25" t="s">
        <v>3528</v>
      </c>
      <c r="J1648" s="25" t="s">
        <v>3529</v>
      </c>
      <c r="K1648" s="25" t="s">
        <v>298</v>
      </c>
      <c r="L1648" s="25" t="s">
        <v>33</v>
      </c>
      <c r="M1648" s="25"/>
      <c r="N1648" s="25"/>
      <c r="O1648" s="25" t="n">
        <v>5</v>
      </c>
      <c r="P1648" s="26" t="n">
        <f aca="false">(O1648*(INDEX(FrameWeight_Vals,MATCH(L1648,FrameWeight_Keys,0))*AlumCostPerKg+INDEX(Finish_Vals,MATCH(G1648,Finish_Keys,0)))+O1648*INDEX(InfillRun_Vals,MATCH(E1648,InfillRun_Keys,0)))</f>
        <v>7404.5</v>
      </c>
      <c r="Q1648" s="27" t="n">
        <f aca="false">INDEX(Markup_Vals,MATCH("Railing &amp; Screening Systems",MarkupCat_Keys,0))</f>
        <v>0.42</v>
      </c>
      <c r="R1648" s="28" t="n">
        <f aca="false">P1648*(1+Q1648)</f>
        <v>10514.39</v>
      </c>
      <c r="S1648" s="28" t="n">
        <f aca="false">R1648*(1-TradeDiscount)</f>
        <v>9252.6632</v>
      </c>
      <c r="T1648" s="28" t="n">
        <f aca="false">R1648*(1-VolumeDiscount)</f>
        <v>8411.512</v>
      </c>
    </row>
    <row r="1649" customFormat="false" ht="15" hidden="false" customHeight="false" outlineLevel="0" collapsed="false">
      <c r="A1649" s="29" t="s">
        <v>3612</v>
      </c>
      <c r="B1649" s="29" t="s">
        <v>122</v>
      </c>
      <c r="C1649" s="29" t="s">
        <v>3525</v>
      </c>
      <c r="D1649" s="29" t="s">
        <v>3613</v>
      </c>
      <c r="E1649" s="29" t="s">
        <v>101</v>
      </c>
      <c r="F1649" s="29" t="s">
        <v>3527</v>
      </c>
      <c r="G1649" s="29" t="s">
        <v>35</v>
      </c>
      <c r="H1649" s="29" t="s">
        <v>3148</v>
      </c>
      <c r="I1649" s="29" t="s">
        <v>3528</v>
      </c>
      <c r="J1649" s="29" t="s">
        <v>3529</v>
      </c>
      <c r="K1649" s="29" t="s">
        <v>298</v>
      </c>
      <c r="L1649" s="29" t="s">
        <v>33</v>
      </c>
      <c r="M1649" s="29"/>
      <c r="N1649" s="29"/>
      <c r="O1649" s="29" t="n">
        <v>1</v>
      </c>
      <c r="P1649" s="30" t="n">
        <f aca="false">(O1649*(INDEX(FrameWeight_Vals,MATCH(L1649,FrameWeight_Keys,0))*AlumCostPerKg+INDEX(Finish_Vals,MATCH(G1649,Finish_Keys,0)))+O1649*INDEX(InfillRun_Vals,MATCH(E1649,InfillRun_Keys,0)))</f>
        <v>1850.9</v>
      </c>
      <c r="Q1649" s="31" t="n">
        <f aca="false">INDEX(Markup_Vals,MATCH("Railing &amp; Screening Systems",MarkupCat_Keys,0))</f>
        <v>0.42</v>
      </c>
      <c r="R1649" s="32" t="n">
        <f aca="false">P1649*(1+Q1649)</f>
        <v>2628.278</v>
      </c>
      <c r="S1649" s="32" t="n">
        <f aca="false">R1649*(1-TradeDiscount)</f>
        <v>2312.88464</v>
      </c>
      <c r="T1649" s="32" t="n">
        <f aca="false">R1649*(1-VolumeDiscount)</f>
        <v>2102.6224</v>
      </c>
    </row>
    <row r="1650" customFormat="false" ht="15" hidden="false" customHeight="false" outlineLevel="0" collapsed="false">
      <c r="A1650" s="25" t="s">
        <v>3614</v>
      </c>
      <c r="B1650" s="25" t="s">
        <v>122</v>
      </c>
      <c r="C1650" s="25" t="s">
        <v>3525</v>
      </c>
      <c r="D1650" s="25" t="s">
        <v>3615</v>
      </c>
      <c r="E1650" s="25" t="s">
        <v>101</v>
      </c>
      <c r="F1650" s="25" t="s">
        <v>3527</v>
      </c>
      <c r="G1650" s="25" t="s">
        <v>36</v>
      </c>
      <c r="H1650" s="25" t="s">
        <v>3148</v>
      </c>
      <c r="I1650" s="25" t="s">
        <v>3528</v>
      </c>
      <c r="J1650" s="25" t="s">
        <v>3529</v>
      </c>
      <c r="K1650" s="25" t="s">
        <v>298</v>
      </c>
      <c r="L1650" s="25" t="s">
        <v>33</v>
      </c>
      <c r="M1650" s="25"/>
      <c r="N1650" s="25"/>
      <c r="O1650" s="25" t="n">
        <v>1</v>
      </c>
      <c r="P1650" s="26" t="n">
        <f aca="false">(O1650*(INDEX(FrameWeight_Vals,MATCH(L1650,FrameWeight_Keys,0))*AlumCostPerKg+INDEX(Finish_Vals,MATCH(G1650,Finish_Keys,0)))+O1650*INDEX(InfillRun_Vals,MATCH(E1650,InfillRun_Keys,0)))</f>
        <v>1863.9</v>
      </c>
      <c r="Q1650" s="27" t="n">
        <f aca="false">INDEX(Markup_Vals,MATCH("Railing &amp; Screening Systems",MarkupCat_Keys,0))</f>
        <v>0.42</v>
      </c>
      <c r="R1650" s="28" t="n">
        <f aca="false">P1650*(1+Q1650)</f>
        <v>2646.738</v>
      </c>
      <c r="S1650" s="28" t="n">
        <f aca="false">R1650*(1-TradeDiscount)</f>
        <v>2329.12944</v>
      </c>
      <c r="T1650" s="28" t="n">
        <f aca="false">R1650*(1-VolumeDiscount)</f>
        <v>2117.3904</v>
      </c>
    </row>
    <row r="1651" customFormat="false" ht="15" hidden="false" customHeight="false" outlineLevel="0" collapsed="false">
      <c r="A1651" s="29" t="s">
        <v>3616</v>
      </c>
      <c r="B1651" s="29" t="s">
        <v>122</v>
      </c>
      <c r="C1651" s="29" t="s">
        <v>3525</v>
      </c>
      <c r="D1651" s="29" t="s">
        <v>3617</v>
      </c>
      <c r="E1651" s="29" t="s">
        <v>101</v>
      </c>
      <c r="F1651" s="29" t="s">
        <v>3527</v>
      </c>
      <c r="G1651" s="29" t="s">
        <v>37</v>
      </c>
      <c r="H1651" s="29" t="s">
        <v>3148</v>
      </c>
      <c r="I1651" s="29" t="s">
        <v>3528</v>
      </c>
      <c r="J1651" s="29" t="s">
        <v>3529</v>
      </c>
      <c r="K1651" s="29" t="s">
        <v>298</v>
      </c>
      <c r="L1651" s="29" t="s">
        <v>33</v>
      </c>
      <c r="M1651" s="29"/>
      <c r="N1651" s="29"/>
      <c r="O1651" s="29" t="n">
        <v>1</v>
      </c>
      <c r="P1651" s="30" t="n">
        <f aca="false">(O1651*(INDEX(FrameWeight_Vals,MATCH(L1651,FrameWeight_Keys,0))*AlumCostPerKg+INDEX(Finish_Vals,MATCH(G1651,Finish_Keys,0)))+O1651*INDEX(InfillRun_Vals,MATCH(E1651,InfillRun_Keys,0)))</f>
        <v>1863.9</v>
      </c>
      <c r="Q1651" s="31" t="n">
        <f aca="false">INDEX(Markup_Vals,MATCH("Railing &amp; Screening Systems",MarkupCat_Keys,0))</f>
        <v>0.42</v>
      </c>
      <c r="R1651" s="32" t="n">
        <f aca="false">P1651*(1+Q1651)</f>
        <v>2646.738</v>
      </c>
      <c r="S1651" s="32" t="n">
        <f aca="false">R1651*(1-TradeDiscount)</f>
        <v>2329.12944</v>
      </c>
      <c r="T1651" s="32" t="n">
        <f aca="false">R1651*(1-VolumeDiscount)</f>
        <v>2117.3904</v>
      </c>
    </row>
    <row r="1652" customFormat="false" ht="15" hidden="false" customHeight="false" outlineLevel="0" collapsed="false">
      <c r="A1652" s="25" t="s">
        <v>3618</v>
      </c>
      <c r="B1652" s="25" t="s">
        <v>122</v>
      </c>
      <c r="C1652" s="25" t="s">
        <v>3525</v>
      </c>
      <c r="D1652" s="25" t="s">
        <v>3619</v>
      </c>
      <c r="E1652" s="25" t="s">
        <v>101</v>
      </c>
      <c r="F1652" s="25" t="s">
        <v>3527</v>
      </c>
      <c r="G1652" s="25" t="s">
        <v>39</v>
      </c>
      <c r="H1652" s="25" t="s">
        <v>3148</v>
      </c>
      <c r="I1652" s="25" t="s">
        <v>3528</v>
      </c>
      <c r="J1652" s="25" t="s">
        <v>3529</v>
      </c>
      <c r="K1652" s="25" t="s">
        <v>298</v>
      </c>
      <c r="L1652" s="25" t="s">
        <v>33</v>
      </c>
      <c r="M1652" s="25"/>
      <c r="N1652" s="25"/>
      <c r="O1652" s="25" t="n">
        <v>1</v>
      </c>
      <c r="P1652" s="26" t="n">
        <f aca="false">(O1652*(INDEX(FrameWeight_Vals,MATCH(L1652,FrameWeight_Keys,0))*AlumCostPerKg+INDEX(Finish_Vals,MATCH(G1652,Finish_Keys,0)))+O1652*INDEX(InfillRun_Vals,MATCH(E1652,InfillRun_Keys,0)))</f>
        <v>1880.9</v>
      </c>
      <c r="Q1652" s="27" t="n">
        <f aca="false">INDEX(Markup_Vals,MATCH("Railing &amp; Screening Systems",MarkupCat_Keys,0))</f>
        <v>0.42</v>
      </c>
      <c r="R1652" s="28" t="n">
        <f aca="false">P1652*(1+Q1652)</f>
        <v>2670.878</v>
      </c>
      <c r="S1652" s="28" t="n">
        <f aca="false">R1652*(1-TradeDiscount)</f>
        <v>2350.37264</v>
      </c>
      <c r="T1652" s="28" t="n">
        <f aca="false">R1652*(1-VolumeDiscount)</f>
        <v>2136.7024</v>
      </c>
    </row>
    <row r="1653" customFormat="false" ht="15" hidden="false" customHeight="false" outlineLevel="0" collapsed="false">
      <c r="A1653" s="29" t="s">
        <v>3620</v>
      </c>
      <c r="B1653" s="29" t="s">
        <v>122</v>
      </c>
      <c r="C1653" s="29" t="s">
        <v>3525</v>
      </c>
      <c r="D1653" s="29" t="s">
        <v>3621</v>
      </c>
      <c r="E1653" s="29" t="s">
        <v>101</v>
      </c>
      <c r="F1653" s="29" t="s">
        <v>3538</v>
      </c>
      <c r="G1653" s="29" t="s">
        <v>35</v>
      </c>
      <c r="H1653" s="29" t="s">
        <v>3148</v>
      </c>
      <c r="I1653" s="29" t="s">
        <v>3528</v>
      </c>
      <c r="J1653" s="29" t="s">
        <v>3529</v>
      </c>
      <c r="K1653" s="29" t="s">
        <v>298</v>
      </c>
      <c r="L1653" s="29" t="s">
        <v>33</v>
      </c>
      <c r="M1653" s="29"/>
      <c r="N1653" s="29"/>
      <c r="O1653" s="29" t="n">
        <v>2</v>
      </c>
      <c r="P1653" s="30" t="n">
        <f aca="false">(O1653*(INDEX(FrameWeight_Vals,MATCH(L1653,FrameWeight_Keys,0))*AlumCostPerKg+INDEX(Finish_Vals,MATCH(G1653,Finish_Keys,0)))+O1653*INDEX(InfillRun_Vals,MATCH(E1653,InfillRun_Keys,0)))</f>
        <v>3701.8</v>
      </c>
      <c r="Q1653" s="31" t="n">
        <f aca="false">INDEX(Markup_Vals,MATCH("Railing &amp; Screening Systems",MarkupCat_Keys,0))</f>
        <v>0.42</v>
      </c>
      <c r="R1653" s="32" t="n">
        <f aca="false">P1653*(1+Q1653)</f>
        <v>5256.556</v>
      </c>
      <c r="S1653" s="32" t="n">
        <f aca="false">R1653*(1-TradeDiscount)</f>
        <v>4625.76928</v>
      </c>
      <c r="T1653" s="32" t="n">
        <f aca="false">R1653*(1-VolumeDiscount)</f>
        <v>4205.2448</v>
      </c>
    </row>
    <row r="1654" customFormat="false" ht="15" hidden="false" customHeight="false" outlineLevel="0" collapsed="false">
      <c r="A1654" s="25" t="s">
        <v>3622</v>
      </c>
      <c r="B1654" s="25" t="s">
        <v>122</v>
      </c>
      <c r="C1654" s="25" t="s">
        <v>3525</v>
      </c>
      <c r="D1654" s="25" t="s">
        <v>3623</v>
      </c>
      <c r="E1654" s="25" t="s">
        <v>101</v>
      </c>
      <c r="F1654" s="25" t="s">
        <v>3538</v>
      </c>
      <c r="G1654" s="25" t="s">
        <v>36</v>
      </c>
      <c r="H1654" s="25" t="s">
        <v>3148</v>
      </c>
      <c r="I1654" s="25" t="s">
        <v>3528</v>
      </c>
      <c r="J1654" s="25" t="s">
        <v>3529</v>
      </c>
      <c r="K1654" s="25" t="s">
        <v>298</v>
      </c>
      <c r="L1654" s="25" t="s">
        <v>33</v>
      </c>
      <c r="M1654" s="25"/>
      <c r="N1654" s="25"/>
      <c r="O1654" s="25" t="n">
        <v>2</v>
      </c>
      <c r="P1654" s="26" t="n">
        <f aca="false">(O1654*(INDEX(FrameWeight_Vals,MATCH(L1654,FrameWeight_Keys,0))*AlumCostPerKg+INDEX(Finish_Vals,MATCH(G1654,Finish_Keys,0)))+O1654*INDEX(InfillRun_Vals,MATCH(E1654,InfillRun_Keys,0)))</f>
        <v>3727.8</v>
      </c>
      <c r="Q1654" s="27" t="n">
        <f aca="false">INDEX(Markup_Vals,MATCH("Railing &amp; Screening Systems",MarkupCat_Keys,0))</f>
        <v>0.42</v>
      </c>
      <c r="R1654" s="28" t="n">
        <f aca="false">P1654*(1+Q1654)</f>
        <v>5293.476</v>
      </c>
      <c r="S1654" s="28" t="n">
        <f aca="false">R1654*(1-TradeDiscount)</f>
        <v>4658.25888</v>
      </c>
      <c r="T1654" s="28" t="n">
        <f aca="false">R1654*(1-VolumeDiscount)</f>
        <v>4234.7808</v>
      </c>
    </row>
    <row r="1655" customFormat="false" ht="15" hidden="false" customHeight="false" outlineLevel="0" collapsed="false">
      <c r="A1655" s="29" t="s">
        <v>3624</v>
      </c>
      <c r="B1655" s="29" t="s">
        <v>122</v>
      </c>
      <c r="C1655" s="29" t="s">
        <v>3525</v>
      </c>
      <c r="D1655" s="29" t="s">
        <v>3625</v>
      </c>
      <c r="E1655" s="29" t="s">
        <v>101</v>
      </c>
      <c r="F1655" s="29" t="s">
        <v>3538</v>
      </c>
      <c r="G1655" s="29" t="s">
        <v>37</v>
      </c>
      <c r="H1655" s="29" t="s">
        <v>3148</v>
      </c>
      <c r="I1655" s="29" t="s">
        <v>3528</v>
      </c>
      <c r="J1655" s="29" t="s">
        <v>3529</v>
      </c>
      <c r="K1655" s="29" t="s">
        <v>298</v>
      </c>
      <c r="L1655" s="29" t="s">
        <v>33</v>
      </c>
      <c r="M1655" s="29"/>
      <c r="N1655" s="29"/>
      <c r="O1655" s="29" t="n">
        <v>2</v>
      </c>
      <c r="P1655" s="30" t="n">
        <f aca="false">(O1655*(INDEX(FrameWeight_Vals,MATCH(L1655,FrameWeight_Keys,0))*AlumCostPerKg+INDEX(Finish_Vals,MATCH(G1655,Finish_Keys,0)))+O1655*INDEX(InfillRun_Vals,MATCH(E1655,InfillRun_Keys,0)))</f>
        <v>3727.8</v>
      </c>
      <c r="Q1655" s="31" t="n">
        <f aca="false">INDEX(Markup_Vals,MATCH("Railing &amp; Screening Systems",MarkupCat_Keys,0))</f>
        <v>0.42</v>
      </c>
      <c r="R1655" s="32" t="n">
        <f aca="false">P1655*(1+Q1655)</f>
        <v>5293.476</v>
      </c>
      <c r="S1655" s="32" t="n">
        <f aca="false">R1655*(1-TradeDiscount)</f>
        <v>4658.25888</v>
      </c>
      <c r="T1655" s="32" t="n">
        <f aca="false">R1655*(1-VolumeDiscount)</f>
        <v>4234.7808</v>
      </c>
    </row>
    <row r="1656" customFormat="false" ht="15" hidden="false" customHeight="false" outlineLevel="0" collapsed="false">
      <c r="A1656" s="25" t="s">
        <v>3626</v>
      </c>
      <c r="B1656" s="25" t="s">
        <v>122</v>
      </c>
      <c r="C1656" s="25" t="s">
        <v>3525</v>
      </c>
      <c r="D1656" s="25" t="s">
        <v>3627</v>
      </c>
      <c r="E1656" s="25" t="s">
        <v>101</v>
      </c>
      <c r="F1656" s="25" t="s">
        <v>3538</v>
      </c>
      <c r="G1656" s="25" t="s">
        <v>39</v>
      </c>
      <c r="H1656" s="25" t="s">
        <v>3148</v>
      </c>
      <c r="I1656" s="25" t="s">
        <v>3528</v>
      </c>
      <c r="J1656" s="25" t="s">
        <v>3529</v>
      </c>
      <c r="K1656" s="25" t="s">
        <v>298</v>
      </c>
      <c r="L1656" s="25" t="s">
        <v>33</v>
      </c>
      <c r="M1656" s="25"/>
      <c r="N1656" s="25"/>
      <c r="O1656" s="25" t="n">
        <v>2</v>
      </c>
      <c r="P1656" s="26" t="n">
        <f aca="false">(O1656*(INDEX(FrameWeight_Vals,MATCH(L1656,FrameWeight_Keys,0))*AlumCostPerKg+INDEX(Finish_Vals,MATCH(G1656,Finish_Keys,0)))+O1656*INDEX(InfillRun_Vals,MATCH(E1656,InfillRun_Keys,0)))</f>
        <v>3761.8</v>
      </c>
      <c r="Q1656" s="27" t="n">
        <f aca="false">INDEX(Markup_Vals,MATCH("Railing &amp; Screening Systems",MarkupCat_Keys,0))</f>
        <v>0.42</v>
      </c>
      <c r="R1656" s="28" t="n">
        <f aca="false">P1656*(1+Q1656)</f>
        <v>5341.756</v>
      </c>
      <c r="S1656" s="28" t="n">
        <f aca="false">R1656*(1-TradeDiscount)</f>
        <v>4700.74528</v>
      </c>
      <c r="T1656" s="28" t="n">
        <f aca="false">R1656*(1-VolumeDiscount)</f>
        <v>4273.4048</v>
      </c>
    </row>
    <row r="1657" customFormat="false" ht="15" hidden="false" customHeight="false" outlineLevel="0" collapsed="false">
      <c r="A1657" s="29" t="s">
        <v>3628</v>
      </c>
      <c r="B1657" s="29" t="s">
        <v>122</v>
      </c>
      <c r="C1657" s="29" t="s">
        <v>3525</v>
      </c>
      <c r="D1657" s="29" t="s">
        <v>3629</v>
      </c>
      <c r="E1657" s="29" t="s">
        <v>101</v>
      </c>
      <c r="F1657" s="29" t="s">
        <v>3547</v>
      </c>
      <c r="G1657" s="29" t="s">
        <v>35</v>
      </c>
      <c r="H1657" s="29" t="s">
        <v>3148</v>
      </c>
      <c r="I1657" s="29" t="s">
        <v>3528</v>
      </c>
      <c r="J1657" s="29" t="s">
        <v>3529</v>
      </c>
      <c r="K1657" s="29" t="s">
        <v>298</v>
      </c>
      <c r="L1657" s="29" t="s">
        <v>33</v>
      </c>
      <c r="M1657" s="29"/>
      <c r="N1657" s="29"/>
      <c r="O1657" s="29" t="n">
        <v>3</v>
      </c>
      <c r="P1657" s="30" t="n">
        <f aca="false">(O1657*(INDEX(FrameWeight_Vals,MATCH(L1657,FrameWeight_Keys,0))*AlumCostPerKg+INDEX(Finish_Vals,MATCH(G1657,Finish_Keys,0)))+O1657*INDEX(InfillRun_Vals,MATCH(E1657,InfillRun_Keys,0)))</f>
        <v>5552.7</v>
      </c>
      <c r="Q1657" s="31" t="n">
        <f aca="false">INDEX(Markup_Vals,MATCH("Railing &amp; Screening Systems",MarkupCat_Keys,0))</f>
        <v>0.42</v>
      </c>
      <c r="R1657" s="32" t="n">
        <f aca="false">P1657*(1+Q1657)</f>
        <v>7884.834</v>
      </c>
      <c r="S1657" s="32" t="n">
        <f aca="false">R1657*(1-TradeDiscount)</f>
        <v>6938.65392</v>
      </c>
      <c r="T1657" s="32" t="n">
        <f aca="false">R1657*(1-VolumeDiscount)</f>
        <v>6307.8672</v>
      </c>
    </row>
    <row r="1658" customFormat="false" ht="15" hidden="false" customHeight="false" outlineLevel="0" collapsed="false">
      <c r="A1658" s="25" t="s">
        <v>3630</v>
      </c>
      <c r="B1658" s="25" t="s">
        <v>122</v>
      </c>
      <c r="C1658" s="25" t="s">
        <v>3525</v>
      </c>
      <c r="D1658" s="25" t="s">
        <v>3631</v>
      </c>
      <c r="E1658" s="25" t="s">
        <v>101</v>
      </c>
      <c r="F1658" s="25" t="s">
        <v>3547</v>
      </c>
      <c r="G1658" s="25" t="s">
        <v>36</v>
      </c>
      <c r="H1658" s="25" t="s">
        <v>3148</v>
      </c>
      <c r="I1658" s="25" t="s">
        <v>3528</v>
      </c>
      <c r="J1658" s="25" t="s">
        <v>3529</v>
      </c>
      <c r="K1658" s="25" t="s">
        <v>298</v>
      </c>
      <c r="L1658" s="25" t="s">
        <v>33</v>
      </c>
      <c r="M1658" s="25"/>
      <c r="N1658" s="25"/>
      <c r="O1658" s="25" t="n">
        <v>3</v>
      </c>
      <c r="P1658" s="26" t="n">
        <f aca="false">(O1658*(INDEX(FrameWeight_Vals,MATCH(L1658,FrameWeight_Keys,0))*AlumCostPerKg+INDEX(Finish_Vals,MATCH(G1658,Finish_Keys,0)))+O1658*INDEX(InfillRun_Vals,MATCH(E1658,InfillRun_Keys,0)))</f>
        <v>5591.7</v>
      </c>
      <c r="Q1658" s="27" t="n">
        <f aca="false">INDEX(Markup_Vals,MATCH("Railing &amp; Screening Systems",MarkupCat_Keys,0))</f>
        <v>0.42</v>
      </c>
      <c r="R1658" s="28" t="n">
        <f aca="false">P1658*(1+Q1658)</f>
        <v>7940.214</v>
      </c>
      <c r="S1658" s="28" t="n">
        <f aca="false">R1658*(1-TradeDiscount)</f>
        <v>6987.38832</v>
      </c>
      <c r="T1658" s="28" t="n">
        <f aca="false">R1658*(1-VolumeDiscount)</f>
        <v>6352.1712</v>
      </c>
    </row>
    <row r="1659" customFormat="false" ht="15" hidden="false" customHeight="false" outlineLevel="0" collapsed="false">
      <c r="A1659" s="29" t="s">
        <v>3632</v>
      </c>
      <c r="B1659" s="29" t="s">
        <v>122</v>
      </c>
      <c r="C1659" s="29" t="s">
        <v>3525</v>
      </c>
      <c r="D1659" s="29" t="s">
        <v>3633</v>
      </c>
      <c r="E1659" s="29" t="s">
        <v>101</v>
      </c>
      <c r="F1659" s="29" t="s">
        <v>3547</v>
      </c>
      <c r="G1659" s="29" t="s">
        <v>37</v>
      </c>
      <c r="H1659" s="29" t="s">
        <v>3148</v>
      </c>
      <c r="I1659" s="29" t="s">
        <v>3528</v>
      </c>
      <c r="J1659" s="29" t="s">
        <v>3529</v>
      </c>
      <c r="K1659" s="29" t="s">
        <v>298</v>
      </c>
      <c r="L1659" s="29" t="s">
        <v>33</v>
      </c>
      <c r="M1659" s="29"/>
      <c r="N1659" s="29"/>
      <c r="O1659" s="29" t="n">
        <v>3</v>
      </c>
      <c r="P1659" s="30" t="n">
        <f aca="false">(O1659*(INDEX(FrameWeight_Vals,MATCH(L1659,FrameWeight_Keys,0))*AlumCostPerKg+INDEX(Finish_Vals,MATCH(G1659,Finish_Keys,0)))+O1659*INDEX(InfillRun_Vals,MATCH(E1659,InfillRun_Keys,0)))</f>
        <v>5591.7</v>
      </c>
      <c r="Q1659" s="31" t="n">
        <f aca="false">INDEX(Markup_Vals,MATCH("Railing &amp; Screening Systems",MarkupCat_Keys,0))</f>
        <v>0.42</v>
      </c>
      <c r="R1659" s="32" t="n">
        <f aca="false">P1659*(1+Q1659)</f>
        <v>7940.214</v>
      </c>
      <c r="S1659" s="32" t="n">
        <f aca="false">R1659*(1-TradeDiscount)</f>
        <v>6987.38832</v>
      </c>
      <c r="T1659" s="32" t="n">
        <f aca="false">R1659*(1-VolumeDiscount)</f>
        <v>6352.1712</v>
      </c>
    </row>
    <row r="1660" customFormat="false" ht="15" hidden="false" customHeight="false" outlineLevel="0" collapsed="false">
      <c r="A1660" s="25" t="s">
        <v>3634</v>
      </c>
      <c r="B1660" s="25" t="s">
        <v>122</v>
      </c>
      <c r="C1660" s="25" t="s">
        <v>3525</v>
      </c>
      <c r="D1660" s="25" t="s">
        <v>3635</v>
      </c>
      <c r="E1660" s="25" t="s">
        <v>101</v>
      </c>
      <c r="F1660" s="25" t="s">
        <v>3547</v>
      </c>
      <c r="G1660" s="25" t="s">
        <v>39</v>
      </c>
      <c r="H1660" s="25" t="s">
        <v>3148</v>
      </c>
      <c r="I1660" s="25" t="s">
        <v>3528</v>
      </c>
      <c r="J1660" s="25" t="s">
        <v>3529</v>
      </c>
      <c r="K1660" s="25" t="s">
        <v>298</v>
      </c>
      <c r="L1660" s="25" t="s">
        <v>33</v>
      </c>
      <c r="M1660" s="25"/>
      <c r="N1660" s="25"/>
      <c r="O1660" s="25" t="n">
        <v>3</v>
      </c>
      <c r="P1660" s="26" t="n">
        <f aca="false">(O1660*(INDEX(FrameWeight_Vals,MATCH(L1660,FrameWeight_Keys,0))*AlumCostPerKg+INDEX(Finish_Vals,MATCH(G1660,Finish_Keys,0)))+O1660*INDEX(InfillRun_Vals,MATCH(E1660,InfillRun_Keys,0)))</f>
        <v>5642.7</v>
      </c>
      <c r="Q1660" s="27" t="n">
        <f aca="false">INDEX(Markup_Vals,MATCH("Railing &amp; Screening Systems",MarkupCat_Keys,0))</f>
        <v>0.42</v>
      </c>
      <c r="R1660" s="28" t="n">
        <f aca="false">P1660*(1+Q1660)</f>
        <v>8012.634</v>
      </c>
      <c r="S1660" s="28" t="n">
        <f aca="false">R1660*(1-TradeDiscount)</f>
        <v>7051.11792</v>
      </c>
      <c r="T1660" s="28" t="n">
        <f aca="false">R1660*(1-VolumeDiscount)</f>
        <v>6410.1072</v>
      </c>
    </row>
    <row r="1661" customFormat="false" ht="15" hidden="false" customHeight="false" outlineLevel="0" collapsed="false">
      <c r="A1661" s="29" t="s">
        <v>3636</v>
      </c>
      <c r="B1661" s="29" t="s">
        <v>122</v>
      </c>
      <c r="C1661" s="29" t="s">
        <v>3525</v>
      </c>
      <c r="D1661" s="29" t="s">
        <v>3637</v>
      </c>
      <c r="E1661" s="29" t="s">
        <v>101</v>
      </c>
      <c r="F1661" s="29" t="s">
        <v>3556</v>
      </c>
      <c r="G1661" s="29" t="s">
        <v>35</v>
      </c>
      <c r="H1661" s="29" t="s">
        <v>3148</v>
      </c>
      <c r="I1661" s="29" t="s">
        <v>3528</v>
      </c>
      <c r="J1661" s="29" t="s">
        <v>3529</v>
      </c>
      <c r="K1661" s="29" t="s">
        <v>298</v>
      </c>
      <c r="L1661" s="29" t="s">
        <v>33</v>
      </c>
      <c r="M1661" s="29"/>
      <c r="N1661" s="29"/>
      <c r="O1661" s="29" t="n">
        <v>4</v>
      </c>
      <c r="P1661" s="30" t="n">
        <f aca="false">(O1661*(INDEX(FrameWeight_Vals,MATCH(L1661,FrameWeight_Keys,0))*AlumCostPerKg+INDEX(Finish_Vals,MATCH(G1661,Finish_Keys,0)))+O1661*INDEX(InfillRun_Vals,MATCH(E1661,InfillRun_Keys,0)))</f>
        <v>7403.6</v>
      </c>
      <c r="Q1661" s="31" t="n">
        <f aca="false">INDEX(Markup_Vals,MATCH("Railing &amp; Screening Systems",MarkupCat_Keys,0))</f>
        <v>0.42</v>
      </c>
      <c r="R1661" s="32" t="n">
        <f aca="false">P1661*(1+Q1661)</f>
        <v>10513.112</v>
      </c>
      <c r="S1661" s="32" t="n">
        <f aca="false">R1661*(1-TradeDiscount)</f>
        <v>9251.53856</v>
      </c>
      <c r="T1661" s="32" t="n">
        <f aca="false">R1661*(1-VolumeDiscount)</f>
        <v>8410.4896</v>
      </c>
    </row>
    <row r="1662" customFormat="false" ht="15" hidden="false" customHeight="false" outlineLevel="0" collapsed="false">
      <c r="A1662" s="25" t="s">
        <v>3638</v>
      </c>
      <c r="B1662" s="25" t="s">
        <v>122</v>
      </c>
      <c r="C1662" s="25" t="s">
        <v>3525</v>
      </c>
      <c r="D1662" s="25" t="s">
        <v>3639</v>
      </c>
      <c r="E1662" s="25" t="s">
        <v>101</v>
      </c>
      <c r="F1662" s="25" t="s">
        <v>3556</v>
      </c>
      <c r="G1662" s="25" t="s">
        <v>36</v>
      </c>
      <c r="H1662" s="25" t="s">
        <v>3148</v>
      </c>
      <c r="I1662" s="25" t="s">
        <v>3528</v>
      </c>
      <c r="J1662" s="25" t="s">
        <v>3529</v>
      </c>
      <c r="K1662" s="25" t="s">
        <v>298</v>
      </c>
      <c r="L1662" s="25" t="s">
        <v>33</v>
      </c>
      <c r="M1662" s="25"/>
      <c r="N1662" s="25"/>
      <c r="O1662" s="25" t="n">
        <v>4</v>
      </c>
      <c r="P1662" s="26" t="n">
        <f aca="false">(O1662*(INDEX(FrameWeight_Vals,MATCH(L1662,FrameWeight_Keys,0))*AlumCostPerKg+INDEX(Finish_Vals,MATCH(G1662,Finish_Keys,0)))+O1662*INDEX(InfillRun_Vals,MATCH(E1662,InfillRun_Keys,0)))</f>
        <v>7455.6</v>
      </c>
      <c r="Q1662" s="27" t="n">
        <f aca="false">INDEX(Markup_Vals,MATCH("Railing &amp; Screening Systems",MarkupCat_Keys,0))</f>
        <v>0.42</v>
      </c>
      <c r="R1662" s="28" t="n">
        <f aca="false">P1662*(1+Q1662)</f>
        <v>10586.952</v>
      </c>
      <c r="S1662" s="28" t="n">
        <f aca="false">R1662*(1-TradeDiscount)</f>
        <v>9316.51776</v>
      </c>
      <c r="T1662" s="28" t="n">
        <f aca="false">R1662*(1-VolumeDiscount)</f>
        <v>8469.5616</v>
      </c>
    </row>
    <row r="1663" customFormat="false" ht="15" hidden="false" customHeight="false" outlineLevel="0" collapsed="false">
      <c r="A1663" s="29" t="s">
        <v>3640</v>
      </c>
      <c r="B1663" s="29" t="s">
        <v>122</v>
      </c>
      <c r="C1663" s="29" t="s">
        <v>3525</v>
      </c>
      <c r="D1663" s="29" t="s">
        <v>3641</v>
      </c>
      <c r="E1663" s="29" t="s">
        <v>101</v>
      </c>
      <c r="F1663" s="29" t="s">
        <v>3556</v>
      </c>
      <c r="G1663" s="29" t="s">
        <v>37</v>
      </c>
      <c r="H1663" s="29" t="s">
        <v>3148</v>
      </c>
      <c r="I1663" s="29" t="s">
        <v>3528</v>
      </c>
      <c r="J1663" s="29" t="s">
        <v>3529</v>
      </c>
      <c r="K1663" s="29" t="s">
        <v>298</v>
      </c>
      <c r="L1663" s="29" t="s">
        <v>33</v>
      </c>
      <c r="M1663" s="29"/>
      <c r="N1663" s="29"/>
      <c r="O1663" s="29" t="n">
        <v>4</v>
      </c>
      <c r="P1663" s="30" t="n">
        <f aca="false">(O1663*(INDEX(FrameWeight_Vals,MATCH(L1663,FrameWeight_Keys,0))*AlumCostPerKg+INDEX(Finish_Vals,MATCH(G1663,Finish_Keys,0)))+O1663*INDEX(InfillRun_Vals,MATCH(E1663,InfillRun_Keys,0)))</f>
        <v>7455.6</v>
      </c>
      <c r="Q1663" s="31" t="n">
        <f aca="false">INDEX(Markup_Vals,MATCH("Railing &amp; Screening Systems",MarkupCat_Keys,0))</f>
        <v>0.42</v>
      </c>
      <c r="R1663" s="32" t="n">
        <f aca="false">P1663*(1+Q1663)</f>
        <v>10586.952</v>
      </c>
      <c r="S1663" s="32" t="n">
        <f aca="false">R1663*(1-TradeDiscount)</f>
        <v>9316.51776</v>
      </c>
      <c r="T1663" s="32" t="n">
        <f aca="false">R1663*(1-VolumeDiscount)</f>
        <v>8469.5616</v>
      </c>
    </row>
    <row r="1664" customFormat="false" ht="15" hidden="false" customHeight="false" outlineLevel="0" collapsed="false">
      <c r="A1664" s="25" t="s">
        <v>3642</v>
      </c>
      <c r="B1664" s="25" t="s">
        <v>122</v>
      </c>
      <c r="C1664" s="25" t="s">
        <v>3525</v>
      </c>
      <c r="D1664" s="25" t="s">
        <v>3643</v>
      </c>
      <c r="E1664" s="25" t="s">
        <v>101</v>
      </c>
      <c r="F1664" s="25" t="s">
        <v>3556</v>
      </c>
      <c r="G1664" s="25" t="s">
        <v>39</v>
      </c>
      <c r="H1664" s="25" t="s">
        <v>3148</v>
      </c>
      <c r="I1664" s="25" t="s">
        <v>3528</v>
      </c>
      <c r="J1664" s="25" t="s">
        <v>3529</v>
      </c>
      <c r="K1664" s="25" t="s">
        <v>298</v>
      </c>
      <c r="L1664" s="25" t="s">
        <v>33</v>
      </c>
      <c r="M1664" s="25"/>
      <c r="N1664" s="25"/>
      <c r="O1664" s="25" t="n">
        <v>4</v>
      </c>
      <c r="P1664" s="26" t="n">
        <f aca="false">(O1664*(INDEX(FrameWeight_Vals,MATCH(L1664,FrameWeight_Keys,0))*AlumCostPerKg+INDEX(Finish_Vals,MATCH(G1664,Finish_Keys,0)))+O1664*INDEX(InfillRun_Vals,MATCH(E1664,InfillRun_Keys,0)))</f>
        <v>7523.6</v>
      </c>
      <c r="Q1664" s="27" t="n">
        <f aca="false">INDEX(Markup_Vals,MATCH("Railing &amp; Screening Systems",MarkupCat_Keys,0))</f>
        <v>0.42</v>
      </c>
      <c r="R1664" s="28" t="n">
        <f aca="false">P1664*(1+Q1664)</f>
        <v>10683.512</v>
      </c>
      <c r="S1664" s="28" t="n">
        <f aca="false">R1664*(1-TradeDiscount)</f>
        <v>9401.49056</v>
      </c>
      <c r="T1664" s="28" t="n">
        <f aca="false">R1664*(1-VolumeDiscount)</f>
        <v>8546.8096</v>
      </c>
    </row>
    <row r="1665" customFormat="false" ht="15" hidden="false" customHeight="false" outlineLevel="0" collapsed="false">
      <c r="A1665" s="29" t="s">
        <v>3644</v>
      </c>
      <c r="B1665" s="29" t="s">
        <v>122</v>
      </c>
      <c r="C1665" s="29" t="s">
        <v>3525</v>
      </c>
      <c r="D1665" s="29" t="s">
        <v>3645</v>
      </c>
      <c r="E1665" s="29" t="s">
        <v>101</v>
      </c>
      <c r="F1665" s="29" t="s">
        <v>3565</v>
      </c>
      <c r="G1665" s="29" t="s">
        <v>35</v>
      </c>
      <c r="H1665" s="29" t="s">
        <v>3148</v>
      </c>
      <c r="I1665" s="29" t="s">
        <v>3528</v>
      </c>
      <c r="J1665" s="29" t="s">
        <v>3529</v>
      </c>
      <c r="K1665" s="29" t="s">
        <v>298</v>
      </c>
      <c r="L1665" s="29" t="s">
        <v>33</v>
      </c>
      <c r="M1665" s="29"/>
      <c r="N1665" s="29"/>
      <c r="O1665" s="29" t="n">
        <v>5</v>
      </c>
      <c r="P1665" s="30" t="n">
        <f aca="false">(O1665*(INDEX(FrameWeight_Vals,MATCH(L1665,FrameWeight_Keys,0))*AlumCostPerKg+INDEX(Finish_Vals,MATCH(G1665,Finish_Keys,0)))+O1665*INDEX(InfillRun_Vals,MATCH(E1665,InfillRun_Keys,0)))</f>
        <v>9254.5</v>
      </c>
      <c r="Q1665" s="31" t="n">
        <f aca="false">INDEX(Markup_Vals,MATCH("Railing &amp; Screening Systems",MarkupCat_Keys,0))</f>
        <v>0.42</v>
      </c>
      <c r="R1665" s="32" t="n">
        <f aca="false">P1665*(1+Q1665)</f>
        <v>13141.39</v>
      </c>
      <c r="S1665" s="32" t="n">
        <f aca="false">R1665*(1-TradeDiscount)</f>
        <v>11564.4232</v>
      </c>
      <c r="T1665" s="32" t="n">
        <f aca="false">R1665*(1-VolumeDiscount)</f>
        <v>10513.112</v>
      </c>
    </row>
    <row r="1666" customFormat="false" ht="15" hidden="false" customHeight="false" outlineLevel="0" collapsed="false">
      <c r="A1666" s="25" t="s">
        <v>3646</v>
      </c>
      <c r="B1666" s="25" t="s">
        <v>122</v>
      </c>
      <c r="C1666" s="25" t="s">
        <v>3525</v>
      </c>
      <c r="D1666" s="25" t="s">
        <v>3647</v>
      </c>
      <c r="E1666" s="25" t="s">
        <v>101</v>
      </c>
      <c r="F1666" s="25" t="s">
        <v>3565</v>
      </c>
      <c r="G1666" s="25" t="s">
        <v>36</v>
      </c>
      <c r="H1666" s="25" t="s">
        <v>3148</v>
      </c>
      <c r="I1666" s="25" t="s">
        <v>3528</v>
      </c>
      <c r="J1666" s="25" t="s">
        <v>3529</v>
      </c>
      <c r="K1666" s="25" t="s">
        <v>298</v>
      </c>
      <c r="L1666" s="25" t="s">
        <v>33</v>
      </c>
      <c r="M1666" s="25"/>
      <c r="N1666" s="25"/>
      <c r="O1666" s="25" t="n">
        <v>5</v>
      </c>
      <c r="P1666" s="26" t="n">
        <f aca="false">(O1666*(INDEX(FrameWeight_Vals,MATCH(L1666,FrameWeight_Keys,0))*AlumCostPerKg+INDEX(Finish_Vals,MATCH(G1666,Finish_Keys,0)))+O1666*INDEX(InfillRun_Vals,MATCH(E1666,InfillRun_Keys,0)))</f>
        <v>9319.5</v>
      </c>
      <c r="Q1666" s="27" t="n">
        <f aca="false">INDEX(Markup_Vals,MATCH("Railing &amp; Screening Systems",MarkupCat_Keys,0))</f>
        <v>0.42</v>
      </c>
      <c r="R1666" s="28" t="n">
        <f aca="false">P1666*(1+Q1666)</f>
        <v>13233.69</v>
      </c>
      <c r="S1666" s="28" t="n">
        <f aca="false">R1666*(1-TradeDiscount)</f>
        <v>11645.6472</v>
      </c>
      <c r="T1666" s="28" t="n">
        <f aca="false">R1666*(1-VolumeDiscount)</f>
        <v>10586.952</v>
      </c>
    </row>
    <row r="1667" customFormat="false" ht="15" hidden="false" customHeight="false" outlineLevel="0" collapsed="false">
      <c r="A1667" s="29" t="s">
        <v>3648</v>
      </c>
      <c r="B1667" s="29" t="s">
        <v>122</v>
      </c>
      <c r="C1667" s="29" t="s">
        <v>3525</v>
      </c>
      <c r="D1667" s="29" t="s">
        <v>3649</v>
      </c>
      <c r="E1667" s="29" t="s">
        <v>101</v>
      </c>
      <c r="F1667" s="29" t="s">
        <v>3565</v>
      </c>
      <c r="G1667" s="29" t="s">
        <v>37</v>
      </c>
      <c r="H1667" s="29" t="s">
        <v>3148</v>
      </c>
      <c r="I1667" s="29" t="s">
        <v>3528</v>
      </c>
      <c r="J1667" s="29" t="s">
        <v>3529</v>
      </c>
      <c r="K1667" s="29" t="s">
        <v>298</v>
      </c>
      <c r="L1667" s="29" t="s">
        <v>33</v>
      </c>
      <c r="M1667" s="29"/>
      <c r="N1667" s="29"/>
      <c r="O1667" s="29" t="n">
        <v>5</v>
      </c>
      <c r="P1667" s="30" t="n">
        <f aca="false">(O1667*(INDEX(FrameWeight_Vals,MATCH(L1667,FrameWeight_Keys,0))*AlumCostPerKg+INDEX(Finish_Vals,MATCH(G1667,Finish_Keys,0)))+O1667*INDEX(InfillRun_Vals,MATCH(E1667,InfillRun_Keys,0)))</f>
        <v>9319.5</v>
      </c>
      <c r="Q1667" s="31" t="n">
        <f aca="false">INDEX(Markup_Vals,MATCH("Railing &amp; Screening Systems",MarkupCat_Keys,0))</f>
        <v>0.42</v>
      </c>
      <c r="R1667" s="32" t="n">
        <f aca="false">P1667*(1+Q1667)</f>
        <v>13233.69</v>
      </c>
      <c r="S1667" s="32" t="n">
        <f aca="false">R1667*(1-TradeDiscount)</f>
        <v>11645.6472</v>
      </c>
      <c r="T1667" s="32" t="n">
        <f aca="false">R1667*(1-VolumeDiscount)</f>
        <v>10586.952</v>
      </c>
    </row>
    <row r="1668" customFormat="false" ht="15" hidden="false" customHeight="false" outlineLevel="0" collapsed="false">
      <c r="A1668" s="25" t="s">
        <v>3650</v>
      </c>
      <c r="B1668" s="25" t="s">
        <v>122</v>
      </c>
      <c r="C1668" s="25" t="s">
        <v>3525</v>
      </c>
      <c r="D1668" s="25" t="s">
        <v>3651</v>
      </c>
      <c r="E1668" s="25" t="s">
        <v>101</v>
      </c>
      <c r="F1668" s="25" t="s">
        <v>3565</v>
      </c>
      <c r="G1668" s="25" t="s">
        <v>39</v>
      </c>
      <c r="H1668" s="25" t="s">
        <v>3148</v>
      </c>
      <c r="I1668" s="25" t="s">
        <v>3528</v>
      </c>
      <c r="J1668" s="25" t="s">
        <v>3529</v>
      </c>
      <c r="K1668" s="25" t="s">
        <v>298</v>
      </c>
      <c r="L1668" s="25" t="s">
        <v>33</v>
      </c>
      <c r="M1668" s="25"/>
      <c r="N1668" s="25"/>
      <c r="O1668" s="25" t="n">
        <v>5</v>
      </c>
      <c r="P1668" s="26" t="n">
        <f aca="false">(O1668*(INDEX(FrameWeight_Vals,MATCH(L1668,FrameWeight_Keys,0))*AlumCostPerKg+INDEX(Finish_Vals,MATCH(G1668,Finish_Keys,0)))+O1668*INDEX(InfillRun_Vals,MATCH(E1668,InfillRun_Keys,0)))</f>
        <v>9404.5</v>
      </c>
      <c r="Q1668" s="27" t="n">
        <f aca="false">INDEX(Markup_Vals,MATCH("Railing &amp; Screening Systems",MarkupCat_Keys,0))</f>
        <v>0.42</v>
      </c>
      <c r="R1668" s="28" t="n">
        <f aca="false">P1668*(1+Q1668)</f>
        <v>13354.39</v>
      </c>
      <c r="S1668" s="28" t="n">
        <f aca="false">R1668*(1-TradeDiscount)</f>
        <v>11751.8632</v>
      </c>
      <c r="T1668" s="28" t="n">
        <f aca="false">R1668*(1-VolumeDiscount)</f>
        <v>10683.512</v>
      </c>
    </row>
    <row r="1669" customFormat="false" ht="15" hidden="false" customHeight="false" outlineLevel="0" collapsed="false">
      <c r="A1669" s="29" t="s">
        <v>3652</v>
      </c>
      <c r="B1669" s="29" t="s">
        <v>122</v>
      </c>
      <c r="C1669" s="29" t="s">
        <v>3525</v>
      </c>
      <c r="D1669" s="29" t="s">
        <v>3653</v>
      </c>
      <c r="E1669" s="29" t="s">
        <v>102</v>
      </c>
      <c r="F1669" s="29" t="s">
        <v>3527</v>
      </c>
      <c r="G1669" s="29" t="s">
        <v>35</v>
      </c>
      <c r="H1669" s="29" t="s">
        <v>3148</v>
      </c>
      <c r="I1669" s="29" t="s">
        <v>3528</v>
      </c>
      <c r="J1669" s="29" t="s">
        <v>3529</v>
      </c>
      <c r="K1669" s="29" t="s">
        <v>298</v>
      </c>
      <c r="L1669" s="29" t="s">
        <v>33</v>
      </c>
      <c r="M1669" s="29"/>
      <c r="N1669" s="29"/>
      <c r="O1669" s="29" t="n">
        <v>1</v>
      </c>
      <c r="P1669" s="30" t="n">
        <f aca="false">(O1669*(INDEX(FrameWeight_Vals,MATCH(L1669,FrameWeight_Keys,0))*AlumCostPerKg+INDEX(Finish_Vals,MATCH(G1669,Finish_Keys,0)))+O1669*INDEX(InfillRun_Vals,MATCH(E1669,InfillRun_Keys,0)))</f>
        <v>1250.9</v>
      </c>
      <c r="Q1669" s="31" t="n">
        <f aca="false">INDEX(Markup_Vals,MATCH("Railing &amp; Screening Systems",MarkupCat_Keys,0))</f>
        <v>0.42</v>
      </c>
      <c r="R1669" s="32" t="n">
        <f aca="false">P1669*(1+Q1669)</f>
        <v>1776.278</v>
      </c>
      <c r="S1669" s="32" t="n">
        <f aca="false">R1669*(1-TradeDiscount)</f>
        <v>1563.12464</v>
      </c>
      <c r="T1669" s="32" t="n">
        <f aca="false">R1669*(1-VolumeDiscount)</f>
        <v>1421.0224</v>
      </c>
    </row>
    <row r="1670" customFormat="false" ht="15" hidden="false" customHeight="false" outlineLevel="0" collapsed="false">
      <c r="A1670" s="25" t="s">
        <v>3654</v>
      </c>
      <c r="B1670" s="25" t="s">
        <v>122</v>
      </c>
      <c r="C1670" s="25" t="s">
        <v>3525</v>
      </c>
      <c r="D1670" s="25" t="s">
        <v>3655</v>
      </c>
      <c r="E1670" s="25" t="s">
        <v>102</v>
      </c>
      <c r="F1670" s="25" t="s">
        <v>3527</v>
      </c>
      <c r="G1670" s="25" t="s">
        <v>36</v>
      </c>
      <c r="H1670" s="25" t="s">
        <v>3148</v>
      </c>
      <c r="I1670" s="25" t="s">
        <v>3528</v>
      </c>
      <c r="J1670" s="25" t="s">
        <v>3529</v>
      </c>
      <c r="K1670" s="25" t="s">
        <v>298</v>
      </c>
      <c r="L1670" s="25" t="s">
        <v>33</v>
      </c>
      <c r="M1670" s="25"/>
      <c r="N1670" s="25"/>
      <c r="O1670" s="25" t="n">
        <v>1</v>
      </c>
      <c r="P1670" s="26" t="n">
        <f aca="false">(O1670*(INDEX(FrameWeight_Vals,MATCH(L1670,FrameWeight_Keys,0))*AlumCostPerKg+INDEX(Finish_Vals,MATCH(G1670,Finish_Keys,0)))+O1670*INDEX(InfillRun_Vals,MATCH(E1670,InfillRun_Keys,0)))</f>
        <v>1263.9</v>
      </c>
      <c r="Q1670" s="27" t="n">
        <f aca="false">INDEX(Markup_Vals,MATCH("Railing &amp; Screening Systems",MarkupCat_Keys,0))</f>
        <v>0.42</v>
      </c>
      <c r="R1670" s="28" t="n">
        <f aca="false">P1670*(1+Q1670)</f>
        <v>1794.738</v>
      </c>
      <c r="S1670" s="28" t="n">
        <f aca="false">R1670*(1-TradeDiscount)</f>
        <v>1579.36944</v>
      </c>
      <c r="T1670" s="28" t="n">
        <f aca="false">R1670*(1-VolumeDiscount)</f>
        <v>1435.7904</v>
      </c>
    </row>
    <row r="1671" customFormat="false" ht="15" hidden="false" customHeight="false" outlineLevel="0" collapsed="false">
      <c r="A1671" s="29" t="s">
        <v>3656</v>
      </c>
      <c r="B1671" s="29" t="s">
        <v>122</v>
      </c>
      <c r="C1671" s="29" t="s">
        <v>3525</v>
      </c>
      <c r="D1671" s="29" t="s">
        <v>3657</v>
      </c>
      <c r="E1671" s="29" t="s">
        <v>102</v>
      </c>
      <c r="F1671" s="29" t="s">
        <v>3527</v>
      </c>
      <c r="G1671" s="29" t="s">
        <v>37</v>
      </c>
      <c r="H1671" s="29" t="s">
        <v>3148</v>
      </c>
      <c r="I1671" s="29" t="s">
        <v>3528</v>
      </c>
      <c r="J1671" s="29" t="s">
        <v>3529</v>
      </c>
      <c r="K1671" s="29" t="s">
        <v>298</v>
      </c>
      <c r="L1671" s="29" t="s">
        <v>33</v>
      </c>
      <c r="M1671" s="29"/>
      <c r="N1671" s="29"/>
      <c r="O1671" s="29" t="n">
        <v>1</v>
      </c>
      <c r="P1671" s="30" t="n">
        <f aca="false">(O1671*(INDEX(FrameWeight_Vals,MATCH(L1671,FrameWeight_Keys,0))*AlumCostPerKg+INDEX(Finish_Vals,MATCH(G1671,Finish_Keys,0)))+O1671*INDEX(InfillRun_Vals,MATCH(E1671,InfillRun_Keys,0)))</f>
        <v>1263.9</v>
      </c>
      <c r="Q1671" s="31" t="n">
        <f aca="false">INDEX(Markup_Vals,MATCH("Railing &amp; Screening Systems",MarkupCat_Keys,0))</f>
        <v>0.42</v>
      </c>
      <c r="R1671" s="32" t="n">
        <f aca="false">P1671*(1+Q1671)</f>
        <v>1794.738</v>
      </c>
      <c r="S1671" s="32" t="n">
        <f aca="false">R1671*(1-TradeDiscount)</f>
        <v>1579.36944</v>
      </c>
      <c r="T1671" s="32" t="n">
        <f aca="false">R1671*(1-VolumeDiscount)</f>
        <v>1435.7904</v>
      </c>
    </row>
    <row r="1672" customFormat="false" ht="15" hidden="false" customHeight="false" outlineLevel="0" collapsed="false">
      <c r="A1672" s="25" t="s">
        <v>3658</v>
      </c>
      <c r="B1672" s="25" t="s">
        <v>122</v>
      </c>
      <c r="C1672" s="25" t="s">
        <v>3525</v>
      </c>
      <c r="D1672" s="25" t="s">
        <v>3659</v>
      </c>
      <c r="E1672" s="25" t="s">
        <v>102</v>
      </c>
      <c r="F1672" s="25" t="s">
        <v>3527</v>
      </c>
      <c r="G1672" s="25" t="s">
        <v>39</v>
      </c>
      <c r="H1672" s="25" t="s">
        <v>3148</v>
      </c>
      <c r="I1672" s="25" t="s">
        <v>3528</v>
      </c>
      <c r="J1672" s="25" t="s">
        <v>3529</v>
      </c>
      <c r="K1672" s="25" t="s">
        <v>298</v>
      </c>
      <c r="L1672" s="25" t="s">
        <v>33</v>
      </c>
      <c r="M1672" s="25"/>
      <c r="N1672" s="25"/>
      <c r="O1672" s="25" t="n">
        <v>1</v>
      </c>
      <c r="P1672" s="26" t="n">
        <f aca="false">(O1672*(INDEX(FrameWeight_Vals,MATCH(L1672,FrameWeight_Keys,0))*AlumCostPerKg+INDEX(Finish_Vals,MATCH(G1672,Finish_Keys,0)))+O1672*INDEX(InfillRun_Vals,MATCH(E1672,InfillRun_Keys,0)))</f>
        <v>1280.9</v>
      </c>
      <c r="Q1672" s="27" t="n">
        <f aca="false">INDEX(Markup_Vals,MATCH("Railing &amp; Screening Systems",MarkupCat_Keys,0))</f>
        <v>0.42</v>
      </c>
      <c r="R1672" s="28" t="n">
        <f aca="false">P1672*(1+Q1672)</f>
        <v>1818.878</v>
      </c>
      <c r="S1672" s="28" t="n">
        <f aca="false">R1672*(1-TradeDiscount)</f>
        <v>1600.61264</v>
      </c>
      <c r="T1672" s="28" t="n">
        <f aca="false">R1672*(1-VolumeDiscount)</f>
        <v>1455.1024</v>
      </c>
    </row>
    <row r="1673" customFormat="false" ht="15" hidden="false" customHeight="false" outlineLevel="0" collapsed="false">
      <c r="A1673" s="29" t="s">
        <v>3660</v>
      </c>
      <c r="B1673" s="29" t="s">
        <v>122</v>
      </c>
      <c r="C1673" s="29" t="s">
        <v>3525</v>
      </c>
      <c r="D1673" s="29" t="s">
        <v>3661</v>
      </c>
      <c r="E1673" s="29" t="s">
        <v>102</v>
      </c>
      <c r="F1673" s="29" t="s">
        <v>3538</v>
      </c>
      <c r="G1673" s="29" t="s">
        <v>35</v>
      </c>
      <c r="H1673" s="29" t="s">
        <v>3148</v>
      </c>
      <c r="I1673" s="29" t="s">
        <v>3528</v>
      </c>
      <c r="J1673" s="29" t="s">
        <v>3529</v>
      </c>
      <c r="K1673" s="29" t="s">
        <v>298</v>
      </c>
      <c r="L1673" s="29" t="s">
        <v>33</v>
      </c>
      <c r="M1673" s="29"/>
      <c r="N1673" s="29"/>
      <c r="O1673" s="29" t="n">
        <v>2</v>
      </c>
      <c r="P1673" s="30" t="n">
        <f aca="false">(O1673*(INDEX(FrameWeight_Vals,MATCH(L1673,FrameWeight_Keys,0))*AlumCostPerKg+INDEX(Finish_Vals,MATCH(G1673,Finish_Keys,0)))+O1673*INDEX(InfillRun_Vals,MATCH(E1673,InfillRun_Keys,0)))</f>
        <v>2501.8</v>
      </c>
      <c r="Q1673" s="31" t="n">
        <f aca="false">INDEX(Markup_Vals,MATCH("Railing &amp; Screening Systems",MarkupCat_Keys,0))</f>
        <v>0.42</v>
      </c>
      <c r="R1673" s="32" t="n">
        <f aca="false">P1673*(1+Q1673)</f>
        <v>3552.556</v>
      </c>
      <c r="S1673" s="32" t="n">
        <f aca="false">R1673*(1-TradeDiscount)</f>
        <v>3126.24928</v>
      </c>
      <c r="T1673" s="32" t="n">
        <f aca="false">R1673*(1-VolumeDiscount)</f>
        <v>2842.0448</v>
      </c>
    </row>
    <row r="1674" customFormat="false" ht="15" hidden="false" customHeight="false" outlineLevel="0" collapsed="false">
      <c r="A1674" s="25" t="s">
        <v>3662</v>
      </c>
      <c r="B1674" s="25" t="s">
        <v>122</v>
      </c>
      <c r="C1674" s="25" t="s">
        <v>3525</v>
      </c>
      <c r="D1674" s="25" t="s">
        <v>3663</v>
      </c>
      <c r="E1674" s="25" t="s">
        <v>102</v>
      </c>
      <c r="F1674" s="25" t="s">
        <v>3538</v>
      </c>
      <c r="G1674" s="25" t="s">
        <v>36</v>
      </c>
      <c r="H1674" s="25" t="s">
        <v>3148</v>
      </c>
      <c r="I1674" s="25" t="s">
        <v>3528</v>
      </c>
      <c r="J1674" s="25" t="s">
        <v>3529</v>
      </c>
      <c r="K1674" s="25" t="s">
        <v>298</v>
      </c>
      <c r="L1674" s="25" t="s">
        <v>33</v>
      </c>
      <c r="M1674" s="25"/>
      <c r="N1674" s="25"/>
      <c r="O1674" s="25" t="n">
        <v>2</v>
      </c>
      <c r="P1674" s="26" t="n">
        <f aca="false">(O1674*(INDEX(FrameWeight_Vals,MATCH(L1674,FrameWeight_Keys,0))*AlumCostPerKg+INDEX(Finish_Vals,MATCH(G1674,Finish_Keys,0)))+O1674*INDEX(InfillRun_Vals,MATCH(E1674,InfillRun_Keys,0)))</f>
        <v>2527.8</v>
      </c>
      <c r="Q1674" s="27" t="n">
        <f aca="false">INDEX(Markup_Vals,MATCH("Railing &amp; Screening Systems",MarkupCat_Keys,0))</f>
        <v>0.42</v>
      </c>
      <c r="R1674" s="28" t="n">
        <f aca="false">P1674*(1+Q1674)</f>
        <v>3589.476</v>
      </c>
      <c r="S1674" s="28" t="n">
        <f aca="false">R1674*(1-TradeDiscount)</f>
        <v>3158.73888</v>
      </c>
      <c r="T1674" s="28" t="n">
        <f aca="false">R1674*(1-VolumeDiscount)</f>
        <v>2871.5808</v>
      </c>
    </row>
    <row r="1675" customFormat="false" ht="15" hidden="false" customHeight="false" outlineLevel="0" collapsed="false">
      <c r="A1675" s="29" t="s">
        <v>3664</v>
      </c>
      <c r="B1675" s="29" t="s">
        <v>122</v>
      </c>
      <c r="C1675" s="29" t="s">
        <v>3525</v>
      </c>
      <c r="D1675" s="29" t="s">
        <v>3665</v>
      </c>
      <c r="E1675" s="29" t="s">
        <v>102</v>
      </c>
      <c r="F1675" s="29" t="s">
        <v>3538</v>
      </c>
      <c r="G1675" s="29" t="s">
        <v>37</v>
      </c>
      <c r="H1675" s="29" t="s">
        <v>3148</v>
      </c>
      <c r="I1675" s="29" t="s">
        <v>3528</v>
      </c>
      <c r="J1675" s="29" t="s">
        <v>3529</v>
      </c>
      <c r="K1675" s="29" t="s">
        <v>298</v>
      </c>
      <c r="L1675" s="29" t="s">
        <v>33</v>
      </c>
      <c r="M1675" s="29"/>
      <c r="N1675" s="29"/>
      <c r="O1675" s="29" t="n">
        <v>2</v>
      </c>
      <c r="P1675" s="30" t="n">
        <f aca="false">(O1675*(INDEX(FrameWeight_Vals,MATCH(L1675,FrameWeight_Keys,0))*AlumCostPerKg+INDEX(Finish_Vals,MATCH(G1675,Finish_Keys,0)))+O1675*INDEX(InfillRun_Vals,MATCH(E1675,InfillRun_Keys,0)))</f>
        <v>2527.8</v>
      </c>
      <c r="Q1675" s="31" t="n">
        <f aca="false">INDEX(Markup_Vals,MATCH("Railing &amp; Screening Systems",MarkupCat_Keys,0))</f>
        <v>0.42</v>
      </c>
      <c r="R1675" s="32" t="n">
        <f aca="false">P1675*(1+Q1675)</f>
        <v>3589.476</v>
      </c>
      <c r="S1675" s="32" t="n">
        <f aca="false">R1675*(1-TradeDiscount)</f>
        <v>3158.73888</v>
      </c>
      <c r="T1675" s="32" t="n">
        <f aca="false">R1675*(1-VolumeDiscount)</f>
        <v>2871.5808</v>
      </c>
    </row>
    <row r="1676" customFormat="false" ht="15" hidden="false" customHeight="false" outlineLevel="0" collapsed="false">
      <c r="A1676" s="25" t="s">
        <v>3666</v>
      </c>
      <c r="B1676" s="25" t="s">
        <v>122</v>
      </c>
      <c r="C1676" s="25" t="s">
        <v>3525</v>
      </c>
      <c r="D1676" s="25" t="s">
        <v>3667</v>
      </c>
      <c r="E1676" s="25" t="s">
        <v>102</v>
      </c>
      <c r="F1676" s="25" t="s">
        <v>3538</v>
      </c>
      <c r="G1676" s="25" t="s">
        <v>39</v>
      </c>
      <c r="H1676" s="25" t="s">
        <v>3148</v>
      </c>
      <c r="I1676" s="25" t="s">
        <v>3528</v>
      </c>
      <c r="J1676" s="25" t="s">
        <v>3529</v>
      </c>
      <c r="K1676" s="25" t="s">
        <v>298</v>
      </c>
      <c r="L1676" s="25" t="s">
        <v>33</v>
      </c>
      <c r="M1676" s="25"/>
      <c r="N1676" s="25"/>
      <c r="O1676" s="25" t="n">
        <v>2</v>
      </c>
      <c r="P1676" s="26" t="n">
        <f aca="false">(O1676*(INDEX(FrameWeight_Vals,MATCH(L1676,FrameWeight_Keys,0))*AlumCostPerKg+INDEX(Finish_Vals,MATCH(G1676,Finish_Keys,0)))+O1676*INDEX(InfillRun_Vals,MATCH(E1676,InfillRun_Keys,0)))</f>
        <v>2561.8</v>
      </c>
      <c r="Q1676" s="27" t="n">
        <f aca="false">INDEX(Markup_Vals,MATCH("Railing &amp; Screening Systems",MarkupCat_Keys,0))</f>
        <v>0.42</v>
      </c>
      <c r="R1676" s="28" t="n">
        <f aca="false">P1676*(1+Q1676)</f>
        <v>3637.756</v>
      </c>
      <c r="S1676" s="28" t="n">
        <f aca="false">R1676*(1-TradeDiscount)</f>
        <v>3201.22528</v>
      </c>
      <c r="T1676" s="28" t="n">
        <f aca="false">R1676*(1-VolumeDiscount)</f>
        <v>2910.2048</v>
      </c>
    </row>
    <row r="1677" customFormat="false" ht="15" hidden="false" customHeight="false" outlineLevel="0" collapsed="false">
      <c r="A1677" s="29" t="s">
        <v>3668</v>
      </c>
      <c r="B1677" s="29" t="s">
        <v>122</v>
      </c>
      <c r="C1677" s="29" t="s">
        <v>3525</v>
      </c>
      <c r="D1677" s="29" t="s">
        <v>3669</v>
      </c>
      <c r="E1677" s="29" t="s">
        <v>102</v>
      </c>
      <c r="F1677" s="29" t="s">
        <v>3547</v>
      </c>
      <c r="G1677" s="29" t="s">
        <v>35</v>
      </c>
      <c r="H1677" s="29" t="s">
        <v>3148</v>
      </c>
      <c r="I1677" s="29" t="s">
        <v>3528</v>
      </c>
      <c r="J1677" s="29" t="s">
        <v>3529</v>
      </c>
      <c r="K1677" s="29" t="s">
        <v>298</v>
      </c>
      <c r="L1677" s="29" t="s">
        <v>33</v>
      </c>
      <c r="M1677" s="29"/>
      <c r="N1677" s="29"/>
      <c r="O1677" s="29" t="n">
        <v>3</v>
      </c>
      <c r="P1677" s="30" t="n">
        <f aca="false">(O1677*(INDEX(FrameWeight_Vals,MATCH(L1677,FrameWeight_Keys,0))*AlumCostPerKg+INDEX(Finish_Vals,MATCH(G1677,Finish_Keys,0)))+O1677*INDEX(InfillRun_Vals,MATCH(E1677,InfillRun_Keys,0)))</f>
        <v>3752.7</v>
      </c>
      <c r="Q1677" s="31" t="n">
        <f aca="false">INDEX(Markup_Vals,MATCH("Railing &amp; Screening Systems",MarkupCat_Keys,0))</f>
        <v>0.42</v>
      </c>
      <c r="R1677" s="32" t="n">
        <f aca="false">P1677*(1+Q1677)</f>
        <v>5328.834</v>
      </c>
      <c r="S1677" s="32" t="n">
        <f aca="false">R1677*(1-TradeDiscount)</f>
        <v>4689.37392</v>
      </c>
      <c r="T1677" s="32" t="n">
        <f aca="false">R1677*(1-VolumeDiscount)</f>
        <v>4263.0672</v>
      </c>
    </row>
    <row r="1678" customFormat="false" ht="15" hidden="false" customHeight="false" outlineLevel="0" collapsed="false">
      <c r="A1678" s="25" t="s">
        <v>3670</v>
      </c>
      <c r="B1678" s="25" t="s">
        <v>122</v>
      </c>
      <c r="C1678" s="25" t="s">
        <v>3525</v>
      </c>
      <c r="D1678" s="25" t="s">
        <v>3671</v>
      </c>
      <c r="E1678" s="25" t="s">
        <v>102</v>
      </c>
      <c r="F1678" s="25" t="s">
        <v>3547</v>
      </c>
      <c r="G1678" s="25" t="s">
        <v>36</v>
      </c>
      <c r="H1678" s="25" t="s">
        <v>3148</v>
      </c>
      <c r="I1678" s="25" t="s">
        <v>3528</v>
      </c>
      <c r="J1678" s="25" t="s">
        <v>3529</v>
      </c>
      <c r="K1678" s="25" t="s">
        <v>298</v>
      </c>
      <c r="L1678" s="25" t="s">
        <v>33</v>
      </c>
      <c r="M1678" s="25"/>
      <c r="N1678" s="25"/>
      <c r="O1678" s="25" t="n">
        <v>3</v>
      </c>
      <c r="P1678" s="26" t="n">
        <f aca="false">(O1678*(INDEX(FrameWeight_Vals,MATCH(L1678,FrameWeight_Keys,0))*AlumCostPerKg+INDEX(Finish_Vals,MATCH(G1678,Finish_Keys,0)))+O1678*INDEX(InfillRun_Vals,MATCH(E1678,InfillRun_Keys,0)))</f>
        <v>3791.7</v>
      </c>
      <c r="Q1678" s="27" t="n">
        <f aca="false">INDEX(Markup_Vals,MATCH("Railing &amp; Screening Systems",MarkupCat_Keys,0))</f>
        <v>0.42</v>
      </c>
      <c r="R1678" s="28" t="n">
        <f aca="false">P1678*(1+Q1678)</f>
        <v>5384.214</v>
      </c>
      <c r="S1678" s="28" t="n">
        <f aca="false">R1678*(1-TradeDiscount)</f>
        <v>4738.10832</v>
      </c>
      <c r="T1678" s="28" t="n">
        <f aca="false">R1678*(1-VolumeDiscount)</f>
        <v>4307.3712</v>
      </c>
    </row>
    <row r="1679" customFormat="false" ht="15" hidden="false" customHeight="false" outlineLevel="0" collapsed="false">
      <c r="A1679" s="29" t="s">
        <v>3672</v>
      </c>
      <c r="B1679" s="29" t="s">
        <v>122</v>
      </c>
      <c r="C1679" s="29" t="s">
        <v>3525</v>
      </c>
      <c r="D1679" s="29" t="s">
        <v>3673</v>
      </c>
      <c r="E1679" s="29" t="s">
        <v>102</v>
      </c>
      <c r="F1679" s="29" t="s">
        <v>3547</v>
      </c>
      <c r="G1679" s="29" t="s">
        <v>37</v>
      </c>
      <c r="H1679" s="29" t="s">
        <v>3148</v>
      </c>
      <c r="I1679" s="29" t="s">
        <v>3528</v>
      </c>
      <c r="J1679" s="29" t="s">
        <v>3529</v>
      </c>
      <c r="K1679" s="29" t="s">
        <v>298</v>
      </c>
      <c r="L1679" s="29" t="s">
        <v>33</v>
      </c>
      <c r="M1679" s="29"/>
      <c r="N1679" s="29"/>
      <c r="O1679" s="29" t="n">
        <v>3</v>
      </c>
      <c r="P1679" s="30" t="n">
        <f aca="false">(O1679*(INDEX(FrameWeight_Vals,MATCH(L1679,FrameWeight_Keys,0))*AlumCostPerKg+INDEX(Finish_Vals,MATCH(G1679,Finish_Keys,0)))+O1679*INDEX(InfillRun_Vals,MATCH(E1679,InfillRun_Keys,0)))</f>
        <v>3791.7</v>
      </c>
      <c r="Q1679" s="31" t="n">
        <f aca="false">INDEX(Markup_Vals,MATCH("Railing &amp; Screening Systems",MarkupCat_Keys,0))</f>
        <v>0.42</v>
      </c>
      <c r="R1679" s="32" t="n">
        <f aca="false">P1679*(1+Q1679)</f>
        <v>5384.214</v>
      </c>
      <c r="S1679" s="32" t="n">
        <f aca="false">R1679*(1-TradeDiscount)</f>
        <v>4738.10832</v>
      </c>
      <c r="T1679" s="32" t="n">
        <f aca="false">R1679*(1-VolumeDiscount)</f>
        <v>4307.3712</v>
      </c>
    </row>
    <row r="1680" customFormat="false" ht="15" hidden="false" customHeight="false" outlineLevel="0" collapsed="false">
      <c r="A1680" s="25" t="s">
        <v>3674</v>
      </c>
      <c r="B1680" s="25" t="s">
        <v>122</v>
      </c>
      <c r="C1680" s="25" t="s">
        <v>3525</v>
      </c>
      <c r="D1680" s="25" t="s">
        <v>3675</v>
      </c>
      <c r="E1680" s="25" t="s">
        <v>102</v>
      </c>
      <c r="F1680" s="25" t="s">
        <v>3547</v>
      </c>
      <c r="G1680" s="25" t="s">
        <v>39</v>
      </c>
      <c r="H1680" s="25" t="s">
        <v>3148</v>
      </c>
      <c r="I1680" s="25" t="s">
        <v>3528</v>
      </c>
      <c r="J1680" s="25" t="s">
        <v>3529</v>
      </c>
      <c r="K1680" s="25" t="s">
        <v>298</v>
      </c>
      <c r="L1680" s="25" t="s">
        <v>33</v>
      </c>
      <c r="M1680" s="25"/>
      <c r="N1680" s="25"/>
      <c r="O1680" s="25" t="n">
        <v>3</v>
      </c>
      <c r="P1680" s="26" t="n">
        <f aca="false">(O1680*(INDEX(FrameWeight_Vals,MATCH(L1680,FrameWeight_Keys,0))*AlumCostPerKg+INDEX(Finish_Vals,MATCH(G1680,Finish_Keys,0)))+O1680*INDEX(InfillRun_Vals,MATCH(E1680,InfillRun_Keys,0)))</f>
        <v>3842.7</v>
      </c>
      <c r="Q1680" s="27" t="n">
        <f aca="false">INDEX(Markup_Vals,MATCH("Railing &amp; Screening Systems",MarkupCat_Keys,0))</f>
        <v>0.42</v>
      </c>
      <c r="R1680" s="28" t="n">
        <f aca="false">P1680*(1+Q1680)</f>
        <v>5456.634</v>
      </c>
      <c r="S1680" s="28" t="n">
        <f aca="false">R1680*(1-TradeDiscount)</f>
        <v>4801.83792</v>
      </c>
      <c r="T1680" s="28" t="n">
        <f aca="false">R1680*(1-VolumeDiscount)</f>
        <v>4365.3072</v>
      </c>
    </row>
    <row r="1681" customFormat="false" ht="15" hidden="false" customHeight="false" outlineLevel="0" collapsed="false">
      <c r="A1681" s="29" t="s">
        <v>3676</v>
      </c>
      <c r="B1681" s="29" t="s">
        <v>122</v>
      </c>
      <c r="C1681" s="29" t="s">
        <v>3525</v>
      </c>
      <c r="D1681" s="29" t="s">
        <v>3677</v>
      </c>
      <c r="E1681" s="29" t="s">
        <v>102</v>
      </c>
      <c r="F1681" s="29" t="s">
        <v>3556</v>
      </c>
      <c r="G1681" s="29" t="s">
        <v>35</v>
      </c>
      <c r="H1681" s="29" t="s">
        <v>3148</v>
      </c>
      <c r="I1681" s="29" t="s">
        <v>3528</v>
      </c>
      <c r="J1681" s="29" t="s">
        <v>3529</v>
      </c>
      <c r="K1681" s="29" t="s">
        <v>298</v>
      </c>
      <c r="L1681" s="29" t="s">
        <v>33</v>
      </c>
      <c r="M1681" s="29"/>
      <c r="N1681" s="29"/>
      <c r="O1681" s="29" t="n">
        <v>4</v>
      </c>
      <c r="P1681" s="30" t="n">
        <f aca="false">(O1681*(INDEX(FrameWeight_Vals,MATCH(L1681,FrameWeight_Keys,0))*AlumCostPerKg+INDEX(Finish_Vals,MATCH(G1681,Finish_Keys,0)))+O1681*INDEX(InfillRun_Vals,MATCH(E1681,InfillRun_Keys,0)))</f>
        <v>5003.6</v>
      </c>
      <c r="Q1681" s="31" t="n">
        <f aca="false">INDEX(Markup_Vals,MATCH("Railing &amp; Screening Systems",MarkupCat_Keys,0))</f>
        <v>0.42</v>
      </c>
      <c r="R1681" s="32" t="n">
        <f aca="false">P1681*(1+Q1681)</f>
        <v>7105.112</v>
      </c>
      <c r="S1681" s="32" t="n">
        <f aca="false">R1681*(1-TradeDiscount)</f>
        <v>6252.49856</v>
      </c>
      <c r="T1681" s="32" t="n">
        <f aca="false">R1681*(1-VolumeDiscount)</f>
        <v>5684.0896</v>
      </c>
    </row>
    <row r="1682" customFormat="false" ht="15" hidden="false" customHeight="false" outlineLevel="0" collapsed="false">
      <c r="A1682" s="25" t="s">
        <v>3678</v>
      </c>
      <c r="B1682" s="25" t="s">
        <v>122</v>
      </c>
      <c r="C1682" s="25" t="s">
        <v>3525</v>
      </c>
      <c r="D1682" s="25" t="s">
        <v>3679</v>
      </c>
      <c r="E1682" s="25" t="s">
        <v>102</v>
      </c>
      <c r="F1682" s="25" t="s">
        <v>3556</v>
      </c>
      <c r="G1682" s="25" t="s">
        <v>36</v>
      </c>
      <c r="H1682" s="25" t="s">
        <v>3148</v>
      </c>
      <c r="I1682" s="25" t="s">
        <v>3528</v>
      </c>
      <c r="J1682" s="25" t="s">
        <v>3529</v>
      </c>
      <c r="K1682" s="25" t="s">
        <v>298</v>
      </c>
      <c r="L1682" s="25" t="s">
        <v>33</v>
      </c>
      <c r="M1682" s="25"/>
      <c r="N1682" s="25"/>
      <c r="O1682" s="25" t="n">
        <v>4</v>
      </c>
      <c r="P1682" s="26" t="n">
        <f aca="false">(O1682*(INDEX(FrameWeight_Vals,MATCH(L1682,FrameWeight_Keys,0))*AlumCostPerKg+INDEX(Finish_Vals,MATCH(G1682,Finish_Keys,0)))+O1682*INDEX(InfillRun_Vals,MATCH(E1682,InfillRun_Keys,0)))</f>
        <v>5055.6</v>
      </c>
      <c r="Q1682" s="27" t="n">
        <f aca="false">INDEX(Markup_Vals,MATCH("Railing &amp; Screening Systems",MarkupCat_Keys,0))</f>
        <v>0.42</v>
      </c>
      <c r="R1682" s="28" t="n">
        <f aca="false">P1682*(1+Q1682)</f>
        <v>7178.952</v>
      </c>
      <c r="S1682" s="28" t="n">
        <f aca="false">R1682*(1-TradeDiscount)</f>
        <v>6317.47776</v>
      </c>
      <c r="T1682" s="28" t="n">
        <f aca="false">R1682*(1-VolumeDiscount)</f>
        <v>5743.1616</v>
      </c>
    </row>
    <row r="1683" customFormat="false" ht="15" hidden="false" customHeight="false" outlineLevel="0" collapsed="false">
      <c r="A1683" s="29" t="s">
        <v>3680</v>
      </c>
      <c r="B1683" s="29" t="s">
        <v>122</v>
      </c>
      <c r="C1683" s="29" t="s">
        <v>3525</v>
      </c>
      <c r="D1683" s="29" t="s">
        <v>3681</v>
      </c>
      <c r="E1683" s="29" t="s">
        <v>102</v>
      </c>
      <c r="F1683" s="29" t="s">
        <v>3556</v>
      </c>
      <c r="G1683" s="29" t="s">
        <v>37</v>
      </c>
      <c r="H1683" s="29" t="s">
        <v>3148</v>
      </c>
      <c r="I1683" s="29" t="s">
        <v>3528</v>
      </c>
      <c r="J1683" s="29" t="s">
        <v>3529</v>
      </c>
      <c r="K1683" s="29" t="s">
        <v>298</v>
      </c>
      <c r="L1683" s="29" t="s">
        <v>33</v>
      </c>
      <c r="M1683" s="29"/>
      <c r="N1683" s="29"/>
      <c r="O1683" s="29" t="n">
        <v>4</v>
      </c>
      <c r="P1683" s="30" t="n">
        <f aca="false">(O1683*(INDEX(FrameWeight_Vals,MATCH(L1683,FrameWeight_Keys,0))*AlumCostPerKg+INDEX(Finish_Vals,MATCH(G1683,Finish_Keys,0)))+O1683*INDEX(InfillRun_Vals,MATCH(E1683,InfillRun_Keys,0)))</f>
        <v>5055.6</v>
      </c>
      <c r="Q1683" s="31" t="n">
        <f aca="false">INDEX(Markup_Vals,MATCH("Railing &amp; Screening Systems",MarkupCat_Keys,0))</f>
        <v>0.42</v>
      </c>
      <c r="R1683" s="32" t="n">
        <f aca="false">P1683*(1+Q1683)</f>
        <v>7178.952</v>
      </c>
      <c r="S1683" s="32" t="n">
        <f aca="false">R1683*(1-TradeDiscount)</f>
        <v>6317.47776</v>
      </c>
      <c r="T1683" s="32" t="n">
        <f aca="false">R1683*(1-VolumeDiscount)</f>
        <v>5743.1616</v>
      </c>
    </row>
    <row r="1684" customFormat="false" ht="15" hidden="false" customHeight="false" outlineLevel="0" collapsed="false">
      <c r="A1684" s="25" t="s">
        <v>3682</v>
      </c>
      <c r="B1684" s="25" t="s">
        <v>122</v>
      </c>
      <c r="C1684" s="25" t="s">
        <v>3525</v>
      </c>
      <c r="D1684" s="25" t="s">
        <v>3683</v>
      </c>
      <c r="E1684" s="25" t="s">
        <v>102</v>
      </c>
      <c r="F1684" s="25" t="s">
        <v>3556</v>
      </c>
      <c r="G1684" s="25" t="s">
        <v>39</v>
      </c>
      <c r="H1684" s="25" t="s">
        <v>3148</v>
      </c>
      <c r="I1684" s="25" t="s">
        <v>3528</v>
      </c>
      <c r="J1684" s="25" t="s">
        <v>3529</v>
      </c>
      <c r="K1684" s="25" t="s">
        <v>298</v>
      </c>
      <c r="L1684" s="25" t="s">
        <v>33</v>
      </c>
      <c r="M1684" s="25"/>
      <c r="N1684" s="25"/>
      <c r="O1684" s="25" t="n">
        <v>4</v>
      </c>
      <c r="P1684" s="26" t="n">
        <f aca="false">(O1684*(INDEX(FrameWeight_Vals,MATCH(L1684,FrameWeight_Keys,0))*AlumCostPerKg+INDEX(Finish_Vals,MATCH(G1684,Finish_Keys,0)))+O1684*INDEX(InfillRun_Vals,MATCH(E1684,InfillRun_Keys,0)))</f>
        <v>5123.6</v>
      </c>
      <c r="Q1684" s="27" t="n">
        <f aca="false">INDEX(Markup_Vals,MATCH("Railing &amp; Screening Systems",MarkupCat_Keys,0))</f>
        <v>0.42</v>
      </c>
      <c r="R1684" s="28" t="n">
        <f aca="false">P1684*(1+Q1684)</f>
        <v>7275.512</v>
      </c>
      <c r="S1684" s="28" t="n">
        <f aca="false">R1684*(1-TradeDiscount)</f>
        <v>6402.45056</v>
      </c>
      <c r="T1684" s="28" t="n">
        <f aca="false">R1684*(1-VolumeDiscount)</f>
        <v>5820.4096</v>
      </c>
    </row>
    <row r="1685" customFormat="false" ht="15" hidden="false" customHeight="false" outlineLevel="0" collapsed="false">
      <c r="A1685" s="29" t="s">
        <v>3684</v>
      </c>
      <c r="B1685" s="29" t="s">
        <v>122</v>
      </c>
      <c r="C1685" s="29" t="s">
        <v>3525</v>
      </c>
      <c r="D1685" s="29" t="s">
        <v>3685</v>
      </c>
      <c r="E1685" s="29" t="s">
        <v>102</v>
      </c>
      <c r="F1685" s="29" t="s">
        <v>3565</v>
      </c>
      <c r="G1685" s="29" t="s">
        <v>35</v>
      </c>
      <c r="H1685" s="29" t="s">
        <v>3148</v>
      </c>
      <c r="I1685" s="29" t="s">
        <v>3528</v>
      </c>
      <c r="J1685" s="29" t="s">
        <v>3529</v>
      </c>
      <c r="K1685" s="29" t="s">
        <v>298</v>
      </c>
      <c r="L1685" s="29" t="s">
        <v>33</v>
      </c>
      <c r="M1685" s="29"/>
      <c r="N1685" s="29"/>
      <c r="O1685" s="29" t="n">
        <v>5</v>
      </c>
      <c r="P1685" s="30" t="n">
        <f aca="false">(O1685*(INDEX(FrameWeight_Vals,MATCH(L1685,FrameWeight_Keys,0))*AlumCostPerKg+INDEX(Finish_Vals,MATCH(G1685,Finish_Keys,0)))+O1685*INDEX(InfillRun_Vals,MATCH(E1685,InfillRun_Keys,0)))</f>
        <v>6254.5</v>
      </c>
      <c r="Q1685" s="31" t="n">
        <f aca="false">INDEX(Markup_Vals,MATCH("Railing &amp; Screening Systems",MarkupCat_Keys,0))</f>
        <v>0.42</v>
      </c>
      <c r="R1685" s="32" t="n">
        <f aca="false">P1685*(1+Q1685)</f>
        <v>8881.39</v>
      </c>
      <c r="S1685" s="32" t="n">
        <f aca="false">R1685*(1-TradeDiscount)</f>
        <v>7815.6232</v>
      </c>
      <c r="T1685" s="32" t="n">
        <f aca="false">R1685*(1-VolumeDiscount)</f>
        <v>7105.112</v>
      </c>
    </row>
    <row r="1686" customFormat="false" ht="15" hidden="false" customHeight="false" outlineLevel="0" collapsed="false">
      <c r="A1686" s="25" t="s">
        <v>3686</v>
      </c>
      <c r="B1686" s="25" t="s">
        <v>122</v>
      </c>
      <c r="C1686" s="25" t="s">
        <v>3525</v>
      </c>
      <c r="D1686" s="25" t="s">
        <v>3687</v>
      </c>
      <c r="E1686" s="25" t="s">
        <v>102</v>
      </c>
      <c r="F1686" s="25" t="s">
        <v>3565</v>
      </c>
      <c r="G1686" s="25" t="s">
        <v>36</v>
      </c>
      <c r="H1686" s="25" t="s">
        <v>3148</v>
      </c>
      <c r="I1686" s="25" t="s">
        <v>3528</v>
      </c>
      <c r="J1686" s="25" t="s">
        <v>3529</v>
      </c>
      <c r="K1686" s="25" t="s">
        <v>298</v>
      </c>
      <c r="L1686" s="25" t="s">
        <v>33</v>
      </c>
      <c r="M1686" s="25"/>
      <c r="N1686" s="25"/>
      <c r="O1686" s="25" t="n">
        <v>5</v>
      </c>
      <c r="P1686" s="26" t="n">
        <f aca="false">(O1686*(INDEX(FrameWeight_Vals,MATCH(L1686,FrameWeight_Keys,0))*AlumCostPerKg+INDEX(Finish_Vals,MATCH(G1686,Finish_Keys,0)))+O1686*INDEX(InfillRun_Vals,MATCH(E1686,InfillRun_Keys,0)))</f>
        <v>6319.5</v>
      </c>
      <c r="Q1686" s="27" t="n">
        <f aca="false">INDEX(Markup_Vals,MATCH("Railing &amp; Screening Systems",MarkupCat_Keys,0))</f>
        <v>0.42</v>
      </c>
      <c r="R1686" s="28" t="n">
        <f aca="false">P1686*(1+Q1686)</f>
        <v>8973.69</v>
      </c>
      <c r="S1686" s="28" t="n">
        <f aca="false">R1686*(1-TradeDiscount)</f>
        <v>7896.8472</v>
      </c>
      <c r="T1686" s="28" t="n">
        <f aca="false">R1686*(1-VolumeDiscount)</f>
        <v>7178.952</v>
      </c>
    </row>
    <row r="1687" customFormat="false" ht="15" hidden="false" customHeight="false" outlineLevel="0" collapsed="false">
      <c r="A1687" s="29" t="s">
        <v>3688</v>
      </c>
      <c r="B1687" s="29" t="s">
        <v>122</v>
      </c>
      <c r="C1687" s="29" t="s">
        <v>3525</v>
      </c>
      <c r="D1687" s="29" t="s">
        <v>3689</v>
      </c>
      <c r="E1687" s="29" t="s">
        <v>102</v>
      </c>
      <c r="F1687" s="29" t="s">
        <v>3565</v>
      </c>
      <c r="G1687" s="29" t="s">
        <v>37</v>
      </c>
      <c r="H1687" s="29" t="s">
        <v>3148</v>
      </c>
      <c r="I1687" s="29" t="s">
        <v>3528</v>
      </c>
      <c r="J1687" s="29" t="s">
        <v>3529</v>
      </c>
      <c r="K1687" s="29" t="s">
        <v>298</v>
      </c>
      <c r="L1687" s="29" t="s">
        <v>33</v>
      </c>
      <c r="M1687" s="29"/>
      <c r="N1687" s="29"/>
      <c r="O1687" s="29" t="n">
        <v>5</v>
      </c>
      <c r="P1687" s="30" t="n">
        <f aca="false">(O1687*(INDEX(FrameWeight_Vals,MATCH(L1687,FrameWeight_Keys,0))*AlumCostPerKg+INDEX(Finish_Vals,MATCH(G1687,Finish_Keys,0)))+O1687*INDEX(InfillRun_Vals,MATCH(E1687,InfillRun_Keys,0)))</f>
        <v>6319.5</v>
      </c>
      <c r="Q1687" s="31" t="n">
        <f aca="false">INDEX(Markup_Vals,MATCH("Railing &amp; Screening Systems",MarkupCat_Keys,0))</f>
        <v>0.42</v>
      </c>
      <c r="R1687" s="32" t="n">
        <f aca="false">P1687*(1+Q1687)</f>
        <v>8973.69</v>
      </c>
      <c r="S1687" s="32" t="n">
        <f aca="false">R1687*(1-TradeDiscount)</f>
        <v>7896.8472</v>
      </c>
      <c r="T1687" s="32" t="n">
        <f aca="false">R1687*(1-VolumeDiscount)</f>
        <v>7178.952</v>
      </c>
    </row>
    <row r="1688" customFormat="false" ht="15" hidden="false" customHeight="false" outlineLevel="0" collapsed="false">
      <c r="A1688" s="25" t="s">
        <v>3690</v>
      </c>
      <c r="B1688" s="25" t="s">
        <v>122</v>
      </c>
      <c r="C1688" s="25" t="s">
        <v>3525</v>
      </c>
      <c r="D1688" s="25" t="s">
        <v>3691</v>
      </c>
      <c r="E1688" s="25" t="s">
        <v>102</v>
      </c>
      <c r="F1688" s="25" t="s">
        <v>3565</v>
      </c>
      <c r="G1688" s="25" t="s">
        <v>39</v>
      </c>
      <c r="H1688" s="25" t="s">
        <v>3148</v>
      </c>
      <c r="I1688" s="25" t="s">
        <v>3528</v>
      </c>
      <c r="J1688" s="25" t="s">
        <v>3529</v>
      </c>
      <c r="K1688" s="25" t="s">
        <v>298</v>
      </c>
      <c r="L1688" s="25" t="s">
        <v>33</v>
      </c>
      <c r="M1688" s="25"/>
      <c r="N1688" s="25"/>
      <c r="O1688" s="25" t="n">
        <v>5</v>
      </c>
      <c r="P1688" s="26" t="n">
        <f aca="false">(O1688*(INDEX(FrameWeight_Vals,MATCH(L1688,FrameWeight_Keys,0))*AlumCostPerKg+INDEX(Finish_Vals,MATCH(G1688,Finish_Keys,0)))+O1688*INDEX(InfillRun_Vals,MATCH(E1688,InfillRun_Keys,0)))</f>
        <v>6404.5</v>
      </c>
      <c r="Q1688" s="27" t="n">
        <f aca="false">INDEX(Markup_Vals,MATCH("Railing &amp; Screening Systems",MarkupCat_Keys,0))</f>
        <v>0.42</v>
      </c>
      <c r="R1688" s="28" t="n">
        <f aca="false">P1688*(1+Q1688)</f>
        <v>9094.39</v>
      </c>
      <c r="S1688" s="28" t="n">
        <f aca="false">R1688*(1-TradeDiscount)</f>
        <v>8003.0632</v>
      </c>
      <c r="T1688" s="28" t="n">
        <f aca="false">R1688*(1-VolumeDiscount)</f>
        <v>7275.512</v>
      </c>
    </row>
    <row r="1689" customFormat="false" ht="15" hidden="false" customHeight="false" outlineLevel="0" collapsed="false">
      <c r="A1689" s="29" t="s">
        <v>3692</v>
      </c>
      <c r="B1689" s="29" t="s">
        <v>122</v>
      </c>
      <c r="C1689" s="29" t="s">
        <v>61</v>
      </c>
      <c r="D1689" s="29" t="s">
        <v>3693</v>
      </c>
      <c r="E1689" s="29" t="s">
        <v>3694</v>
      </c>
      <c r="F1689" s="29" t="s">
        <v>3695</v>
      </c>
      <c r="G1689" s="29" t="s">
        <v>35</v>
      </c>
      <c r="H1689" s="29" t="s">
        <v>71</v>
      </c>
      <c r="I1689" s="29" t="s">
        <v>190</v>
      </c>
      <c r="J1689" s="29" t="s">
        <v>1654</v>
      </c>
      <c r="K1689" s="29" t="s">
        <v>298</v>
      </c>
      <c r="L1689" s="29" t="s">
        <v>33</v>
      </c>
      <c r="M1689" s="29" t="n">
        <v>900</v>
      </c>
      <c r="N1689" s="29" t="n">
        <v>1100</v>
      </c>
      <c r="O1689" s="29"/>
      <c r="P1689" s="30" t="n">
        <f aca="false">(M1689*N1689/1000000)*(INDEX(AreaRate_Vals,MATCH(C1689,AreaRate_Keys,0))+IF(ISNUMBER(SEARCH("Glass",E1689)),IFERROR(INDEX(GlazingUpg_Vals,MATCH(H1689,GlazingUpg_Keys,0)),0),0))+INDEX(Hardware_Vals,MATCH("Balcony &amp; Juliet Balustrades",Hardware_Keys,0))</f>
        <v>2427.5</v>
      </c>
      <c r="Q1689" s="31" t="n">
        <f aca="false">INDEX(Markup_Vals,MATCH("Railing &amp; Screening Systems",MarkupCat_Keys,0))</f>
        <v>0.42</v>
      </c>
      <c r="R1689" s="32" t="n">
        <f aca="false">P1689*(1+Q1689)</f>
        <v>3447.05</v>
      </c>
      <c r="S1689" s="32" t="n">
        <f aca="false">R1689*(1-TradeDiscount)</f>
        <v>3033.404</v>
      </c>
      <c r="T1689" s="32" t="n">
        <f aca="false">R1689*(1-VolumeDiscount)</f>
        <v>2757.64</v>
      </c>
    </row>
    <row r="1690" customFormat="false" ht="15" hidden="false" customHeight="false" outlineLevel="0" collapsed="false">
      <c r="A1690" s="25" t="s">
        <v>3696</v>
      </c>
      <c r="B1690" s="25" t="s">
        <v>122</v>
      </c>
      <c r="C1690" s="25" t="s">
        <v>61</v>
      </c>
      <c r="D1690" s="25" t="s">
        <v>3697</v>
      </c>
      <c r="E1690" s="25" t="s">
        <v>3694</v>
      </c>
      <c r="F1690" s="25" t="s">
        <v>3695</v>
      </c>
      <c r="G1690" s="25" t="s">
        <v>36</v>
      </c>
      <c r="H1690" s="25" t="s">
        <v>71</v>
      </c>
      <c r="I1690" s="25" t="s">
        <v>190</v>
      </c>
      <c r="J1690" s="25" t="s">
        <v>1654</v>
      </c>
      <c r="K1690" s="25" t="s">
        <v>298</v>
      </c>
      <c r="L1690" s="25" t="s">
        <v>33</v>
      </c>
      <c r="M1690" s="25" t="n">
        <v>900</v>
      </c>
      <c r="N1690" s="25" t="n">
        <v>1100</v>
      </c>
      <c r="O1690" s="25"/>
      <c r="P1690" s="26" t="n">
        <f aca="false">(M1690*N1690/1000000)*(INDEX(AreaRate_Vals,MATCH(C1690,AreaRate_Keys,0))+IF(ISNUMBER(SEARCH("Glass",E1690)),IFERROR(INDEX(GlazingUpg_Vals,MATCH(H1690,GlazingUpg_Keys,0)),0),0))+INDEX(Hardware_Vals,MATCH("Balcony &amp; Juliet Balustrades",Hardware_Keys,0))</f>
        <v>2427.5</v>
      </c>
      <c r="Q1690" s="27" t="n">
        <f aca="false">INDEX(Markup_Vals,MATCH("Railing &amp; Screening Systems",MarkupCat_Keys,0))</f>
        <v>0.42</v>
      </c>
      <c r="R1690" s="28" t="n">
        <f aca="false">P1690*(1+Q1690)</f>
        <v>3447.05</v>
      </c>
      <c r="S1690" s="28" t="n">
        <f aca="false">R1690*(1-TradeDiscount)</f>
        <v>3033.404</v>
      </c>
      <c r="T1690" s="28" t="n">
        <f aca="false">R1690*(1-VolumeDiscount)</f>
        <v>2757.64</v>
      </c>
    </row>
    <row r="1691" customFormat="false" ht="15" hidden="false" customHeight="false" outlineLevel="0" collapsed="false">
      <c r="A1691" s="29" t="s">
        <v>3698</v>
      </c>
      <c r="B1691" s="29" t="s">
        <v>122</v>
      </c>
      <c r="C1691" s="29" t="s">
        <v>61</v>
      </c>
      <c r="D1691" s="29" t="s">
        <v>3699</v>
      </c>
      <c r="E1691" s="29" t="s">
        <v>3694</v>
      </c>
      <c r="F1691" s="29" t="s">
        <v>3695</v>
      </c>
      <c r="G1691" s="29" t="s">
        <v>37</v>
      </c>
      <c r="H1691" s="29" t="s">
        <v>71</v>
      </c>
      <c r="I1691" s="29" t="s">
        <v>190</v>
      </c>
      <c r="J1691" s="29" t="s">
        <v>1654</v>
      </c>
      <c r="K1691" s="29" t="s">
        <v>298</v>
      </c>
      <c r="L1691" s="29" t="s">
        <v>33</v>
      </c>
      <c r="M1691" s="29" t="n">
        <v>900</v>
      </c>
      <c r="N1691" s="29" t="n">
        <v>1100</v>
      </c>
      <c r="O1691" s="29"/>
      <c r="P1691" s="30" t="n">
        <f aca="false">(M1691*N1691/1000000)*(INDEX(AreaRate_Vals,MATCH(C1691,AreaRate_Keys,0))+IF(ISNUMBER(SEARCH("Glass",E1691)),IFERROR(INDEX(GlazingUpg_Vals,MATCH(H1691,GlazingUpg_Keys,0)),0),0))+INDEX(Hardware_Vals,MATCH("Balcony &amp; Juliet Balustrades",Hardware_Keys,0))</f>
        <v>2427.5</v>
      </c>
      <c r="Q1691" s="31" t="n">
        <f aca="false">INDEX(Markup_Vals,MATCH("Railing &amp; Screening Systems",MarkupCat_Keys,0))</f>
        <v>0.42</v>
      </c>
      <c r="R1691" s="32" t="n">
        <f aca="false">P1691*(1+Q1691)</f>
        <v>3447.05</v>
      </c>
      <c r="S1691" s="32" t="n">
        <f aca="false">R1691*(1-TradeDiscount)</f>
        <v>3033.404</v>
      </c>
      <c r="T1691" s="32" t="n">
        <f aca="false">R1691*(1-VolumeDiscount)</f>
        <v>2757.64</v>
      </c>
    </row>
    <row r="1692" customFormat="false" ht="15" hidden="false" customHeight="false" outlineLevel="0" collapsed="false">
      <c r="A1692" s="25" t="s">
        <v>3700</v>
      </c>
      <c r="B1692" s="25" t="s">
        <v>122</v>
      </c>
      <c r="C1692" s="25" t="s">
        <v>61</v>
      </c>
      <c r="D1692" s="25" t="s">
        <v>3701</v>
      </c>
      <c r="E1692" s="25" t="s">
        <v>3694</v>
      </c>
      <c r="F1692" s="25" t="s">
        <v>3702</v>
      </c>
      <c r="G1692" s="25" t="s">
        <v>35</v>
      </c>
      <c r="H1692" s="25" t="s">
        <v>71</v>
      </c>
      <c r="I1692" s="25" t="s">
        <v>190</v>
      </c>
      <c r="J1692" s="25" t="s">
        <v>1654</v>
      </c>
      <c r="K1692" s="25" t="s">
        <v>298</v>
      </c>
      <c r="L1692" s="25" t="s">
        <v>33</v>
      </c>
      <c r="M1692" s="25" t="n">
        <v>1200</v>
      </c>
      <c r="N1692" s="25" t="n">
        <v>1100</v>
      </c>
      <c r="O1692" s="25"/>
      <c r="P1692" s="26" t="n">
        <f aca="false">(M1692*N1692/1000000)*(INDEX(AreaRate_Vals,MATCH(C1692,AreaRate_Keys,0))+IF(ISNUMBER(SEARCH("Glass",E1692)),IFERROR(INDEX(GlazingUpg_Vals,MATCH(H1692,GlazingUpg_Keys,0)),0),0))+INDEX(Hardware_Vals,MATCH("Balcony &amp; Juliet Balustrades",Hardware_Keys,0))</f>
        <v>3170</v>
      </c>
      <c r="Q1692" s="27" t="n">
        <f aca="false">INDEX(Markup_Vals,MATCH("Railing &amp; Screening Systems",MarkupCat_Keys,0))</f>
        <v>0.42</v>
      </c>
      <c r="R1692" s="28" t="n">
        <f aca="false">P1692*(1+Q1692)</f>
        <v>4501.4</v>
      </c>
      <c r="S1692" s="28" t="n">
        <f aca="false">R1692*(1-TradeDiscount)</f>
        <v>3961.232</v>
      </c>
      <c r="T1692" s="28" t="n">
        <f aca="false">R1692*(1-VolumeDiscount)</f>
        <v>3601.12</v>
      </c>
    </row>
    <row r="1693" customFormat="false" ht="15" hidden="false" customHeight="false" outlineLevel="0" collapsed="false">
      <c r="A1693" s="29" t="s">
        <v>3703</v>
      </c>
      <c r="B1693" s="29" t="s">
        <v>122</v>
      </c>
      <c r="C1693" s="29" t="s">
        <v>61</v>
      </c>
      <c r="D1693" s="29" t="s">
        <v>3704</v>
      </c>
      <c r="E1693" s="29" t="s">
        <v>3694</v>
      </c>
      <c r="F1693" s="29" t="s">
        <v>3702</v>
      </c>
      <c r="G1693" s="29" t="s">
        <v>36</v>
      </c>
      <c r="H1693" s="29" t="s">
        <v>71</v>
      </c>
      <c r="I1693" s="29" t="s">
        <v>190</v>
      </c>
      <c r="J1693" s="29" t="s">
        <v>1654</v>
      </c>
      <c r="K1693" s="29" t="s">
        <v>298</v>
      </c>
      <c r="L1693" s="29" t="s">
        <v>33</v>
      </c>
      <c r="M1693" s="29" t="n">
        <v>1200</v>
      </c>
      <c r="N1693" s="29" t="n">
        <v>1100</v>
      </c>
      <c r="O1693" s="29"/>
      <c r="P1693" s="30" t="n">
        <f aca="false">(M1693*N1693/1000000)*(INDEX(AreaRate_Vals,MATCH(C1693,AreaRate_Keys,0))+IF(ISNUMBER(SEARCH("Glass",E1693)),IFERROR(INDEX(GlazingUpg_Vals,MATCH(H1693,GlazingUpg_Keys,0)),0),0))+INDEX(Hardware_Vals,MATCH("Balcony &amp; Juliet Balustrades",Hardware_Keys,0))</f>
        <v>3170</v>
      </c>
      <c r="Q1693" s="31" t="n">
        <f aca="false">INDEX(Markup_Vals,MATCH("Railing &amp; Screening Systems",MarkupCat_Keys,0))</f>
        <v>0.42</v>
      </c>
      <c r="R1693" s="32" t="n">
        <f aca="false">P1693*(1+Q1693)</f>
        <v>4501.4</v>
      </c>
      <c r="S1693" s="32" t="n">
        <f aca="false">R1693*(1-TradeDiscount)</f>
        <v>3961.232</v>
      </c>
      <c r="T1693" s="32" t="n">
        <f aca="false">R1693*(1-VolumeDiscount)</f>
        <v>3601.12</v>
      </c>
    </row>
    <row r="1694" customFormat="false" ht="15" hidden="false" customHeight="false" outlineLevel="0" collapsed="false">
      <c r="A1694" s="25" t="s">
        <v>3705</v>
      </c>
      <c r="B1694" s="25" t="s">
        <v>122</v>
      </c>
      <c r="C1694" s="25" t="s">
        <v>61</v>
      </c>
      <c r="D1694" s="25" t="s">
        <v>3706</v>
      </c>
      <c r="E1694" s="25" t="s">
        <v>3694</v>
      </c>
      <c r="F1694" s="25" t="s">
        <v>3702</v>
      </c>
      <c r="G1694" s="25" t="s">
        <v>37</v>
      </c>
      <c r="H1694" s="25" t="s">
        <v>71</v>
      </c>
      <c r="I1694" s="25" t="s">
        <v>190</v>
      </c>
      <c r="J1694" s="25" t="s">
        <v>1654</v>
      </c>
      <c r="K1694" s="25" t="s">
        <v>298</v>
      </c>
      <c r="L1694" s="25" t="s">
        <v>33</v>
      </c>
      <c r="M1694" s="25" t="n">
        <v>1200</v>
      </c>
      <c r="N1694" s="25" t="n">
        <v>1100</v>
      </c>
      <c r="O1694" s="25"/>
      <c r="P1694" s="26" t="n">
        <f aca="false">(M1694*N1694/1000000)*(INDEX(AreaRate_Vals,MATCH(C1694,AreaRate_Keys,0))+IF(ISNUMBER(SEARCH("Glass",E1694)),IFERROR(INDEX(GlazingUpg_Vals,MATCH(H1694,GlazingUpg_Keys,0)),0),0))+INDEX(Hardware_Vals,MATCH("Balcony &amp; Juliet Balustrades",Hardware_Keys,0))</f>
        <v>3170</v>
      </c>
      <c r="Q1694" s="27" t="n">
        <f aca="false">INDEX(Markup_Vals,MATCH("Railing &amp; Screening Systems",MarkupCat_Keys,0))</f>
        <v>0.42</v>
      </c>
      <c r="R1694" s="28" t="n">
        <f aca="false">P1694*(1+Q1694)</f>
        <v>4501.4</v>
      </c>
      <c r="S1694" s="28" t="n">
        <f aca="false">R1694*(1-TradeDiscount)</f>
        <v>3961.232</v>
      </c>
      <c r="T1694" s="28" t="n">
        <f aca="false">R1694*(1-VolumeDiscount)</f>
        <v>3601.12</v>
      </c>
    </row>
    <row r="1695" customFormat="false" ht="15" hidden="false" customHeight="false" outlineLevel="0" collapsed="false">
      <c r="A1695" s="29" t="s">
        <v>3707</v>
      </c>
      <c r="B1695" s="29" t="s">
        <v>122</v>
      </c>
      <c r="C1695" s="29" t="s">
        <v>61</v>
      </c>
      <c r="D1695" s="29" t="s">
        <v>3708</v>
      </c>
      <c r="E1695" s="29" t="s">
        <v>3694</v>
      </c>
      <c r="F1695" s="29" t="s">
        <v>3709</v>
      </c>
      <c r="G1695" s="29" t="s">
        <v>35</v>
      </c>
      <c r="H1695" s="29" t="s">
        <v>71</v>
      </c>
      <c r="I1695" s="29" t="s">
        <v>190</v>
      </c>
      <c r="J1695" s="29" t="s">
        <v>1654</v>
      </c>
      <c r="K1695" s="29" t="s">
        <v>298</v>
      </c>
      <c r="L1695" s="29" t="s">
        <v>33</v>
      </c>
      <c r="M1695" s="29" t="n">
        <v>1500</v>
      </c>
      <c r="N1695" s="29" t="n">
        <v>1100</v>
      </c>
      <c r="O1695" s="29"/>
      <c r="P1695" s="30" t="n">
        <f aca="false">(M1695*N1695/1000000)*(INDEX(AreaRate_Vals,MATCH(C1695,AreaRate_Keys,0))+IF(ISNUMBER(SEARCH("Glass",E1695)),IFERROR(INDEX(GlazingUpg_Vals,MATCH(H1695,GlazingUpg_Keys,0)),0),0))+INDEX(Hardware_Vals,MATCH("Balcony &amp; Juliet Balustrades",Hardware_Keys,0))</f>
        <v>3912.5</v>
      </c>
      <c r="Q1695" s="31" t="n">
        <f aca="false">INDEX(Markup_Vals,MATCH("Railing &amp; Screening Systems",MarkupCat_Keys,0))</f>
        <v>0.42</v>
      </c>
      <c r="R1695" s="32" t="n">
        <f aca="false">P1695*(1+Q1695)</f>
        <v>5555.75</v>
      </c>
      <c r="S1695" s="32" t="n">
        <f aca="false">R1695*(1-TradeDiscount)</f>
        <v>4889.06</v>
      </c>
      <c r="T1695" s="32" t="n">
        <f aca="false">R1695*(1-VolumeDiscount)</f>
        <v>4444.6</v>
      </c>
    </row>
    <row r="1696" customFormat="false" ht="15" hidden="false" customHeight="false" outlineLevel="0" collapsed="false">
      <c r="A1696" s="25" t="s">
        <v>3710</v>
      </c>
      <c r="B1696" s="25" t="s">
        <v>122</v>
      </c>
      <c r="C1696" s="25" t="s">
        <v>61</v>
      </c>
      <c r="D1696" s="25" t="s">
        <v>3711</v>
      </c>
      <c r="E1696" s="25" t="s">
        <v>3694</v>
      </c>
      <c r="F1696" s="25" t="s">
        <v>3709</v>
      </c>
      <c r="G1696" s="25" t="s">
        <v>36</v>
      </c>
      <c r="H1696" s="25" t="s">
        <v>71</v>
      </c>
      <c r="I1696" s="25" t="s">
        <v>190</v>
      </c>
      <c r="J1696" s="25" t="s">
        <v>1654</v>
      </c>
      <c r="K1696" s="25" t="s">
        <v>298</v>
      </c>
      <c r="L1696" s="25" t="s">
        <v>33</v>
      </c>
      <c r="M1696" s="25" t="n">
        <v>1500</v>
      </c>
      <c r="N1696" s="25" t="n">
        <v>1100</v>
      </c>
      <c r="O1696" s="25"/>
      <c r="P1696" s="26" t="n">
        <f aca="false">(M1696*N1696/1000000)*(INDEX(AreaRate_Vals,MATCH(C1696,AreaRate_Keys,0))+IF(ISNUMBER(SEARCH("Glass",E1696)),IFERROR(INDEX(GlazingUpg_Vals,MATCH(H1696,GlazingUpg_Keys,0)),0),0))+INDEX(Hardware_Vals,MATCH("Balcony &amp; Juliet Balustrades",Hardware_Keys,0))</f>
        <v>3912.5</v>
      </c>
      <c r="Q1696" s="27" t="n">
        <f aca="false">INDEX(Markup_Vals,MATCH("Railing &amp; Screening Systems",MarkupCat_Keys,0))</f>
        <v>0.42</v>
      </c>
      <c r="R1696" s="28" t="n">
        <f aca="false">P1696*(1+Q1696)</f>
        <v>5555.75</v>
      </c>
      <c r="S1696" s="28" t="n">
        <f aca="false">R1696*(1-TradeDiscount)</f>
        <v>4889.06</v>
      </c>
      <c r="T1696" s="28" t="n">
        <f aca="false">R1696*(1-VolumeDiscount)</f>
        <v>4444.6</v>
      </c>
    </row>
    <row r="1697" customFormat="false" ht="15" hidden="false" customHeight="false" outlineLevel="0" collapsed="false">
      <c r="A1697" s="29" t="s">
        <v>3712</v>
      </c>
      <c r="B1697" s="29" t="s">
        <v>122</v>
      </c>
      <c r="C1697" s="29" t="s">
        <v>61</v>
      </c>
      <c r="D1697" s="29" t="s">
        <v>3713</v>
      </c>
      <c r="E1697" s="29" t="s">
        <v>3694</v>
      </c>
      <c r="F1697" s="29" t="s">
        <v>3709</v>
      </c>
      <c r="G1697" s="29" t="s">
        <v>37</v>
      </c>
      <c r="H1697" s="29" t="s">
        <v>71</v>
      </c>
      <c r="I1697" s="29" t="s">
        <v>190</v>
      </c>
      <c r="J1697" s="29" t="s">
        <v>1654</v>
      </c>
      <c r="K1697" s="29" t="s">
        <v>298</v>
      </c>
      <c r="L1697" s="29" t="s">
        <v>33</v>
      </c>
      <c r="M1697" s="29" t="n">
        <v>1500</v>
      </c>
      <c r="N1697" s="29" t="n">
        <v>1100</v>
      </c>
      <c r="O1697" s="29"/>
      <c r="P1697" s="30" t="n">
        <f aca="false">(M1697*N1697/1000000)*(INDEX(AreaRate_Vals,MATCH(C1697,AreaRate_Keys,0))+IF(ISNUMBER(SEARCH("Glass",E1697)),IFERROR(INDEX(GlazingUpg_Vals,MATCH(H1697,GlazingUpg_Keys,0)),0),0))+INDEX(Hardware_Vals,MATCH("Balcony &amp; Juliet Balustrades",Hardware_Keys,0))</f>
        <v>3912.5</v>
      </c>
      <c r="Q1697" s="31" t="n">
        <f aca="false">INDEX(Markup_Vals,MATCH("Railing &amp; Screening Systems",MarkupCat_Keys,0))</f>
        <v>0.42</v>
      </c>
      <c r="R1697" s="32" t="n">
        <f aca="false">P1697*(1+Q1697)</f>
        <v>5555.75</v>
      </c>
      <c r="S1697" s="32" t="n">
        <f aca="false">R1697*(1-TradeDiscount)</f>
        <v>4889.06</v>
      </c>
      <c r="T1697" s="32" t="n">
        <f aca="false">R1697*(1-VolumeDiscount)</f>
        <v>4444.6</v>
      </c>
    </row>
    <row r="1698" customFormat="false" ht="15" hidden="false" customHeight="false" outlineLevel="0" collapsed="false">
      <c r="A1698" s="25" t="s">
        <v>3714</v>
      </c>
      <c r="B1698" s="25" t="s">
        <v>122</v>
      </c>
      <c r="C1698" s="25" t="s">
        <v>61</v>
      </c>
      <c r="D1698" s="25" t="s">
        <v>3715</v>
      </c>
      <c r="E1698" s="25" t="s">
        <v>3694</v>
      </c>
      <c r="F1698" s="25" t="s">
        <v>3716</v>
      </c>
      <c r="G1698" s="25" t="s">
        <v>35</v>
      </c>
      <c r="H1698" s="25" t="s">
        <v>71</v>
      </c>
      <c r="I1698" s="25" t="s">
        <v>190</v>
      </c>
      <c r="J1698" s="25" t="s">
        <v>1654</v>
      </c>
      <c r="K1698" s="25" t="s">
        <v>298</v>
      </c>
      <c r="L1698" s="25" t="s">
        <v>33</v>
      </c>
      <c r="M1698" s="25" t="n">
        <v>1800</v>
      </c>
      <c r="N1698" s="25" t="n">
        <v>1100</v>
      </c>
      <c r="O1698" s="25"/>
      <c r="P1698" s="26" t="n">
        <f aca="false">(M1698*N1698/1000000)*(INDEX(AreaRate_Vals,MATCH(C1698,AreaRate_Keys,0))+IF(ISNUMBER(SEARCH("Glass",E1698)),IFERROR(INDEX(GlazingUpg_Vals,MATCH(H1698,GlazingUpg_Keys,0)),0),0))+INDEX(Hardware_Vals,MATCH("Balcony &amp; Juliet Balustrades",Hardware_Keys,0))</f>
        <v>4655</v>
      </c>
      <c r="Q1698" s="27" t="n">
        <f aca="false">INDEX(Markup_Vals,MATCH("Railing &amp; Screening Systems",MarkupCat_Keys,0))</f>
        <v>0.42</v>
      </c>
      <c r="R1698" s="28" t="n">
        <f aca="false">P1698*(1+Q1698)</f>
        <v>6610.1</v>
      </c>
      <c r="S1698" s="28" t="n">
        <f aca="false">R1698*(1-TradeDiscount)</f>
        <v>5816.888</v>
      </c>
      <c r="T1698" s="28" t="n">
        <f aca="false">R1698*(1-VolumeDiscount)</f>
        <v>5288.08</v>
      </c>
    </row>
    <row r="1699" customFormat="false" ht="15" hidden="false" customHeight="false" outlineLevel="0" collapsed="false">
      <c r="A1699" s="29" t="s">
        <v>3717</v>
      </c>
      <c r="B1699" s="29" t="s">
        <v>122</v>
      </c>
      <c r="C1699" s="29" t="s">
        <v>61</v>
      </c>
      <c r="D1699" s="29" t="s">
        <v>3718</v>
      </c>
      <c r="E1699" s="29" t="s">
        <v>3694</v>
      </c>
      <c r="F1699" s="29" t="s">
        <v>3716</v>
      </c>
      <c r="G1699" s="29" t="s">
        <v>36</v>
      </c>
      <c r="H1699" s="29" t="s">
        <v>71</v>
      </c>
      <c r="I1699" s="29" t="s">
        <v>190</v>
      </c>
      <c r="J1699" s="29" t="s">
        <v>1654</v>
      </c>
      <c r="K1699" s="29" t="s">
        <v>298</v>
      </c>
      <c r="L1699" s="29" t="s">
        <v>33</v>
      </c>
      <c r="M1699" s="29" t="n">
        <v>1800</v>
      </c>
      <c r="N1699" s="29" t="n">
        <v>1100</v>
      </c>
      <c r="O1699" s="29"/>
      <c r="P1699" s="30" t="n">
        <f aca="false">(M1699*N1699/1000000)*(INDEX(AreaRate_Vals,MATCH(C1699,AreaRate_Keys,0))+IF(ISNUMBER(SEARCH("Glass",E1699)),IFERROR(INDEX(GlazingUpg_Vals,MATCH(H1699,GlazingUpg_Keys,0)),0),0))+INDEX(Hardware_Vals,MATCH("Balcony &amp; Juliet Balustrades",Hardware_Keys,0))</f>
        <v>4655</v>
      </c>
      <c r="Q1699" s="31" t="n">
        <f aca="false">INDEX(Markup_Vals,MATCH("Railing &amp; Screening Systems",MarkupCat_Keys,0))</f>
        <v>0.42</v>
      </c>
      <c r="R1699" s="32" t="n">
        <f aca="false">P1699*(1+Q1699)</f>
        <v>6610.1</v>
      </c>
      <c r="S1699" s="32" t="n">
        <f aca="false">R1699*(1-TradeDiscount)</f>
        <v>5816.888</v>
      </c>
      <c r="T1699" s="32" t="n">
        <f aca="false">R1699*(1-VolumeDiscount)</f>
        <v>5288.08</v>
      </c>
    </row>
    <row r="1700" customFormat="false" ht="15" hidden="false" customHeight="false" outlineLevel="0" collapsed="false">
      <c r="A1700" s="25" t="s">
        <v>3719</v>
      </c>
      <c r="B1700" s="25" t="s">
        <v>122</v>
      </c>
      <c r="C1700" s="25" t="s">
        <v>61</v>
      </c>
      <c r="D1700" s="25" t="s">
        <v>3720</v>
      </c>
      <c r="E1700" s="25" t="s">
        <v>3694</v>
      </c>
      <c r="F1700" s="25" t="s">
        <v>3716</v>
      </c>
      <c r="G1700" s="25" t="s">
        <v>37</v>
      </c>
      <c r="H1700" s="25" t="s">
        <v>71</v>
      </c>
      <c r="I1700" s="25" t="s">
        <v>190</v>
      </c>
      <c r="J1700" s="25" t="s">
        <v>1654</v>
      </c>
      <c r="K1700" s="25" t="s">
        <v>298</v>
      </c>
      <c r="L1700" s="25" t="s">
        <v>33</v>
      </c>
      <c r="M1700" s="25" t="n">
        <v>1800</v>
      </c>
      <c r="N1700" s="25" t="n">
        <v>1100</v>
      </c>
      <c r="O1700" s="25"/>
      <c r="P1700" s="26" t="n">
        <f aca="false">(M1700*N1700/1000000)*(INDEX(AreaRate_Vals,MATCH(C1700,AreaRate_Keys,0))+IF(ISNUMBER(SEARCH("Glass",E1700)),IFERROR(INDEX(GlazingUpg_Vals,MATCH(H1700,GlazingUpg_Keys,0)),0),0))+INDEX(Hardware_Vals,MATCH("Balcony &amp; Juliet Balustrades",Hardware_Keys,0))</f>
        <v>4655</v>
      </c>
      <c r="Q1700" s="27" t="n">
        <f aca="false">INDEX(Markup_Vals,MATCH("Railing &amp; Screening Systems",MarkupCat_Keys,0))</f>
        <v>0.42</v>
      </c>
      <c r="R1700" s="28" t="n">
        <f aca="false">P1700*(1+Q1700)</f>
        <v>6610.1</v>
      </c>
      <c r="S1700" s="28" t="n">
        <f aca="false">R1700*(1-TradeDiscount)</f>
        <v>5816.888</v>
      </c>
      <c r="T1700" s="28" t="n">
        <f aca="false">R1700*(1-VolumeDiscount)</f>
        <v>5288.08</v>
      </c>
    </row>
    <row r="1701" customFormat="false" ht="15" hidden="false" customHeight="false" outlineLevel="0" collapsed="false">
      <c r="A1701" s="29" t="s">
        <v>3721</v>
      </c>
      <c r="B1701" s="29" t="s">
        <v>122</v>
      </c>
      <c r="C1701" s="29" t="s">
        <v>61</v>
      </c>
      <c r="D1701" s="29" t="s">
        <v>3722</v>
      </c>
      <c r="E1701" s="29" t="s">
        <v>3694</v>
      </c>
      <c r="F1701" s="29" t="s">
        <v>3723</v>
      </c>
      <c r="G1701" s="29" t="s">
        <v>35</v>
      </c>
      <c r="H1701" s="29" t="s">
        <v>71</v>
      </c>
      <c r="I1701" s="29" t="s">
        <v>190</v>
      </c>
      <c r="J1701" s="29" t="s">
        <v>1654</v>
      </c>
      <c r="K1701" s="29" t="s">
        <v>298</v>
      </c>
      <c r="L1701" s="29" t="s">
        <v>33</v>
      </c>
      <c r="M1701" s="29" t="n">
        <v>2400</v>
      </c>
      <c r="N1701" s="29" t="n">
        <v>1100</v>
      </c>
      <c r="O1701" s="29"/>
      <c r="P1701" s="30" t="n">
        <f aca="false">(M1701*N1701/1000000)*(INDEX(AreaRate_Vals,MATCH(C1701,AreaRate_Keys,0))+IF(ISNUMBER(SEARCH("Glass",E1701)),IFERROR(INDEX(GlazingUpg_Vals,MATCH(H1701,GlazingUpg_Keys,0)),0),0))+INDEX(Hardware_Vals,MATCH("Balcony &amp; Juliet Balustrades",Hardware_Keys,0))</f>
        <v>6140</v>
      </c>
      <c r="Q1701" s="31" t="n">
        <f aca="false">INDEX(Markup_Vals,MATCH("Railing &amp; Screening Systems",MarkupCat_Keys,0))</f>
        <v>0.42</v>
      </c>
      <c r="R1701" s="32" t="n">
        <f aca="false">P1701*(1+Q1701)</f>
        <v>8718.8</v>
      </c>
      <c r="S1701" s="32" t="n">
        <f aca="false">R1701*(1-TradeDiscount)</f>
        <v>7672.544</v>
      </c>
      <c r="T1701" s="32" t="n">
        <f aca="false">R1701*(1-VolumeDiscount)</f>
        <v>6975.04</v>
      </c>
    </row>
    <row r="1702" customFormat="false" ht="15" hidden="false" customHeight="false" outlineLevel="0" collapsed="false">
      <c r="A1702" s="25" t="s">
        <v>3724</v>
      </c>
      <c r="B1702" s="25" t="s">
        <v>122</v>
      </c>
      <c r="C1702" s="25" t="s">
        <v>61</v>
      </c>
      <c r="D1702" s="25" t="s">
        <v>3725</v>
      </c>
      <c r="E1702" s="25" t="s">
        <v>3694</v>
      </c>
      <c r="F1702" s="25" t="s">
        <v>3723</v>
      </c>
      <c r="G1702" s="25" t="s">
        <v>36</v>
      </c>
      <c r="H1702" s="25" t="s">
        <v>71</v>
      </c>
      <c r="I1702" s="25" t="s">
        <v>190</v>
      </c>
      <c r="J1702" s="25" t="s">
        <v>1654</v>
      </c>
      <c r="K1702" s="25" t="s">
        <v>298</v>
      </c>
      <c r="L1702" s="25" t="s">
        <v>33</v>
      </c>
      <c r="M1702" s="25" t="n">
        <v>2400</v>
      </c>
      <c r="N1702" s="25" t="n">
        <v>1100</v>
      </c>
      <c r="O1702" s="25"/>
      <c r="P1702" s="26" t="n">
        <f aca="false">(M1702*N1702/1000000)*(INDEX(AreaRate_Vals,MATCH(C1702,AreaRate_Keys,0))+IF(ISNUMBER(SEARCH("Glass",E1702)),IFERROR(INDEX(GlazingUpg_Vals,MATCH(H1702,GlazingUpg_Keys,0)),0),0))+INDEX(Hardware_Vals,MATCH("Balcony &amp; Juliet Balustrades",Hardware_Keys,0))</f>
        <v>6140</v>
      </c>
      <c r="Q1702" s="27" t="n">
        <f aca="false">INDEX(Markup_Vals,MATCH("Railing &amp; Screening Systems",MarkupCat_Keys,0))</f>
        <v>0.42</v>
      </c>
      <c r="R1702" s="28" t="n">
        <f aca="false">P1702*(1+Q1702)</f>
        <v>8718.8</v>
      </c>
      <c r="S1702" s="28" t="n">
        <f aca="false">R1702*(1-TradeDiscount)</f>
        <v>7672.544</v>
      </c>
      <c r="T1702" s="28" t="n">
        <f aca="false">R1702*(1-VolumeDiscount)</f>
        <v>6975.04</v>
      </c>
    </row>
    <row r="1703" customFormat="false" ht="15" hidden="false" customHeight="false" outlineLevel="0" collapsed="false">
      <c r="A1703" s="29" t="s">
        <v>3726</v>
      </c>
      <c r="B1703" s="29" t="s">
        <v>122</v>
      </c>
      <c r="C1703" s="29" t="s">
        <v>61</v>
      </c>
      <c r="D1703" s="29" t="s">
        <v>3727</v>
      </c>
      <c r="E1703" s="29" t="s">
        <v>3694</v>
      </c>
      <c r="F1703" s="29" t="s">
        <v>3723</v>
      </c>
      <c r="G1703" s="29" t="s">
        <v>37</v>
      </c>
      <c r="H1703" s="29" t="s">
        <v>71</v>
      </c>
      <c r="I1703" s="29" t="s">
        <v>190</v>
      </c>
      <c r="J1703" s="29" t="s">
        <v>1654</v>
      </c>
      <c r="K1703" s="29" t="s">
        <v>298</v>
      </c>
      <c r="L1703" s="29" t="s">
        <v>33</v>
      </c>
      <c r="M1703" s="29" t="n">
        <v>2400</v>
      </c>
      <c r="N1703" s="29" t="n">
        <v>1100</v>
      </c>
      <c r="O1703" s="29"/>
      <c r="P1703" s="30" t="n">
        <f aca="false">(M1703*N1703/1000000)*(INDEX(AreaRate_Vals,MATCH(C1703,AreaRate_Keys,0))+IF(ISNUMBER(SEARCH("Glass",E1703)),IFERROR(INDEX(GlazingUpg_Vals,MATCH(H1703,GlazingUpg_Keys,0)),0),0))+INDEX(Hardware_Vals,MATCH("Balcony &amp; Juliet Balustrades",Hardware_Keys,0))</f>
        <v>6140</v>
      </c>
      <c r="Q1703" s="31" t="n">
        <f aca="false">INDEX(Markup_Vals,MATCH("Railing &amp; Screening Systems",MarkupCat_Keys,0))</f>
        <v>0.42</v>
      </c>
      <c r="R1703" s="32" t="n">
        <f aca="false">P1703*(1+Q1703)</f>
        <v>8718.8</v>
      </c>
      <c r="S1703" s="32" t="n">
        <f aca="false">R1703*(1-TradeDiscount)</f>
        <v>7672.544</v>
      </c>
      <c r="T1703" s="32" t="n">
        <f aca="false">R1703*(1-VolumeDiscount)</f>
        <v>6975.04</v>
      </c>
    </row>
    <row r="1704" customFormat="false" ht="15" hidden="false" customHeight="false" outlineLevel="0" collapsed="false">
      <c r="A1704" s="25" t="s">
        <v>3728</v>
      </c>
      <c r="B1704" s="25" t="s">
        <v>122</v>
      </c>
      <c r="C1704" s="25" t="s">
        <v>61</v>
      </c>
      <c r="D1704" s="25" t="s">
        <v>3729</v>
      </c>
      <c r="E1704" s="25" t="s">
        <v>3730</v>
      </c>
      <c r="F1704" s="25" t="s">
        <v>3695</v>
      </c>
      <c r="G1704" s="25" t="s">
        <v>35</v>
      </c>
      <c r="H1704" s="25" t="s">
        <v>3148</v>
      </c>
      <c r="I1704" s="25" t="s">
        <v>190</v>
      </c>
      <c r="J1704" s="25" t="s">
        <v>1654</v>
      </c>
      <c r="K1704" s="25" t="s">
        <v>298</v>
      </c>
      <c r="L1704" s="25" t="s">
        <v>33</v>
      </c>
      <c r="M1704" s="25" t="n">
        <v>900</v>
      </c>
      <c r="N1704" s="25" t="n">
        <v>1100</v>
      </c>
      <c r="O1704" s="25"/>
      <c r="P1704" s="26" t="n">
        <f aca="false">(M1704*N1704/1000000)*(INDEX(AreaRate_Vals,MATCH(C1704,AreaRate_Keys,0))+IF(ISNUMBER(SEARCH("Glass",E1704)),IFERROR(INDEX(GlazingUpg_Vals,MATCH(H1704,GlazingUpg_Keys,0)),0),0))+INDEX(Hardware_Vals,MATCH("Balcony &amp; Juliet Balustrades",Hardware_Keys,0))</f>
        <v>2081</v>
      </c>
      <c r="Q1704" s="27" t="n">
        <f aca="false">INDEX(Markup_Vals,MATCH("Railing &amp; Screening Systems",MarkupCat_Keys,0))</f>
        <v>0.42</v>
      </c>
      <c r="R1704" s="28" t="n">
        <f aca="false">P1704*(1+Q1704)</f>
        <v>2955.02</v>
      </c>
      <c r="S1704" s="28" t="n">
        <f aca="false">R1704*(1-TradeDiscount)</f>
        <v>2600.4176</v>
      </c>
      <c r="T1704" s="28" t="n">
        <f aca="false">R1704*(1-VolumeDiscount)</f>
        <v>2364.016</v>
      </c>
    </row>
    <row r="1705" customFormat="false" ht="15" hidden="false" customHeight="false" outlineLevel="0" collapsed="false">
      <c r="A1705" s="29" t="s">
        <v>3731</v>
      </c>
      <c r="B1705" s="29" t="s">
        <v>122</v>
      </c>
      <c r="C1705" s="29" t="s">
        <v>61</v>
      </c>
      <c r="D1705" s="29" t="s">
        <v>3732</v>
      </c>
      <c r="E1705" s="29" t="s">
        <v>3730</v>
      </c>
      <c r="F1705" s="29" t="s">
        <v>3695</v>
      </c>
      <c r="G1705" s="29" t="s">
        <v>36</v>
      </c>
      <c r="H1705" s="29" t="s">
        <v>3148</v>
      </c>
      <c r="I1705" s="29" t="s">
        <v>190</v>
      </c>
      <c r="J1705" s="29" t="s">
        <v>1654</v>
      </c>
      <c r="K1705" s="29" t="s">
        <v>298</v>
      </c>
      <c r="L1705" s="29" t="s">
        <v>33</v>
      </c>
      <c r="M1705" s="29" t="n">
        <v>900</v>
      </c>
      <c r="N1705" s="29" t="n">
        <v>1100</v>
      </c>
      <c r="O1705" s="29"/>
      <c r="P1705" s="30" t="n">
        <f aca="false">(M1705*N1705/1000000)*(INDEX(AreaRate_Vals,MATCH(C1705,AreaRate_Keys,0))+IF(ISNUMBER(SEARCH("Glass",E1705)),IFERROR(INDEX(GlazingUpg_Vals,MATCH(H1705,GlazingUpg_Keys,0)),0),0))+INDEX(Hardware_Vals,MATCH("Balcony &amp; Juliet Balustrades",Hardware_Keys,0))</f>
        <v>2081</v>
      </c>
      <c r="Q1705" s="31" t="n">
        <f aca="false">INDEX(Markup_Vals,MATCH("Railing &amp; Screening Systems",MarkupCat_Keys,0))</f>
        <v>0.42</v>
      </c>
      <c r="R1705" s="32" t="n">
        <f aca="false">P1705*(1+Q1705)</f>
        <v>2955.02</v>
      </c>
      <c r="S1705" s="32" t="n">
        <f aca="false">R1705*(1-TradeDiscount)</f>
        <v>2600.4176</v>
      </c>
      <c r="T1705" s="32" t="n">
        <f aca="false">R1705*(1-VolumeDiscount)</f>
        <v>2364.016</v>
      </c>
    </row>
    <row r="1706" customFormat="false" ht="15" hidden="false" customHeight="false" outlineLevel="0" collapsed="false">
      <c r="A1706" s="25" t="s">
        <v>3733</v>
      </c>
      <c r="B1706" s="25" t="s">
        <v>122</v>
      </c>
      <c r="C1706" s="25" t="s">
        <v>61</v>
      </c>
      <c r="D1706" s="25" t="s">
        <v>3734</v>
      </c>
      <c r="E1706" s="25" t="s">
        <v>3730</v>
      </c>
      <c r="F1706" s="25" t="s">
        <v>3695</v>
      </c>
      <c r="G1706" s="25" t="s">
        <v>37</v>
      </c>
      <c r="H1706" s="25" t="s">
        <v>3148</v>
      </c>
      <c r="I1706" s="25" t="s">
        <v>190</v>
      </c>
      <c r="J1706" s="25" t="s">
        <v>1654</v>
      </c>
      <c r="K1706" s="25" t="s">
        <v>298</v>
      </c>
      <c r="L1706" s="25" t="s">
        <v>33</v>
      </c>
      <c r="M1706" s="25" t="n">
        <v>900</v>
      </c>
      <c r="N1706" s="25" t="n">
        <v>1100</v>
      </c>
      <c r="O1706" s="25"/>
      <c r="P1706" s="26" t="n">
        <f aca="false">(M1706*N1706/1000000)*(INDEX(AreaRate_Vals,MATCH(C1706,AreaRate_Keys,0))+IF(ISNUMBER(SEARCH("Glass",E1706)),IFERROR(INDEX(GlazingUpg_Vals,MATCH(H1706,GlazingUpg_Keys,0)),0),0))+INDEX(Hardware_Vals,MATCH("Balcony &amp; Juliet Balustrades",Hardware_Keys,0))</f>
        <v>2081</v>
      </c>
      <c r="Q1706" s="27" t="n">
        <f aca="false">INDEX(Markup_Vals,MATCH("Railing &amp; Screening Systems",MarkupCat_Keys,0))</f>
        <v>0.42</v>
      </c>
      <c r="R1706" s="28" t="n">
        <f aca="false">P1706*(1+Q1706)</f>
        <v>2955.02</v>
      </c>
      <c r="S1706" s="28" t="n">
        <f aca="false">R1706*(1-TradeDiscount)</f>
        <v>2600.4176</v>
      </c>
      <c r="T1706" s="28" t="n">
        <f aca="false">R1706*(1-VolumeDiscount)</f>
        <v>2364.016</v>
      </c>
    </row>
    <row r="1707" customFormat="false" ht="15" hidden="false" customHeight="false" outlineLevel="0" collapsed="false">
      <c r="A1707" s="29" t="s">
        <v>3735</v>
      </c>
      <c r="B1707" s="29" t="s">
        <v>122</v>
      </c>
      <c r="C1707" s="29" t="s">
        <v>61</v>
      </c>
      <c r="D1707" s="29" t="s">
        <v>3736</v>
      </c>
      <c r="E1707" s="29" t="s">
        <v>3730</v>
      </c>
      <c r="F1707" s="29" t="s">
        <v>3702</v>
      </c>
      <c r="G1707" s="29" t="s">
        <v>35</v>
      </c>
      <c r="H1707" s="29" t="s">
        <v>3148</v>
      </c>
      <c r="I1707" s="29" t="s">
        <v>190</v>
      </c>
      <c r="J1707" s="29" t="s">
        <v>1654</v>
      </c>
      <c r="K1707" s="29" t="s">
        <v>298</v>
      </c>
      <c r="L1707" s="29" t="s">
        <v>33</v>
      </c>
      <c r="M1707" s="29" t="n">
        <v>1200</v>
      </c>
      <c r="N1707" s="29" t="n">
        <v>1100</v>
      </c>
      <c r="O1707" s="29"/>
      <c r="P1707" s="30" t="n">
        <f aca="false">(M1707*N1707/1000000)*(INDEX(AreaRate_Vals,MATCH(C1707,AreaRate_Keys,0))+IF(ISNUMBER(SEARCH("Glass",E1707)),IFERROR(INDEX(GlazingUpg_Vals,MATCH(H1707,GlazingUpg_Keys,0)),0),0))+INDEX(Hardware_Vals,MATCH("Balcony &amp; Juliet Balustrades",Hardware_Keys,0))</f>
        <v>2708</v>
      </c>
      <c r="Q1707" s="31" t="n">
        <f aca="false">INDEX(Markup_Vals,MATCH("Railing &amp; Screening Systems",MarkupCat_Keys,0))</f>
        <v>0.42</v>
      </c>
      <c r="R1707" s="32" t="n">
        <f aca="false">P1707*(1+Q1707)</f>
        <v>3845.36</v>
      </c>
      <c r="S1707" s="32" t="n">
        <f aca="false">R1707*(1-TradeDiscount)</f>
        <v>3383.9168</v>
      </c>
      <c r="T1707" s="32" t="n">
        <f aca="false">R1707*(1-VolumeDiscount)</f>
        <v>3076.288</v>
      </c>
    </row>
    <row r="1708" customFormat="false" ht="15" hidden="false" customHeight="false" outlineLevel="0" collapsed="false">
      <c r="A1708" s="25" t="s">
        <v>3737</v>
      </c>
      <c r="B1708" s="25" t="s">
        <v>122</v>
      </c>
      <c r="C1708" s="25" t="s">
        <v>61</v>
      </c>
      <c r="D1708" s="25" t="s">
        <v>3738</v>
      </c>
      <c r="E1708" s="25" t="s">
        <v>3730</v>
      </c>
      <c r="F1708" s="25" t="s">
        <v>3702</v>
      </c>
      <c r="G1708" s="25" t="s">
        <v>36</v>
      </c>
      <c r="H1708" s="25" t="s">
        <v>3148</v>
      </c>
      <c r="I1708" s="25" t="s">
        <v>190</v>
      </c>
      <c r="J1708" s="25" t="s">
        <v>1654</v>
      </c>
      <c r="K1708" s="25" t="s">
        <v>298</v>
      </c>
      <c r="L1708" s="25" t="s">
        <v>33</v>
      </c>
      <c r="M1708" s="25" t="n">
        <v>1200</v>
      </c>
      <c r="N1708" s="25" t="n">
        <v>1100</v>
      </c>
      <c r="O1708" s="25"/>
      <c r="P1708" s="26" t="n">
        <f aca="false">(M1708*N1708/1000000)*(INDEX(AreaRate_Vals,MATCH(C1708,AreaRate_Keys,0))+IF(ISNUMBER(SEARCH("Glass",E1708)),IFERROR(INDEX(GlazingUpg_Vals,MATCH(H1708,GlazingUpg_Keys,0)),0),0))+INDEX(Hardware_Vals,MATCH("Balcony &amp; Juliet Balustrades",Hardware_Keys,0))</f>
        <v>2708</v>
      </c>
      <c r="Q1708" s="27" t="n">
        <f aca="false">INDEX(Markup_Vals,MATCH("Railing &amp; Screening Systems",MarkupCat_Keys,0))</f>
        <v>0.42</v>
      </c>
      <c r="R1708" s="28" t="n">
        <f aca="false">P1708*(1+Q1708)</f>
        <v>3845.36</v>
      </c>
      <c r="S1708" s="28" t="n">
        <f aca="false">R1708*(1-TradeDiscount)</f>
        <v>3383.9168</v>
      </c>
      <c r="T1708" s="28" t="n">
        <f aca="false">R1708*(1-VolumeDiscount)</f>
        <v>3076.288</v>
      </c>
    </row>
    <row r="1709" customFormat="false" ht="15" hidden="false" customHeight="false" outlineLevel="0" collapsed="false">
      <c r="A1709" s="29" t="s">
        <v>3739</v>
      </c>
      <c r="B1709" s="29" t="s">
        <v>122</v>
      </c>
      <c r="C1709" s="29" t="s">
        <v>61</v>
      </c>
      <c r="D1709" s="29" t="s">
        <v>3740</v>
      </c>
      <c r="E1709" s="29" t="s">
        <v>3730</v>
      </c>
      <c r="F1709" s="29" t="s">
        <v>3702</v>
      </c>
      <c r="G1709" s="29" t="s">
        <v>37</v>
      </c>
      <c r="H1709" s="29" t="s">
        <v>3148</v>
      </c>
      <c r="I1709" s="29" t="s">
        <v>190</v>
      </c>
      <c r="J1709" s="29" t="s">
        <v>1654</v>
      </c>
      <c r="K1709" s="29" t="s">
        <v>298</v>
      </c>
      <c r="L1709" s="29" t="s">
        <v>33</v>
      </c>
      <c r="M1709" s="29" t="n">
        <v>1200</v>
      </c>
      <c r="N1709" s="29" t="n">
        <v>1100</v>
      </c>
      <c r="O1709" s="29"/>
      <c r="P1709" s="30" t="n">
        <f aca="false">(M1709*N1709/1000000)*(INDEX(AreaRate_Vals,MATCH(C1709,AreaRate_Keys,0))+IF(ISNUMBER(SEARCH("Glass",E1709)),IFERROR(INDEX(GlazingUpg_Vals,MATCH(H1709,GlazingUpg_Keys,0)),0),0))+INDEX(Hardware_Vals,MATCH("Balcony &amp; Juliet Balustrades",Hardware_Keys,0))</f>
        <v>2708</v>
      </c>
      <c r="Q1709" s="31" t="n">
        <f aca="false">INDEX(Markup_Vals,MATCH("Railing &amp; Screening Systems",MarkupCat_Keys,0))</f>
        <v>0.42</v>
      </c>
      <c r="R1709" s="32" t="n">
        <f aca="false">P1709*(1+Q1709)</f>
        <v>3845.36</v>
      </c>
      <c r="S1709" s="32" t="n">
        <f aca="false">R1709*(1-TradeDiscount)</f>
        <v>3383.9168</v>
      </c>
      <c r="T1709" s="32" t="n">
        <f aca="false">R1709*(1-VolumeDiscount)</f>
        <v>3076.288</v>
      </c>
    </row>
    <row r="1710" customFormat="false" ht="15" hidden="false" customHeight="false" outlineLevel="0" collapsed="false">
      <c r="A1710" s="25" t="s">
        <v>3741</v>
      </c>
      <c r="B1710" s="25" t="s">
        <v>122</v>
      </c>
      <c r="C1710" s="25" t="s">
        <v>61</v>
      </c>
      <c r="D1710" s="25" t="s">
        <v>3742</v>
      </c>
      <c r="E1710" s="25" t="s">
        <v>3730</v>
      </c>
      <c r="F1710" s="25" t="s">
        <v>3709</v>
      </c>
      <c r="G1710" s="25" t="s">
        <v>35</v>
      </c>
      <c r="H1710" s="25" t="s">
        <v>3148</v>
      </c>
      <c r="I1710" s="25" t="s">
        <v>190</v>
      </c>
      <c r="J1710" s="25" t="s">
        <v>1654</v>
      </c>
      <c r="K1710" s="25" t="s">
        <v>298</v>
      </c>
      <c r="L1710" s="25" t="s">
        <v>33</v>
      </c>
      <c r="M1710" s="25" t="n">
        <v>1500</v>
      </c>
      <c r="N1710" s="25" t="n">
        <v>1100</v>
      </c>
      <c r="O1710" s="25"/>
      <c r="P1710" s="26" t="n">
        <f aca="false">(M1710*N1710/1000000)*(INDEX(AreaRate_Vals,MATCH(C1710,AreaRate_Keys,0))+IF(ISNUMBER(SEARCH("Glass",E1710)),IFERROR(INDEX(GlazingUpg_Vals,MATCH(H1710,GlazingUpg_Keys,0)),0),0))+INDEX(Hardware_Vals,MATCH("Balcony &amp; Juliet Balustrades",Hardware_Keys,0))</f>
        <v>3335</v>
      </c>
      <c r="Q1710" s="27" t="n">
        <f aca="false">INDEX(Markup_Vals,MATCH("Railing &amp; Screening Systems",MarkupCat_Keys,0))</f>
        <v>0.42</v>
      </c>
      <c r="R1710" s="28" t="n">
        <f aca="false">P1710*(1+Q1710)</f>
        <v>4735.7</v>
      </c>
      <c r="S1710" s="28" t="n">
        <f aca="false">R1710*(1-TradeDiscount)</f>
        <v>4167.416</v>
      </c>
      <c r="T1710" s="28" t="n">
        <f aca="false">R1710*(1-VolumeDiscount)</f>
        <v>3788.56</v>
      </c>
    </row>
    <row r="1711" customFormat="false" ht="15" hidden="false" customHeight="false" outlineLevel="0" collapsed="false">
      <c r="A1711" s="29" t="s">
        <v>3743</v>
      </c>
      <c r="B1711" s="29" t="s">
        <v>122</v>
      </c>
      <c r="C1711" s="29" t="s">
        <v>61</v>
      </c>
      <c r="D1711" s="29" t="s">
        <v>3744</v>
      </c>
      <c r="E1711" s="29" t="s">
        <v>3730</v>
      </c>
      <c r="F1711" s="29" t="s">
        <v>3709</v>
      </c>
      <c r="G1711" s="29" t="s">
        <v>36</v>
      </c>
      <c r="H1711" s="29" t="s">
        <v>3148</v>
      </c>
      <c r="I1711" s="29" t="s">
        <v>190</v>
      </c>
      <c r="J1711" s="29" t="s">
        <v>1654</v>
      </c>
      <c r="K1711" s="29" t="s">
        <v>298</v>
      </c>
      <c r="L1711" s="29" t="s">
        <v>33</v>
      </c>
      <c r="M1711" s="29" t="n">
        <v>1500</v>
      </c>
      <c r="N1711" s="29" t="n">
        <v>1100</v>
      </c>
      <c r="O1711" s="29"/>
      <c r="P1711" s="30" t="n">
        <f aca="false">(M1711*N1711/1000000)*(INDEX(AreaRate_Vals,MATCH(C1711,AreaRate_Keys,0))+IF(ISNUMBER(SEARCH("Glass",E1711)),IFERROR(INDEX(GlazingUpg_Vals,MATCH(H1711,GlazingUpg_Keys,0)),0),0))+INDEX(Hardware_Vals,MATCH("Balcony &amp; Juliet Balustrades",Hardware_Keys,0))</f>
        <v>3335</v>
      </c>
      <c r="Q1711" s="31" t="n">
        <f aca="false">INDEX(Markup_Vals,MATCH("Railing &amp; Screening Systems",MarkupCat_Keys,0))</f>
        <v>0.42</v>
      </c>
      <c r="R1711" s="32" t="n">
        <f aca="false">P1711*(1+Q1711)</f>
        <v>4735.7</v>
      </c>
      <c r="S1711" s="32" t="n">
        <f aca="false">R1711*(1-TradeDiscount)</f>
        <v>4167.416</v>
      </c>
      <c r="T1711" s="32" t="n">
        <f aca="false">R1711*(1-VolumeDiscount)</f>
        <v>3788.56</v>
      </c>
    </row>
    <row r="1712" customFormat="false" ht="15" hidden="false" customHeight="false" outlineLevel="0" collapsed="false">
      <c r="A1712" s="25" t="s">
        <v>3745</v>
      </c>
      <c r="B1712" s="25" t="s">
        <v>122</v>
      </c>
      <c r="C1712" s="25" t="s">
        <v>61</v>
      </c>
      <c r="D1712" s="25" t="s">
        <v>3746</v>
      </c>
      <c r="E1712" s="25" t="s">
        <v>3730</v>
      </c>
      <c r="F1712" s="25" t="s">
        <v>3709</v>
      </c>
      <c r="G1712" s="25" t="s">
        <v>37</v>
      </c>
      <c r="H1712" s="25" t="s">
        <v>3148</v>
      </c>
      <c r="I1712" s="25" t="s">
        <v>190</v>
      </c>
      <c r="J1712" s="25" t="s">
        <v>1654</v>
      </c>
      <c r="K1712" s="25" t="s">
        <v>298</v>
      </c>
      <c r="L1712" s="25" t="s">
        <v>33</v>
      </c>
      <c r="M1712" s="25" t="n">
        <v>1500</v>
      </c>
      <c r="N1712" s="25" t="n">
        <v>1100</v>
      </c>
      <c r="O1712" s="25"/>
      <c r="P1712" s="26" t="n">
        <f aca="false">(M1712*N1712/1000000)*(INDEX(AreaRate_Vals,MATCH(C1712,AreaRate_Keys,0))+IF(ISNUMBER(SEARCH("Glass",E1712)),IFERROR(INDEX(GlazingUpg_Vals,MATCH(H1712,GlazingUpg_Keys,0)),0),0))+INDEX(Hardware_Vals,MATCH("Balcony &amp; Juliet Balustrades",Hardware_Keys,0))</f>
        <v>3335</v>
      </c>
      <c r="Q1712" s="27" t="n">
        <f aca="false">INDEX(Markup_Vals,MATCH("Railing &amp; Screening Systems",MarkupCat_Keys,0))</f>
        <v>0.42</v>
      </c>
      <c r="R1712" s="28" t="n">
        <f aca="false">P1712*(1+Q1712)</f>
        <v>4735.7</v>
      </c>
      <c r="S1712" s="28" t="n">
        <f aca="false">R1712*(1-TradeDiscount)</f>
        <v>4167.416</v>
      </c>
      <c r="T1712" s="28" t="n">
        <f aca="false">R1712*(1-VolumeDiscount)</f>
        <v>3788.56</v>
      </c>
    </row>
    <row r="1713" customFormat="false" ht="15" hidden="false" customHeight="false" outlineLevel="0" collapsed="false">
      <c r="A1713" s="29" t="s">
        <v>3747</v>
      </c>
      <c r="B1713" s="29" t="s">
        <v>122</v>
      </c>
      <c r="C1713" s="29" t="s">
        <v>61</v>
      </c>
      <c r="D1713" s="29" t="s">
        <v>3748</v>
      </c>
      <c r="E1713" s="29" t="s">
        <v>3730</v>
      </c>
      <c r="F1713" s="29" t="s">
        <v>3716</v>
      </c>
      <c r="G1713" s="29" t="s">
        <v>35</v>
      </c>
      <c r="H1713" s="29" t="s">
        <v>3148</v>
      </c>
      <c r="I1713" s="29" t="s">
        <v>190</v>
      </c>
      <c r="J1713" s="29" t="s">
        <v>1654</v>
      </c>
      <c r="K1713" s="29" t="s">
        <v>298</v>
      </c>
      <c r="L1713" s="29" t="s">
        <v>33</v>
      </c>
      <c r="M1713" s="29" t="n">
        <v>1800</v>
      </c>
      <c r="N1713" s="29" t="n">
        <v>1100</v>
      </c>
      <c r="O1713" s="29"/>
      <c r="P1713" s="30" t="n">
        <f aca="false">(M1713*N1713/1000000)*(INDEX(AreaRate_Vals,MATCH(C1713,AreaRate_Keys,0))+IF(ISNUMBER(SEARCH("Glass",E1713)),IFERROR(INDEX(GlazingUpg_Vals,MATCH(H1713,GlazingUpg_Keys,0)),0),0))+INDEX(Hardware_Vals,MATCH("Balcony &amp; Juliet Balustrades",Hardware_Keys,0))</f>
        <v>3962</v>
      </c>
      <c r="Q1713" s="31" t="n">
        <f aca="false">INDEX(Markup_Vals,MATCH("Railing &amp; Screening Systems",MarkupCat_Keys,0))</f>
        <v>0.42</v>
      </c>
      <c r="R1713" s="32" t="n">
        <f aca="false">P1713*(1+Q1713)</f>
        <v>5626.04</v>
      </c>
      <c r="S1713" s="32" t="n">
        <f aca="false">R1713*(1-TradeDiscount)</f>
        <v>4950.9152</v>
      </c>
      <c r="T1713" s="32" t="n">
        <f aca="false">R1713*(1-VolumeDiscount)</f>
        <v>4500.832</v>
      </c>
    </row>
    <row r="1714" customFormat="false" ht="15" hidden="false" customHeight="false" outlineLevel="0" collapsed="false">
      <c r="A1714" s="25" t="s">
        <v>3749</v>
      </c>
      <c r="B1714" s="25" t="s">
        <v>122</v>
      </c>
      <c r="C1714" s="25" t="s">
        <v>61</v>
      </c>
      <c r="D1714" s="25" t="s">
        <v>3750</v>
      </c>
      <c r="E1714" s="25" t="s">
        <v>3730</v>
      </c>
      <c r="F1714" s="25" t="s">
        <v>3716</v>
      </c>
      <c r="G1714" s="25" t="s">
        <v>36</v>
      </c>
      <c r="H1714" s="25" t="s">
        <v>3148</v>
      </c>
      <c r="I1714" s="25" t="s">
        <v>190</v>
      </c>
      <c r="J1714" s="25" t="s">
        <v>1654</v>
      </c>
      <c r="K1714" s="25" t="s">
        <v>298</v>
      </c>
      <c r="L1714" s="25" t="s">
        <v>33</v>
      </c>
      <c r="M1714" s="25" t="n">
        <v>1800</v>
      </c>
      <c r="N1714" s="25" t="n">
        <v>1100</v>
      </c>
      <c r="O1714" s="25"/>
      <c r="P1714" s="26" t="n">
        <f aca="false">(M1714*N1714/1000000)*(INDEX(AreaRate_Vals,MATCH(C1714,AreaRate_Keys,0))+IF(ISNUMBER(SEARCH("Glass",E1714)),IFERROR(INDEX(GlazingUpg_Vals,MATCH(H1714,GlazingUpg_Keys,0)),0),0))+INDEX(Hardware_Vals,MATCH("Balcony &amp; Juliet Balustrades",Hardware_Keys,0))</f>
        <v>3962</v>
      </c>
      <c r="Q1714" s="27" t="n">
        <f aca="false">INDEX(Markup_Vals,MATCH("Railing &amp; Screening Systems",MarkupCat_Keys,0))</f>
        <v>0.42</v>
      </c>
      <c r="R1714" s="28" t="n">
        <f aca="false">P1714*(1+Q1714)</f>
        <v>5626.04</v>
      </c>
      <c r="S1714" s="28" t="n">
        <f aca="false">R1714*(1-TradeDiscount)</f>
        <v>4950.9152</v>
      </c>
      <c r="T1714" s="28" t="n">
        <f aca="false">R1714*(1-VolumeDiscount)</f>
        <v>4500.832</v>
      </c>
    </row>
    <row r="1715" customFormat="false" ht="15" hidden="false" customHeight="false" outlineLevel="0" collapsed="false">
      <c r="A1715" s="29" t="s">
        <v>3751</v>
      </c>
      <c r="B1715" s="29" t="s">
        <v>122</v>
      </c>
      <c r="C1715" s="29" t="s">
        <v>61</v>
      </c>
      <c r="D1715" s="29" t="s">
        <v>3752</v>
      </c>
      <c r="E1715" s="29" t="s">
        <v>3730</v>
      </c>
      <c r="F1715" s="29" t="s">
        <v>3716</v>
      </c>
      <c r="G1715" s="29" t="s">
        <v>37</v>
      </c>
      <c r="H1715" s="29" t="s">
        <v>3148</v>
      </c>
      <c r="I1715" s="29" t="s">
        <v>190</v>
      </c>
      <c r="J1715" s="29" t="s">
        <v>1654</v>
      </c>
      <c r="K1715" s="29" t="s">
        <v>298</v>
      </c>
      <c r="L1715" s="29" t="s">
        <v>33</v>
      </c>
      <c r="M1715" s="29" t="n">
        <v>1800</v>
      </c>
      <c r="N1715" s="29" t="n">
        <v>1100</v>
      </c>
      <c r="O1715" s="29"/>
      <c r="P1715" s="30" t="n">
        <f aca="false">(M1715*N1715/1000000)*(INDEX(AreaRate_Vals,MATCH(C1715,AreaRate_Keys,0))+IF(ISNUMBER(SEARCH("Glass",E1715)),IFERROR(INDEX(GlazingUpg_Vals,MATCH(H1715,GlazingUpg_Keys,0)),0),0))+INDEX(Hardware_Vals,MATCH("Balcony &amp; Juliet Balustrades",Hardware_Keys,0))</f>
        <v>3962</v>
      </c>
      <c r="Q1715" s="31" t="n">
        <f aca="false">INDEX(Markup_Vals,MATCH("Railing &amp; Screening Systems",MarkupCat_Keys,0))</f>
        <v>0.42</v>
      </c>
      <c r="R1715" s="32" t="n">
        <f aca="false">P1715*(1+Q1715)</f>
        <v>5626.04</v>
      </c>
      <c r="S1715" s="32" t="n">
        <f aca="false">R1715*(1-TradeDiscount)</f>
        <v>4950.9152</v>
      </c>
      <c r="T1715" s="32" t="n">
        <f aca="false">R1715*(1-VolumeDiscount)</f>
        <v>4500.832</v>
      </c>
    </row>
    <row r="1716" customFormat="false" ht="15" hidden="false" customHeight="false" outlineLevel="0" collapsed="false">
      <c r="A1716" s="25" t="s">
        <v>3753</v>
      </c>
      <c r="B1716" s="25" t="s">
        <v>122</v>
      </c>
      <c r="C1716" s="25" t="s">
        <v>61</v>
      </c>
      <c r="D1716" s="25" t="s">
        <v>3754</v>
      </c>
      <c r="E1716" s="25" t="s">
        <v>3730</v>
      </c>
      <c r="F1716" s="25" t="s">
        <v>3723</v>
      </c>
      <c r="G1716" s="25" t="s">
        <v>35</v>
      </c>
      <c r="H1716" s="25" t="s">
        <v>3148</v>
      </c>
      <c r="I1716" s="25" t="s">
        <v>190</v>
      </c>
      <c r="J1716" s="25" t="s">
        <v>1654</v>
      </c>
      <c r="K1716" s="25" t="s">
        <v>298</v>
      </c>
      <c r="L1716" s="25" t="s">
        <v>33</v>
      </c>
      <c r="M1716" s="25" t="n">
        <v>2400</v>
      </c>
      <c r="N1716" s="25" t="n">
        <v>1100</v>
      </c>
      <c r="O1716" s="25"/>
      <c r="P1716" s="26" t="n">
        <f aca="false">(M1716*N1716/1000000)*(INDEX(AreaRate_Vals,MATCH(C1716,AreaRate_Keys,0))+IF(ISNUMBER(SEARCH("Glass",E1716)),IFERROR(INDEX(GlazingUpg_Vals,MATCH(H1716,GlazingUpg_Keys,0)),0),0))+INDEX(Hardware_Vals,MATCH("Balcony &amp; Juliet Balustrades",Hardware_Keys,0))</f>
        <v>5216</v>
      </c>
      <c r="Q1716" s="27" t="n">
        <f aca="false">INDEX(Markup_Vals,MATCH("Railing &amp; Screening Systems",MarkupCat_Keys,0))</f>
        <v>0.42</v>
      </c>
      <c r="R1716" s="28" t="n">
        <f aca="false">P1716*(1+Q1716)</f>
        <v>7406.72</v>
      </c>
      <c r="S1716" s="28" t="n">
        <f aca="false">R1716*(1-TradeDiscount)</f>
        <v>6517.9136</v>
      </c>
      <c r="T1716" s="28" t="n">
        <f aca="false">R1716*(1-VolumeDiscount)</f>
        <v>5925.376</v>
      </c>
    </row>
    <row r="1717" customFormat="false" ht="15" hidden="false" customHeight="false" outlineLevel="0" collapsed="false">
      <c r="A1717" s="29" t="s">
        <v>3755</v>
      </c>
      <c r="B1717" s="29" t="s">
        <v>122</v>
      </c>
      <c r="C1717" s="29" t="s">
        <v>61</v>
      </c>
      <c r="D1717" s="29" t="s">
        <v>3756</v>
      </c>
      <c r="E1717" s="29" t="s">
        <v>3730</v>
      </c>
      <c r="F1717" s="29" t="s">
        <v>3723</v>
      </c>
      <c r="G1717" s="29" t="s">
        <v>36</v>
      </c>
      <c r="H1717" s="29" t="s">
        <v>3148</v>
      </c>
      <c r="I1717" s="29" t="s">
        <v>190</v>
      </c>
      <c r="J1717" s="29" t="s">
        <v>1654</v>
      </c>
      <c r="K1717" s="29" t="s">
        <v>298</v>
      </c>
      <c r="L1717" s="29" t="s">
        <v>33</v>
      </c>
      <c r="M1717" s="29" t="n">
        <v>2400</v>
      </c>
      <c r="N1717" s="29" t="n">
        <v>1100</v>
      </c>
      <c r="O1717" s="29"/>
      <c r="P1717" s="30" t="n">
        <f aca="false">(M1717*N1717/1000000)*(INDEX(AreaRate_Vals,MATCH(C1717,AreaRate_Keys,0))+IF(ISNUMBER(SEARCH("Glass",E1717)),IFERROR(INDEX(GlazingUpg_Vals,MATCH(H1717,GlazingUpg_Keys,0)),0),0))+INDEX(Hardware_Vals,MATCH("Balcony &amp; Juliet Balustrades",Hardware_Keys,0))</f>
        <v>5216</v>
      </c>
      <c r="Q1717" s="31" t="n">
        <f aca="false">INDEX(Markup_Vals,MATCH("Railing &amp; Screening Systems",MarkupCat_Keys,0))</f>
        <v>0.42</v>
      </c>
      <c r="R1717" s="32" t="n">
        <f aca="false">P1717*(1+Q1717)</f>
        <v>7406.72</v>
      </c>
      <c r="S1717" s="32" t="n">
        <f aca="false">R1717*(1-TradeDiscount)</f>
        <v>6517.9136</v>
      </c>
      <c r="T1717" s="32" t="n">
        <f aca="false">R1717*(1-VolumeDiscount)</f>
        <v>5925.376</v>
      </c>
    </row>
    <row r="1718" customFormat="false" ht="15" hidden="false" customHeight="false" outlineLevel="0" collapsed="false">
      <c r="A1718" s="25" t="s">
        <v>3757</v>
      </c>
      <c r="B1718" s="25" t="s">
        <v>122</v>
      </c>
      <c r="C1718" s="25" t="s">
        <v>61</v>
      </c>
      <c r="D1718" s="25" t="s">
        <v>3758</v>
      </c>
      <c r="E1718" s="25" t="s">
        <v>3730</v>
      </c>
      <c r="F1718" s="25" t="s">
        <v>3723</v>
      </c>
      <c r="G1718" s="25" t="s">
        <v>37</v>
      </c>
      <c r="H1718" s="25" t="s">
        <v>3148</v>
      </c>
      <c r="I1718" s="25" t="s">
        <v>190</v>
      </c>
      <c r="J1718" s="25" t="s">
        <v>1654</v>
      </c>
      <c r="K1718" s="25" t="s">
        <v>298</v>
      </c>
      <c r="L1718" s="25" t="s">
        <v>33</v>
      </c>
      <c r="M1718" s="25" t="n">
        <v>2400</v>
      </c>
      <c r="N1718" s="25" t="n">
        <v>1100</v>
      </c>
      <c r="O1718" s="25"/>
      <c r="P1718" s="26" t="n">
        <f aca="false">(M1718*N1718/1000000)*(INDEX(AreaRate_Vals,MATCH(C1718,AreaRate_Keys,0))+IF(ISNUMBER(SEARCH("Glass",E1718)),IFERROR(INDEX(GlazingUpg_Vals,MATCH(H1718,GlazingUpg_Keys,0)),0),0))+INDEX(Hardware_Vals,MATCH("Balcony &amp; Juliet Balustrades",Hardware_Keys,0))</f>
        <v>5216</v>
      </c>
      <c r="Q1718" s="27" t="n">
        <f aca="false">INDEX(Markup_Vals,MATCH("Railing &amp; Screening Systems",MarkupCat_Keys,0))</f>
        <v>0.42</v>
      </c>
      <c r="R1718" s="28" t="n">
        <f aca="false">P1718*(1+Q1718)</f>
        <v>7406.72</v>
      </c>
      <c r="S1718" s="28" t="n">
        <f aca="false">R1718*(1-TradeDiscount)</f>
        <v>6517.9136</v>
      </c>
      <c r="T1718" s="28" t="n">
        <f aca="false">R1718*(1-VolumeDiscount)</f>
        <v>5925.376</v>
      </c>
    </row>
    <row r="1719" customFormat="false" ht="15" hidden="false" customHeight="false" outlineLevel="0" collapsed="false">
      <c r="A1719" s="29" t="s">
        <v>3759</v>
      </c>
      <c r="B1719" s="29" t="s">
        <v>122</v>
      </c>
      <c r="C1719" s="29" t="s">
        <v>58</v>
      </c>
      <c r="D1719" s="29" t="s">
        <v>3760</v>
      </c>
      <c r="E1719" s="29" t="s">
        <v>3761</v>
      </c>
      <c r="F1719" s="29" t="s">
        <v>3762</v>
      </c>
      <c r="G1719" s="29" t="s">
        <v>35</v>
      </c>
      <c r="H1719" s="29" t="s">
        <v>3148</v>
      </c>
      <c r="I1719" s="29" t="s">
        <v>190</v>
      </c>
      <c r="J1719" s="29" t="s">
        <v>3529</v>
      </c>
      <c r="K1719" s="29" t="s">
        <v>298</v>
      </c>
      <c r="L1719" s="29" t="s">
        <v>31</v>
      </c>
      <c r="M1719" s="29" t="n">
        <v>1000</v>
      </c>
      <c r="N1719" s="29" t="n">
        <v>1800</v>
      </c>
      <c r="O1719" s="29"/>
      <c r="P1719" s="30" t="n">
        <f aca="false">(M1719*N1719/1000000)*INDEX(AreaRate_Vals,MATCH(C1719,AreaRate_Keys,0))+INDEX(Hardware_Vals,MATCH("Louvres &amp; Privacy Screens",Hardware_Keys,0))</f>
        <v>2850</v>
      </c>
      <c r="Q1719" s="31" t="n">
        <f aca="false">INDEX(Markup_Vals,MATCH("Railing &amp; Screening Systems",MarkupCat_Keys,0))</f>
        <v>0.42</v>
      </c>
      <c r="R1719" s="32" t="n">
        <f aca="false">P1719*(1+Q1719)</f>
        <v>4047</v>
      </c>
      <c r="S1719" s="32" t="n">
        <f aca="false">R1719*(1-TradeDiscount)</f>
        <v>3561.36</v>
      </c>
      <c r="T1719" s="32" t="n">
        <f aca="false">R1719*(1-VolumeDiscount)</f>
        <v>3237.6</v>
      </c>
    </row>
    <row r="1720" customFormat="false" ht="15" hidden="false" customHeight="false" outlineLevel="0" collapsed="false">
      <c r="A1720" s="25" t="s">
        <v>3763</v>
      </c>
      <c r="B1720" s="25" t="s">
        <v>122</v>
      </c>
      <c r="C1720" s="25" t="s">
        <v>58</v>
      </c>
      <c r="D1720" s="25" t="s">
        <v>3764</v>
      </c>
      <c r="E1720" s="25" t="s">
        <v>3761</v>
      </c>
      <c r="F1720" s="25" t="s">
        <v>3762</v>
      </c>
      <c r="G1720" s="25" t="s">
        <v>36</v>
      </c>
      <c r="H1720" s="25" t="s">
        <v>3148</v>
      </c>
      <c r="I1720" s="25" t="s">
        <v>190</v>
      </c>
      <c r="J1720" s="25" t="s">
        <v>3529</v>
      </c>
      <c r="K1720" s="25" t="s">
        <v>298</v>
      </c>
      <c r="L1720" s="25" t="s">
        <v>31</v>
      </c>
      <c r="M1720" s="25" t="n">
        <v>1000</v>
      </c>
      <c r="N1720" s="25" t="n">
        <v>1800</v>
      </c>
      <c r="O1720" s="25"/>
      <c r="P1720" s="26" t="n">
        <f aca="false">(M1720*N1720/1000000)*INDEX(AreaRate_Vals,MATCH(C1720,AreaRate_Keys,0))+INDEX(Hardware_Vals,MATCH("Louvres &amp; Privacy Screens",Hardware_Keys,0))</f>
        <v>2850</v>
      </c>
      <c r="Q1720" s="27" t="n">
        <f aca="false">INDEX(Markup_Vals,MATCH("Railing &amp; Screening Systems",MarkupCat_Keys,0))</f>
        <v>0.42</v>
      </c>
      <c r="R1720" s="28" t="n">
        <f aca="false">P1720*(1+Q1720)</f>
        <v>4047</v>
      </c>
      <c r="S1720" s="28" t="n">
        <f aca="false">R1720*(1-TradeDiscount)</f>
        <v>3561.36</v>
      </c>
      <c r="T1720" s="28" t="n">
        <f aca="false">R1720*(1-VolumeDiscount)</f>
        <v>3237.6</v>
      </c>
    </row>
    <row r="1721" customFormat="false" ht="15" hidden="false" customHeight="false" outlineLevel="0" collapsed="false">
      <c r="A1721" s="29" t="s">
        <v>3765</v>
      </c>
      <c r="B1721" s="29" t="s">
        <v>122</v>
      </c>
      <c r="C1721" s="29" t="s">
        <v>58</v>
      </c>
      <c r="D1721" s="29" t="s">
        <v>3766</v>
      </c>
      <c r="E1721" s="29" t="s">
        <v>3761</v>
      </c>
      <c r="F1721" s="29" t="s">
        <v>3762</v>
      </c>
      <c r="G1721" s="29" t="s">
        <v>37</v>
      </c>
      <c r="H1721" s="29" t="s">
        <v>3148</v>
      </c>
      <c r="I1721" s="29" t="s">
        <v>190</v>
      </c>
      <c r="J1721" s="29" t="s">
        <v>3529</v>
      </c>
      <c r="K1721" s="29" t="s">
        <v>298</v>
      </c>
      <c r="L1721" s="29" t="s">
        <v>31</v>
      </c>
      <c r="M1721" s="29" t="n">
        <v>1000</v>
      </c>
      <c r="N1721" s="29" t="n">
        <v>1800</v>
      </c>
      <c r="O1721" s="29"/>
      <c r="P1721" s="30" t="n">
        <f aca="false">(M1721*N1721/1000000)*INDEX(AreaRate_Vals,MATCH(C1721,AreaRate_Keys,0))+INDEX(Hardware_Vals,MATCH("Louvres &amp; Privacy Screens",Hardware_Keys,0))</f>
        <v>2850</v>
      </c>
      <c r="Q1721" s="31" t="n">
        <f aca="false">INDEX(Markup_Vals,MATCH("Railing &amp; Screening Systems",MarkupCat_Keys,0))</f>
        <v>0.42</v>
      </c>
      <c r="R1721" s="32" t="n">
        <f aca="false">P1721*(1+Q1721)</f>
        <v>4047</v>
      </c>
      <c r="S1721" s="32" t="n">
        <f aca="false">R1721*(1-TradeDiscount)</f>
        <v>3561.36</v>
      </c>
      <c r="T1721" s="32" t="n">
        <f aca="false">R1721*(1-VolumeDiscount)</f>
        <v>3237.6</v>
      </c>
    </row>
    <row r="1722" customFormat="false" ht="15" hidden="false" customHeight="false" outlineLevel="0" collapsed="false">
      <c r="A1722" s="25" t="s">
        <v>3767</v>
      </c>
      <c r="B1722" s="25" t="s">
        <v>122</v>
      </c>
      <c r="C1722" s="25" t="s">
        <v>58</v>
      </c>
      <c r="D1722" s="25" t="s">
        <v>3768</v>
      </c>
      <c r="E1722" s="25" t="s">
        <v>3761</v>
      </c>
      <c r="F1722" s="25" t="s">
        <v>3762</v>
      </c>
      <c r="G1722" s="25" t="s">
        <v>39</v>
      </c>
      <c r="H1722" s="25" t="s">
        <v>3148</v>
      </c>
      <c r="I1722" s="25" t="s">
        <v>190</v>
      </c>
      <c r="J1722" s="25" t="s">
        <v>3529</v>
      </c>
      <c r="K1722" s="25" t="s">
        <v>298</v>
      </c>
      <c r="L1722" s="25" t="s">
        <v>31</v>
      </c>
      <c r="M1722" s="25" t="n">
        <v>1000</v>
      </c>
      <c r="N1722" s="25" t="n">
        <v>1800</v>
      </c>
      <c r="O1722" s="25"/>
      <c r="P1722" s="26" t="n">
        <f aca="false">(M1722*N1722/1000000)*INDEX(AreaRate_Vals,MATCH(C1722,AreaRate_Keys,0))+INDEX(Hardware_Vals,MATCH("Louvres &amp; Privacy Screens",Hardware_Keys,0))</f>
        <v>2850</v>
      </c>
      <c r="Q1722" s="27" t="n">
        <f aca="false">INDEX(Markup_Vals,MATCH("Railing &amp; Screening Systems",MarkupCat_Keys,0))</f>
        <v>0.42</v>
      </c>
      <c r="R1722" s="28" t="n">
        <f aca="false">P1722*(1+Q1722)</f>
        <v>4047</v>
      </c>
      <c r="S1722" s="28" t="n">
        <f aca="false">R1722*(1-TradeDiscount)</f>
        <v>3561.36</v>
      </c>
      <c r="T1722" s="28" t="n">
        <f aca="false">R1722*(1-VolumeDiscount)</f>
        <v>3237.6</v>
      </c>
    </row>
    <row r="1723" customFormat="false" ht="15" hidden="false" customHeight="false" outlineLevel="0" collapsed="false">
      <c r="A1723" s="29" t="s">
        <v>3769</v>
      </c>
      <c r="B1723" s="29" t="s">
        <v>122</v>
      </c>
      <c r="C1723" s="29" t="s">
        <v>58</v>
      </c>
      <c r="D1723" s="29" t="s">
        <v>3770</v>
      </c>
      <c r="E1723" s="29" t="s">
        <v>3761</v>
      </c>
      <c r="F1723" s="29" t="s">
        <v>3771</v>
      </c>
      <c r="G1723" s="29" t="s">
        <v>35</v>
      </c>
      <c r="H1723" s="29" t="s">
        <v>3148</v>
      </c>
      <c r="I1723" s="29" t="s">
        <v>190</v>
      </c>
      <c r="J1723" s="29" t="s">
        <v>3529</v>
      </c>
      <c r="K1723" s="29" t="s">
        <v>298</v>
      </c>
      <c r="L1723" s="29" t="s">
        <v>31</v>
      </c>
      <c r="M1723" s="29" t="n">
        <v>1500</v>
      </c>
      <c r="N1723" s="29" t="n">
        <v>1800</v>
      </c>
      <c r="O1723" s="29"/>
      <c r="P1723" s="30" t="n">
        <f aca="false">(M1723*N1723/1000000)*INDEX(AreaRate_Vals,MATCH(C1723,AreaRate_Keys,0))+INDEX(Hardware_Vals,MATCH("Louvres &amp; Privacy Screens",Hardware_Keys,0))</f>
        <v>4200</v>
      </c>
      <c r="Q1723" s="31" t="n">
        <f aca="false">INDEX(Markup_Vals,MATCH("Railing &amp; Screening Systems",MarkupCat_Keys,0))</f>
        <v>0.42</v>
      </c>
      <c r="R1723" s="32" t="n">
        <f aca="false">P1723*(1+Q1723)</f>
        <v>5964</v>
      </c>
      <c r="S1723" s="32" t="n">
        <f aca="false">R1723*(1-TradeDiscount)</f>
        <v>5248.32</v>
      </c>
      <c r="T1723" s="32" t="n">
        <f aca="false">R1723*(1-VolumeDiscount)</f>
        <v>4771.2</v>
      </c>
    </row>
    <row r="1724" customFormat="false" ht="15" hidden="false" customHeight="false" outlineLevel="0" collapsed="false">
      <c r="A1724" s="25" t="s">
        <v>3772</v>
      </c>
      <c r="B1724" s="25" t="s">
        <v>122</v>
      </c>
      <c r="C1724" s="25" t="s">
        <v>58</v>
      </c>
      <c r="D1724" s="25" t="s">
        <v>3773</v>
      </c>
      <c r="E1724" s="25" t="s">
        <v>3761</v>
      </c>
      <c r="F1724" s="25" t="s">
        <v>3771</v>
      </c>
      <c r="G1724" s="25" t="s">
        <v>36</v>
      </c>
      <c r="H1724" s="25" t="s">
        <v>3148</v>
      </c>
      <c r="I1724" s="25" t="s">
        <v>190</v>
      </c>
      <c r="J1724" s="25" t="s">
        <v>3529</v>
      </c>
      <c r="K1724" s="25" t="s">
        <v>298</v>
      </c>
      <c r="L1724" s="25" t="s">
        <v>31</v>
      </c>
      <c r="M1724" s="25" t="n">
        <v>1500</v>
      </c>
      <c r="N1724" s="25" t="n">
        <v>1800</v>
      </c>
      <c r="O1724" s="25"/>
      <c r="P1724" s="26" t="n">
        <f aca="false">(M1724*N1724/1000000)*INDEX(AreaRate_Vals,MATCH(C1724,AreaRate_Keys,0))+INDEX(Hardware_Vals,MATCH("Louvres &amp; Privacy Screens",Hardware_Keys,0))</f>
        <v>4200</v>
      </c>
      <c r="Q1724" s="27" t="n">
        <f aca="false">INDEX(Markup_Vals,MATCH("Railing &amp; Screening Systems",MarkupCat_Keys,0))</f>
        <v>0.42</v>
      </c>
      <c r="R1724" s="28" t="n">
        <f aca="false">P1724*(1+Q1724)</f>
        <v>5964</v>
      </c>
      <c r="S1724" s="28" t="n">
        <f aca="false">R1724*(1-TradeDiscount)</f>
        <v>5248.32</v>
      </c>
      <c r="T1724" s="28" t="n">
        <f aca="false">R1724*(1-VolumeDiscount)</f>
        <v>4771.2</v>
      </c>
    </row>
    <row r="1725" customFormat="false" ht="15" hidden="false" customHeight="false" outlineLevel="0" collapsed="false">
      <c r="A1725" s="29" t="s">
        <v>3774</v>
      </c>
      <c r="B1725" s="29" t="s">
        <v>122</v>
      </c>
      <c r="C1725" s="29" t="s">
        <v>58</v>
      </c>
      <c r="D1725" s="29" t="s">
        <v>3775</v>
      </c>
      <c r="E1725" s="29" t="s">
        <v>3761</v>
      </c>
      <c r="F1725" s="29" t="s">
        <v>3771</v>
      </c>
      <c r="G1725" s="29" t="s">
        <v>37</v>
      </c>
      <c r="H1725" s="29" t="s">
        <v>3148</v>
      </c>
      <c r="I1725" s="29" t="s">
        <v>190</v>
      </c>
      <c r="J1725" s="29" t="s">
        <v>3529</v>
      </c>
      <c r="K1725" s="29" t="s">
        <v>298</v>
      </c>
      <c r="L1725" s="29" t="s">
        <v>31</v>
      </c>
      <c r="M1725" s="29" t="n">
        <v>1500</v>
      </c>
      <c r="N1725" s="29" t="n">
        <v>1800</v>
      </c>
      <c r="O1725" s="29"/>
      <c r="P1725" s="30" t="n">
        <f aca="false">(M1725*N1725/1000000)*INDEX(AreaRate_Vals,MATCH(C1725,AreaRate_Keys,0))+INDEX(Hardware_Vals,MATCH("Louvres &amp; Privacy Screens",Hardware_Keys,0))</f>
        <v>4200</v>
      </c>
      <c r="Q1725" s="31" t="n">
        <f aca="false">INDEX(Markup_Vals,MATCH("Railing &amp; Screening Systems",MarkupCat_Keys,0))</f>
        <v>0.42</v>
      </c>
      <c r="R1725" s="32" t="n">
        <f aca="false">P1725*(1+Q1725)</f>
        <v>5964</v>
      </c>
      <c r="S1725" s="32" t="n">
        <f aca="false">R1725*(1-TradeDiscount)</f>
        <v>5248.32</v>
      </c>
      <c r="T1725" s="32" t="n">
        <f aca="false">R1725*(1-VolumeDiscount)</f>
        <v>4771.2</v>
      </c>
    </row>
    <row r="1726" customFormat="false" ht="15" hidden="false" customHeight="false" outlineLevel="0" collapsed="false">
      <c r="A1726" s="25" t="s">
        <v>3776</v>
      </c>
      <c r="B1726" s="25" t="s">
        <v>122</v>
      </c>
      <c r="C1726" s="25" t="s">
        <v>58</v>
      </c>
      <c r="D1726" s="25" t="s">
        <v>3777</v>
      </c>
      <c r="E1726" s="25" t="s">
        <v>3761</v>
      </c>
      <c r="F1726" s="25" t="s">
        <v>3771</v>
      </c>
      <c r="G1726" s="25" t="s">
        <v>39</v>
      </c>
      <c r="H1726" s="25" t="s">
        <v>3148</v>
      </c>
      <c r="I1726" s="25" t="s">
        <v>190</v>
      </c>
      <c r="J1726" s="25" t="s">
        <v>3529</v>
      </c>
      <c r="K1726" s="25" t="s">
        <v>298</v>
      </c>
      <c r="L1726" s="25" t="s">
        <v>31</v>
      </c>
      <c r="M1726" s="25" t="n">
        <v>1500</v>
      </c>
      <c r="N1726" s="25" t="n">
        <v>1800</v>
      </c>
      <c r="O1726" s="25"/>
      <c r="P1726" s="26" t="n">
        <f aca="false">(M1726*N1726/1000000)*INDEX(AreaRate_Vals,MATCH(C1726,AreaRate_Keys,0))+INDEX(Hardware_Vals,MATCH("Louvres &amp; Privacy Screens",Hardware_Keys,0))</f>
        <v>4200</v>
      </c>
      <c r="Q1726" s="27" t="n">
        <f aca="false">INDEX(Markup_Vals,MATCH("Railing &amp; Screening Systems",MarkupCat_Keys,0))</f>
        <v>0.42</v>
      </c>
      <c r="R1726" s="28" t="n">
        <f aca="false">P1726*(1+Q1726)</f>
        <v>5964</v>
      </c>
      <c r="S1726" s="28" t="n">
        <f aca="false">R1726*(1-TradeDiscount)</f>
        <v>5248.32</v>
      </c>
      <c r="T1726" s="28" t="n">
        <f aca="false">R1726*(1-VolumeDiscount)</f>
        <v>4771.2</v>
      </c>
    </row>
    <row r="1727" customFormat="false" ht="15" hidden="false" customHeight="false" outlineLevel="0" collapsed="false">
      <c r="A1727" s="29" t="s">
        <v>3778</v>
      </c>
      <c r="B1727" s="29" t="s">
        <v>122</v>
      </c>
      <c r="C1727" s="29" t="s">
        <v>58</v>
      </c>
      <c r="D1727" s="29" t="s">
        <v>3779</v>
      </c>
      <c r="E1727" s="29" t="s">
        <v>3761</v>
      </c>
      <c r="F1727" s="29" t="s">
        <v>3780</v>
      </c>
      <c r="G1727" s="29" t="s">
        <v>35</v>
      </c>
      <c r="H1727" s="29" t="s">
        <v>3148</v>
      </c>
      <c r="I1727" s="29" t="s">
        <v>190</v>
      </c>
      <c r="J1727" s="29" t="s">
        <v>3529</v>
      </c>
      <c r="K1727" s="29" t="s">
        <v>298</v>
      </c>
      <c r="L1727" s="29" t="s">
        <v>31</v>
      </c>
      <c r="M1727" s="29" t="n">
        <v>2000</v>
      </c>
      <c r="N1727" s="29" t="n">
        <v>1800</v>
      </c>
      <c r="O1727" s="29"/>
      <c r="P1727" s="30" t="n">
        <f aca="false">(M1727*N1727/1000000)*INDEX(AreaRate_Vals,MATCH(C1727,AreaRate_Keys,0))+INDEX(Hardware_Vals,MATCH("Louvres &amp; Privacy Screens",Hardware_Keys,0))</f>
        <v>5550</v>
      </c>
      <c r="Q1727" s="31" t="n">
        <f aca="false">INDEX(Markup_Vals,MATCH("Railing &amp; Screening Systems",MarkupCat_Keys,0))</f>
        <v>0.42</v>
      </c>
      <c r="R1727" s="32" t="n">
        <f aca="false">P1727*(1+Q1727)</f>
        <v>7881</v>
      </c>
      <c r="S1727" s="32" t="n">
        <f aca="false">R1727*(1-TradeDiscount)</f>
        <v>6935.28</v>
      </c>
      <c r="T1727" s="32" t="n">
        <f aca="false">R1727*(1-VolumeDiscount)</f>
        <v>6304.8</v>
      </c>
    </row>
    <row r="1728" customFormat="false" ht="15" hidden="false" customHeight="false" outlineLevel="0" collapsed="false">
      <c r="A1728" s="25" t="s">
        <v>3781</v>
      </c>
      <c r="B1728" s="25" t="s">
        <v>122</v>
      </c>
      <c r="C1728" s="25" t="s">
        <v>58</v>
      </c>
      <c r="D1728" s="25" t="s">
        <v>3782</v>
      </c>
      <c r="E1728" s="25" t="s">
        <v>3761</v>
      </c>
      <c r="F1728" s="25" t="s">
        <v>3780</v>
      </c>
      <c r="G1728" s="25" t="s">
        <v>36</v>
      </c>
      <c r="H1728" s="25" t="s">
        <v>3148</v>
      </c>
      <c r="I1728" s="25" t="s">
        <v>190</v>
      </c>
      <c r="J1728" s="25" t="s">
        <v>3529</v>
      </c>
      <c r="K1728" s="25" t="s">
        <v>298</v>
      </c>
      <c r="L1728" s="25" t="s">
        <v>31</v>
      </c>
      <c r="M1728" s="25" t="n">
        <v>2000</v>
      </c>
      <c r="N1728" s="25" t="n">
        <v>1800</v>
      </c>
      <c r="O1728" s="25"/>
      <c r="P1728" s="26" t="n">
        <f aca="false">(M1728*N1728/1000000)*INDEX(AreaRate_Vals,MATCH(C1728,AreaRate_Keys,0))+INDEX(Hardware_Vals,MATCH("Louvres &amp; Privacy Screens",Hardware_Keys,0))</f>
        <v>5550</v>
      </c>
      <c r="Q1728" s="27" t="n">
        <f aca="false">INDEX(Markup_Vals,MATCH("Railing &amp; Screening Systems",MarkupCat_Keys,0))</f>
        <v>0.42</v>
      </c>
      <c r="R1728" s="28" t="n">
        <f aca="false">P1728*(1+Q1728)</f>
        <v>7881</v>
      </c>
      <c r="S1728" s="28" t="n">
        <f aca="false">R1728*(1-TradeDiscount)</f>
        <v>6935.28</v>
      </c>
      <c r="T1728" s="28" t="n">
        <f aca="false">R1728*(1-VolumeDiscount)</f>
        <v>6304.8</v>
      </c>
    </row>
    <row r="1729" customFormat="false" ht="15" hidden="false" customHeight="false" outlineLevel="0" collapsed="false">
      <c r="A1729" s="29" t="s">
        <v>3783</v>
      </c>
      <c r="B1729" s="29" t="s">
        <v>122</v>
      </c>
      <c r="C1729" s="29" t="s">
        <v>58</v>
      </c>
      <c r="D1729" s="29" t="s">
        <v>3784</v>
      </c>
      <c r="E1729" s="29" t="s">
        <v>3761</v>
      </c>
      <c r="F1729" s="29" t="s">
        <v>3780</v>
      </c>
      <c r="G1729" s="29" t="s">
        <v>37</v>
      </c>
      <c r="H1729" s="29" t="s">
        <v>3148</v>
      </c>
      <c r="I1729" s="29" t="s">
        <v>190</v>
      </c>
      <c r="J1729" s="29" t="s">
        <v>3529</v>
      </c>
      <c r="K1729" s="29" t="s">
        <v>298</v>
      </c>
      <c r="L1729" s="29" t="s">
        <v>31</v>
      </c>
      <c r="M1729" s="29" t="n">
        <v>2000</v>
      </c>
      <c r="N1729" s="29" t="n">
        <v>1800</v>
      </c>
      <c r="O1729" s="29"/>
      <c r="P1729" s="30" t="n">
        <f aca="false">(M1729*N1729/1000000)*INDEX(AreaRate_Vals,MATCH(C1729,AreaRate_Keys,0))+INDEX(Hardware_Vals,MATCH("Louvres &amp; Privacy Screens",Hardware_Keys,0))</f>
        <v>5550</v>
      </c>
      <c r="Q1729" s="31" t="n">
        <f aca="false">INDEX(Markup_Vals,MATCH("Railing &amp; Screening Systems",MarkupCat_Keys,0))</f>
        <v>0.42</v>
      </c>
      <c r="R1729" s="32" t="n">
        <f aca="false">P1729*(1+Q1729)</f>
        <v>7881</v>
      </c>
      <c r="S1729" s="32" t="n">
        <f aca="false">R1729*(1-TradeDiscount)</f>
        <v>6935.28</v>
      </c>
      <c r="T1729" s="32" t="n">
        <f aca="false">R1729*(1-VolumeDiscount)</f>
        <v>6304.8</v>
      </c>
    </row>
    <row r="1730" customFormat="false" ht="15" hidden="false" customHeight="false" outlineLevel="0" collapsed="false">
      <c r="A1730" s="25" t="s">
        <v>3785</v>
      </c>
      <c r="B1730" s="25" t="s">
        <v>122</v>
      </c>
      <c r="C1730" s="25" t="s">
        <v>58</v>
      </c>
      <c r="D1730" s="25" t="s">
        <v>3786</v>
      </c>
      <c r="E1730" s="25" t="s">
        <v>3761</v>
      </c>
      <c r="F1730" s="25" t="s">
        <v>3780</v>
      </c>
      <c r="G1730" s="25" t="s">
        <v>39</v>
      </c>
      <c r="H1730" s="25" t="s">
        <v>3148</v>
      </c>
      <c r="I1730" s="25" t="s">
        <v>190</v>
      </c>
      <c r="J1730" s="25" t="s">
        <v>3529</v>
      </c>
      <c r="K1730" s="25" t="s">
        <v>298</v>
      </c>
      <c r="L1730" s="25" t="s">
        <v>31</v>
      </c>
      <c r="M1730" s="25" t="n">
        <v>2000</v>
      </c>
      <c r="N1730" s="25" t="n">
        <v>1800</v>
      </c>
      <c r="O1730" s="25"/>
      <c r="P1730" s="26" t="n">
        <f aca="false">(M1730*N1730/1000000)*INDEX(AreaRate_Vals,MATCH(C1730,AreaRate_Keys,0))+INDEX(Hardware_Vals,MATCH("Louvres &amp; Privacy Screens",Hardware_Keys,0))</f>
        <v>5550</v>
      </c>
      <c r="Q1730" s="27" t="n">
        <f aca="false">INDEX(Markup_Vals,MATCH("Railing &amp; Screening Systems",MarkupCat_Keys,0))</f>
        <v>0.42</v>
      </c>
      <c r="R1730" s="28" t="n">
        <f aca="false">P1730*(1+Q1730)</f>
        <v>7881</v>
      </c>
      <c r="S1730" s="28" t="n">
        <f aca="false">R1730*(1-TradeDiscount)</f>
        <v>6935.28</v>
      </c>
      <c r="T1730" s="28" t="n">
        <f aca="false">R1730*(1-VolumeDiscount)</f>
        <v>6304.8</v>
      </c>
    </row>
    <row r="1731" customFormat="false" ht="15" hidden="false" customHeight="false" outlineLevel="0" collapsed="false">
      <c r="A1731" s="29" t="s">
        <v>3787</v>
      </c>
      <c r="B1731" s="29" t="s">
        <v>122</v>
      </c>
      <c r="C1731" s="29" t="s">
        <v>58</v>
      </c>
      <c r="D1731" s="29" t="s">
        <v>3788</v>
      </c>
      <c r="E1731" s="29" t="s">
        <v>3761</v>
      </c>
      <c r="F1731" s="29" t="s">
        <v>3789</v>
      </c>
      <c r="G1731" s="29" t="s">
        <v>35</v>
      </c>
      <c r="H1731" s="29" t="s">
        <v>3148</v>
      </c>
      <c r="I1731" s="29" t="s">
        <v>190</v>
      </c>
      <c r="J1731" s="29" t="s">
        <v>3529</v>
      </c>
      <c r="K1731" s="29" t="s">
        <v>298</v>
      </c>
      <c r="L1731" s="29" t="s">
        <v>31</v>
      </c>
      <c r="M1731" s="29" t="n">
        <v>1500</v>
      </c>
      <c r="N1731" s="29" t="n">
        <v>2400</v>
      </c>
      <c r="O1731" s="29"/>
      <c r="P1731" s="30" t="n">
        <f aca="false">(M1731*N1731/1000000)*INDEX(AreaRate_Vals,MATCH(C1731,AreaRate_Keys,0))+INDEX(Hardware_Vals,MATCH("Louvres &amp; Privacy Screens",Hardware_Keys,0))</f>
        <v>5550</v>
      </c>
      <c r="Q1731" s="31" t="n">
        <f aca="false">INDEX(Markup_Vals,MATCH("Railing &amp; Screening Systems",MarkupCat_Keys,0))</f>
        <v>0.42</v>
      </c>
      <c r="R1731" s="32" t="n">
        <f aca="false">P1731*(1+Q1731)</f>
        <v>7881</v>
      </c>
      <c r="S1731" s="32" t="n">
        <f aca="false">R1731*(1-TradeDiscount)</f>
        <v>6935.28</v>
      </c>
      <c r="T1731" s="32" t="n">
        <f aca="false">R1731*(1-VolumeDiscount)</f>
        <v>6304.8</v>
      </c>
    </row>
    <row r="1732" customFormat="false" ht="15" hidden="false" customHeight="false" outlineLevel="0" collapsed="false">
      <c r="A1732" s="25" t="s">
        <v>3790</v>
      </c>
      <c r="B1732" s="25" t="s">
        <v>122</v>
      </c>
      <c r="C1732" s="25" t="s">
        <v>58</v>
      </c>
      <c r="D1732" s="25" t="s">
        <v>3791</v>
      </c>
      <c r="E1732" s="25" t="s">
        <v>3761</v>
      </c>
      <c r="F1732" s="25" t="s">
        <v>3789</v>
      </c>
      <c r="G1732" s="25" t="s">
        <v>36</v>
      </c>
      <c r="H1732" s="25" t="s">
        <v>3148</v>
      </c>
      <c r="I1732" s="25" t="s">
        <v>190</v>
      </c>
      <c r="J1732" s="25" t="s">
        <v>3529</v>
      </c>
      <c r="K1732" s="25" t="s">
        <v>298</v>
      </c>
      <c r="L1732" s="25" t="s">
        <v>31</v>
      </c>
      <c r="M1732" s="25" t="n">
        <v>1500</v>
      </c>
      <c r="N1732" s="25" t="n">
        <v>2400</v>
      </c>
      <c r="O1732" s="25"/>
      <c r="P1732" s="26" t="n">
        <f aca="false">(M1732*N1732/1000000)*INDEX(AreaRate_Vals,MATCH(C1732,AreaRate_Keys,0))+INDEX(Hardware_Vals,MATCH("Louvres &amp; Privacy Screens",Hardware_Keys,0))</f>
        <v>5550</v>
      </c>
      <c r="Q1732" s="27" t="n">
        <f aca="false">INDEX(Markup_Vals,MATCH("Railing &amp; Screening Systems",MarkupCat_Keys,0))</f>
        <v>0.42</v>
      </c>
      <c r="R1732" s="28" t="n">
        <f aca="false">P1732*(1+Q1732)</f>
        <v>7881</v>
      </c>
      <c r="S1732" s="28" t="n">
        <f aca="false">R1732*(1-TradeDiscount)</f>
        <v>6935.28</v>
      </c>
      <c r="T1732" s="28" t="n">
        <f aca="false">R1732*(1-VolumeDiscount)</f>
        <v>6304.8</v>
      </c>
    </row>
    <row r="1733" customFormat="false" ht="15" hidden="false" customHeight="false" outlineLevel="0" collapsed="false">
      <c r="A1733" s="29" t="s">
        <v>3792</v>
      </c>
      <c r="B1733" s="29" t="s">
        <v>122</v>
      </c>
      <c r="C1733" s="29" t="s">
        <v>58</v>
      </c>
      <c r="D1733" s="29" t="s">
        <v>3793</v>
      </c>
      <c r="E1733" s="29" t="s">
        <v>3761</v>
      </c>
      <c r="F1733" s="29" t="s">
        <v>3789</v>
      </c>
      <c r="G1733" s="29" t="s">
        <v>37</v>
      </c>
      <c r="H1733" s="29" t="s">
        <v>3148</v>
      </c>
      <c r="I1733" s="29" t="s">
        <v>190</v>
      </c>
      <c r="J1733" s="29" t="s">
        <v>3529</v>
      </c>
      <c r="K1733" s="29" t="s">
        <v>298</v>
      </c>
      <c r="L1733" s="29" t="s">
        <v>31</v>
      </c>
      <c r="M1733" s="29" t="n">
        <v>1500</v>
      </c>
      <c r="N1733" s="29" t="n">
        <v>2400</v>
      </c>
      <c r="O1733" s="29"/>
      <c r="P1733" s="30" t="n">
        <f aca="false">(M1733*N1733/1000000)*INDEX(AreaRate_Vals,MATCH(C1733,AreaRate_Keys,0))+INDEX(Hardware_Vals,MATCH("Louvres &amp; Privacy Screens",Hardware_Keys,0))</f>
        <v>5550</v>
      </c>
      <c r="Q1733" s="31" t="n">
        <f aca="false">INDEX(Markup_Vals,MATCH("Railing &amp; Screening Systems",MarkupCat_Keys,0))</f>
        <v>0.42</v>
      </c>
      <c r="R1733" s="32" t="n">
        <f aca="false">P1733*(1+Q1733)</f>
        <v>7881</v>
      </c>
      <c r="S1733" s="32" t="n">
        <f aca="false">R1733*(1-TradeDiscount)</f>
        <v>6935.28</v>
      </c>
      <c r="T1733" s="32" t="n">
        <f aca="false">R1733*(1-VolumeDiscount)</f>
        <v>6304.8</v>
      </c>
    </row>
    <row r="1734" customFormat="false" ht="15" hidden="false" customHeight="false" outlineLevel="0" collapsed="false">
      <c r="A1734" s="25" t="s">
        <v>3794</v>
      </c>
      <c r="B1734" s="25" t="s">
        <v>122</v>
      </c>
      <c r="C1734" s="25" t="s">
        <v>58</v>
      </c>
      <c r="D1734" s="25" t="s">
        <v>3795</v>
      </c>
      <c r="E1734" s="25" t="s">
        <v>3761</v>
      </c>
      <c r="F1734" s="25" t="s">
        <v>3789</v>
      </c>
      <c r="G1734" s="25" t="s">
        <v>39</v>
      </c>
      <c r="H1734" s="25" t="s">
        <v>3148</v>
      </c>
      <c r="I1734" s="25" t="s">
        <v>190</v>
      </c>
      <c r="J1734" s="25" t="s">
        <v>3529</v>
      </c>
      <c r="K1734" s="25" t="s">
        <v>298</v>
      </c>
      <c r="L1734" s="25" t="s">
        <v>31</v>
      </c>
      <c r="M1734" s="25" t="n">
        <v>1500</v>
      </c>
      <c r="N1734" s="25" t="n">
        <v>2400</v>
      </c>
      <c r="O1734" s="25"/>
      <c r="P1734" s="26" t="n">
        <f aca="false">(M1734*N1734/1000000)*INDEX(AreaRate_Vals,MATCH(C1734,AreaRate_Keys,0))+INDEX(Hardware_Vals,MATCH("Louvres &amp; Privacy Screens",Hardware_Keys,0))</f>
        <v>5550</v>
      </c>
      <c r="Q1734" s="27" t="n">
        <f aca="false">INDEX(Markup_Vals,MATCH("Railing &amp; Screening Systems",MarkupCat_Keys,0))</f>
        <v>0.42</v>
      </c>
      <c r="R1734" s="28" t="n">
        <f aca="false">P1734*(1+Q1734)</f>
        <v>7881</v>
      </c>
      <c r="S1734" s="28" t="n">
        <f aca="false">R1734*(1-TradeDiscount)</f>
        <v>6935.28</v>
      </c>
      <c r="T1734" s="28" t="n">
        <f aca="false">R1734*(1-VolumeDiscount)</f>
        <v>6304.8</v>
      </c>
    </row>
    <row r="1735" customFormat="false" ht="15" hidden="false" customHeight="false" outlineLevel="0" collapsed="false">
      <c r="A1735" s="29" t="s">
        <v>3796</v>
      </c>
      <c r="B1735" s="29" t="s">
        <v>122</v>
      </c>
      <c r="C1735" s="29" t="s">
        <v>58</v>
      </c>
      <c r="D1735" s="29" t="s">
        <v>3797</v>
      </c>
      <c r="E1735" s="29" t="s">
        <v>3761</v>
      </c>
      <c r="F1735" s="29" t="s">
        <v>3798</v>
      </c>
      <c r="G1735" s="29" t="s">
        <v>35</v>
      </c>
      <c r="H1735" s="29" t="s">
        <v>3148</v>
      </c>
      <c r="I1735" s="29" t="s">
        <v>190</v>
      </c>
      <c r="J1735" s="29" t="s">
        <v>3529</v>
      </c>
      <c r="K1735" s="29" t="s">
        <v>298</v>
      </c>
      <c r="L1735" s="29" t="s">
        <v>31</v>
      </c>
      <c r="M1735" s="29" t="n">
        <v>2000</v>
      </c>
      <c r="N1735" s="29" t="n">
        <v>2400</v>
      </c>
      <c r="O1735" s="29"/>
      <c r="P1735" s="30" t="n">
        <f aca="false">(M1735*N1735/1000000)*INDEX(AreaRate_Vals,MATCH(C1735,AreaRate_Keys,0))+INDEX(Hardware_Vals,MATCH("Louvres &amp; Privacy Screens",Hardware_Keys,0))</f>
        <v>7350</v>
      </c>
      <c r="Q1735" s="31" t="n">
        <f aca="false">INDEX(Markup_Vals,MATCH("Railing &amp; Screening Systems",MarkupCat_Keys,0))</f>
        <v>0.42</v>
      </c>
      <c r="R1735" s="32" t="n">
        <f aca="false">P1735*(1+Q1735)</f>
        <v>10437</v>
      </c>
      <c r="S1735" s="32" t="n">
        <f aca="false">R1735*(1-TradeDiscount)</f>
        <v>9184.56</v>
      </c>
      <c r="T1735" s="32" t="n">
        <f aca="false">R1735*(1-VolumeDiscount)</f>
        <v>8349.6</v>
      </c>
    </row>
    <row r="1736" customFormat="false" ht="15" hidden="false" customHeight="false" outlineLevel="0" collapsed="false">
      <c r="A1736" s="25" t="s">
        <v>3799</v>
      </c>
      <c r="B1736" s="25" t="s">
        <v>122</v>
      </c>
      <c r="C1736" s="25" t="s">
        <v>58</v>
      </c>
      <c r="D1736" s="25" t="s">
        <v>3800</v>
      </c>
      <c r="E1736" s="25" t="s">
        <v>3761</v>
      </c>
      <c r="F1736" s="25" t="s">
        <v>3798</v>
      </c>
      <c r="G1736" s="25" t="s">
        <v>36</v>
      </c>
      <c r="H1736" s="25" t="s">
        <v>3148</v>
      </c>
      <c r="I1736" s="25" t="s">
        <v>190</v>
      </c>
      <c r="J1736" s="25" t="s">
        <v>3529</v>
      </c>
      <c r="K1736" s="25" t="s">
        <v>298</v>
      </c>
      <c r="L1736" s="25" t="s">
        <v>31</v>
      </c>
      <c r="M1736" s="25" t="n">
        <v>2000</v>
      </c>
      <c r="N1736" s="25" t="n">
        <v>2400</v>
      </c>
      <c r="O1736" s="25"/>
      <c r="P1736" s="26" t="n">
        <f aca="false">(M1736*N1736/1000000)*INDEX(AreaRate_Vals,MATCH(C1736,AreaRate_Keys,0))+INDEX(Hardware_Vals,MATCH("Louvres &amp; Privacy Screens",Hardware_Keys,0))</f>
        <v>7350</v>
      </c>
      <c r="Q1736" s="27" t="n">
        <f aca="false">INDEX(Markup_Vals,MATCH("Railing &amp; Screening Systems",MarkupCat_Keys,0))</f>
        <v>0.42</v>
      </c>
      <c r="R1736" s="28" t="n">
        <f aca="false">P1736*(1+Q1736)</f>
        <v>10437</v>
      </c>
      <c r="S1736" s="28" t="n">
        <f aca="false">R1736*(1-TradeDiscount)</f>
        <v>9184.56</v>
      </c>
      <c r="T1736" s="28" t="n">
        <f aca="false">R1736*(1-VolumeDiscount)</f>
        <v>8349.6</v>
      </c>
    </row>
    <row r="1737" customFormat="false" ht="15" hidden="false" customHeight="false" outlineLevel="0" collapsed="false">
      <c r="A1737" s="29" t="s">
        <v>3801</v>
      </c>
      <c r="B1737" s="29" t="s">
        <v>122</v>
      </c>
      <c r="C1737" s="29" t="s">
        <v>58</v>
      </c>
      <c r="D1737" s="29" t="s">
        <v>3802</v>
      </c>
      <c r="E1737" s="29" t="s">
        <v>3761</v>
      </c>
      <c r="F1737" s="29" t="s">
        <v>3798</v>
      </c>
      <c r="G1737" s="29" t="s">
        <v>37</v>
      </c>
      <c r="H1737" s="29" t="s">
        <v>3148</v>
      </c>
      <c r="I1737" s="29" t="s">
        <v>190</v>
      </c>
      <c r="J1737" s="29" t="s">
        <v>3529</v>
      </c>
      <c r="K1737" s="29" t="s">
        <v>298</v>
      </c>
      <c r="L1737" s="29" t="s">
        <v>31</v>
      </c>
      <c r="M1737" s="29" t="n">
        <v>2000</v>
      </c>
      <c r="N1737" s="29" t="n">
        <v>2400</v>
      </c>
      <c r="O1737" s="29"/>
      <c r="P1737" s="30" t="n">
        <f aca="false">(M1737*N1737/1000000)*INDEX(AreaRate_Vals,MATCH(C1737,AreaRate_Keys,0))+INDEX(Hardware_Vals,MATCH("Louvres &amp; Privacy Screens",Hardware_Keys,0))</f>
        <v>7350</v>
      </c>
      <c r="Q1737" s="31" t="n">
        <f aca="false">INDEX(Markup_Vals,MATCH("Railing &amp; Screening Systems",MarkupCat_Keys,0))</f>
        <v>0.42</v>
      </c>
      <c r="R1737" s="32" t="n">
        <f aca="false">P1737*(1+Q1737)</f>
        <v>10437</v>
      </c>
      <c r="S1737" s="32" t="n">
        <f aca="false">R1737*(1-TradeDiscount)</f>
        <v>9184.56</v>
      </c>
      <c r="T1737" s="32" t="n">
        <f aca="false">R1737*(1-VolumeDiscount)</f>
        <v>8349.6</v>
      </c>
    </row>
    <row r="1738" customFormat="false" ht="15" hidden="false" customHeight="false" outlineLevel="0" collapsed="false">
      <c r="A1738" s="25" t="s">
        <v>3803</v>
      </c>
      <c r="B1738" s="25" t="s">
        <v>122</v>
      </c>
      <c r="C1738" s="25" t="s">
        <v>58</v>
      </c>
      <c r="D1738" s="25" t="s">
        <v>3804</v>
      </c>
      <c r="E1738" s="25" t="s">
        <v>3761</v>
      </c>
      <c r="F1738" s="25" t="s">
        <v>3798</v>
      </c>
      <c r="G1738" s="25" t="s">
        <v>39</v>
      </c>
      <c r="H1738" s="25" t="s">
        <v>3148</v>
      </c>
      <c r="I1738" s="25" t="s">
        <v>190</v>
      </c>
      <c r="J1738" s="25" t="s">
        <v>3529</v>
      </c>
      <c r="K1738" s="25" t="s">
        <v>298</v>
      </c>
      <c r="L1738" s="25" t="s">
        <v>31</v>
      </c>
      <c r="M1738" s="25" t="n">
        <v>2000</v>
      </c>
      <c r="N1738" s="25" t="n">
        <v>2400</v>
      </c>
      <c r="O1738" s="25"/>
      <c r="P1738" s="26" t="n">
        <f aca="false">(M1738*N1738/1000000)*INDEX(AreaRate_Vals,MATCH(C1738,AreaRate_Keys,0))+INDEX(Hardware_Vals,MATCH("Louvres &amp; Privacy Screens",Hardware_Keys,0))</f>
        <v>7350</v>
      </c>
      <c r="Q1738" s="27" t="n">
        <f aca="false">INDEX(Markup_Vals,MATCH("Railing &amp; Screening Systems",MarkupCat_Keys,0))</f>
        <v>0.42</v>
      </c>
      <c r="R1738" s="28" t="n">
        <f aca="false">P1738*(1+Q1738)</f>
        <v>10437</v>
      </c>
      <c r="S1738" s="28" t="n">
        <f aca="false">R1738*(1-TradeDiscount)</f>
        <v>9184.56</v>
      </c>
      <c r="T1738" s="28" t="n">
        <f aca="false">R1738*(1-VolumeDiscount)</f>
        <v>8349.6</v>
      </c>
    </row>
    <row r="1739" customFormat="false" ht="15" hidden="false" customHeight="false" outlineLevel="0" collapsed="false">
      <c r="A1739" s="29" t="s">
        <v>3805</v>
      </c>
      <c r="B1739" s="29" t="s">
        <v>122</v>
      </c>
      <c r="C1739" s="29" t="s">
        <v>58</v>
      </c>
      <c r="D1739" s="29" t="s">
        <v>3806</v>
      </c>
      <c r="E1739" s="29" t="s">
        <v>3761</v>
      </c>
      <c r="F1739" s="29" t="s">
        <v>3807</v>
      </c>
      <c r="G1739" s="29" t="s">
        <v>35</v>
      </c>
      <c r="H1739" s="29" t="s">
        <v>3148</v>
      </c>
      <c r="I1739" s="29" t="s">
        <v>190</v>
      </c>
      <c r="J1739" s="29" t="s">
        <v>3529</v>
      </c>
      <c r="K1739" s="29" t="s">
        <v>298</v>
      </c>
      <c r="L1739" s="29" t="s">
        <v>31</v>
      </c>
      <c r="M1739" s="29" t="n">
        <v>3000</v>
      </c>
      <c r="N1739" s="29" t="n">
        <v>2400</v>
      </c>
      <c r="O1739" s="29"/>
      <c r="P1739" s="30" t="n">
        <f aca="false">(M1739*N1739/1000000)*INDEX(AreaRate_Vals,MATCH(C1739,AreaRate_Keys,0))+INDEX(Hardware_Vals,MATCH("Louvres &amp; Privacy Screens",Hardware_Keys,0))</f>
        <v>10950</v>
      </c>
      <c r="Q1739" s="31" t="n">
        <f aca="false">INDEX(Markup_Vals,MATCH("Railing &amp; Screening Systems",MarkupCat_Keys,0))</f>
        <v>0.42</v>
      </c>
      <c r="R1739" s="32" t="n">
        <f aca="false">P1739*(1+Q1739)</f>
        <v>15549</v>
      </c>
      <c r="S1739" s="32" t="n">
        <f aca="false">R1739*(1-TradeDiscount)</f>
        <v>13683.12</v>
      </c>
      <c r="T1739" s="32" t="n">
        <f aca="false">R1739*(1-VolumeDiscount)</f>
        <v>12439.2</v>
      </c>
    </row>
    <row r="1740" customFormat="false" ht="15" hidden="false" customHeight="false" outlineLevel="0" collapsed="false">
      <c r="A1740" s="25" t="s">
        <v>3808</v>
      </c>
      <c r="B1740" s="25" t="s">
        <v>122</v>
      </c>
      <c r="C1740" s="25" t="s">
        <v>58</v>
      </c>
      <c r="D1740" s="25" t="s">
        <v>3809</v>
      </c>
      <c r="E1740" s="25" t="s">
        <v>3761</v>
      </c>
      <c r="F1740" s="25" t="s">
        <v>3807</v>
      </c>
      <c r="G1740" s="25" t="s">
        <v>36</v>
      </c>
      <c r="H1740" s="25" t="s">
        <v>3148</v>
      </c>
      <c r="I1740" s="25" t="s">
        <v>190</v>
      </c>
      <c r="J1740" s="25" t="s">
        <v>3529</v>
      </c>
      <c r="K1740" s="25" t="s">
        <v>298</v>
      </c>
      <c r="L1740" s="25" t="s">
        <v>31</v>
      </c>
      <c r="M1740" s="25" t="n">
        <v>3000</v>
      </c>
      <c r="N1740" s="25" t="n">
        <v>2400</v>
      </c>
      <c r="O1740" s="25"/>
      <c r="P1740" s="26" t="n">
        <f aca="false">(M1740*N1740/1000000)*INDEX(AreaRate_Vals,MATCH(C1740,AreaRate_Keys,0))+INDEX(Hardware_Vals,MATCH("Louvres &amp; Privacy Screens",Hardware_Keys,0))</f>
        <v>10950</v>
      </c>
      <c r="Q1740" s="27" t="n">
        <f aca="false">INDEX(Markup_Vals,MATCH("Railing &amp; Screening Systems",MarkupCat_Keys,0))</f>
        <v>0.42</v>
      </c>
      <c r="R1740" s="28" t="n">
        <f aca="false">P1740*(1+Q1740)</f>
        <v>15549</v>
      </c>
      <c r="S1740" s="28" t="n">
        <f aca="false">R1740*(1-TradeDiscount)</f>
        <v>13683.12</v>
      </c>
      <c r="T1740" s="28" t="n">
        <f aca="false">R1740*(1-VolumeDiscount)</f>
        <v>12439.2</v>
      </c>
    </row>
    <row r="1741" customFormat="false" ht="15" hidden="false" customHeight="false" outlineLevel="0" collapsed="false">
      <c r="A1741" s="29" t="s">
        <v>3810</v>
      </c>
      <c r="B1741" s="29" t="s">
        <v>122</v>
      </c>
      <c r="C1741" s="29" t="s">
        <v>58</v>
      </c>
      <c r="D1741" s="29" t="s">
        <v>3811</v>
      </c>
      <c r="E1741" s="29" t="s">
        <v>3761</v>
      </c>
      <c r="F1741" s="29" t="s">
        <v>3807</v>
      </c>
      <c r="G1741" s="29" t="s">
        <v>37</v>
      </c>
      <c r="H1741" s="29" t="s">
        <v>3148</v>
      </c>
      <c r="I1741" s="29" t="s">
        <v>190</v>
      </c>
      <c r="J1741" s="29" t="s">
        <v>3529</v>
      </c>
      <c r="K1741" s="29" t="s">
        <v>298</v>
      </c>
      <c r="L1741" s="29" t="s">
        <v>31</v>
      </c>
      <c r="M1741" s="29" t="n">
        <v>3000</v>
      </c>
      <c r="N1741" s="29" t="n">
        <v>2400</v>
      </c>
      <c r="O1741" s="29"/>
      <c r="P1741" s="30" t="n">
        <f aca="false">(M1741*N1741/1000000)*INDEX(AreaRate_Vals,MATCH(C1741,AreaRate_Keys,0))+INDEX(Hardware_Vals,MATCH("Louvres &amp; Privacy Screens",Hardware_Keys,0))</f>
        <v>10950</v>
      </c>
      <c r="Q1741" s="31" t="n">
        <f aca="false">INDEX(Markup_Vals,MATCH("Railing &amp; Screening Systems",MarkupCat_Keys,0))</f>
        <v>0.42</v>
      </c>
      <c r="R1741" s="32" t="n">
        <f aca="false">P1741*(1+Q1741)</f>
        <v>15549</v>
      </c>
      <c r="S1741" s="32" t="n">
        <f aca="false">R1741*(1-TradeDiscount)</f>
        <v>13683.12</v>
      </c>
      <c r="T1741" s="32" t="n">
        <f aca="false">R1741*(1-VolumeDiscount)</f>
        <v>12439.2</v>
      </c>
    </row>
    <row r="1742" customFormat="false" ht="15" hidden="false" customHeight="false" outlineLevel="0" collapsed="false">
      <c r="A1742" s="25" t="s">
        <v>3812</v>
      </c>
      <c r="B1742" s="25" t="s">
        <v>122</v>
      </c>
      <c r="C1742" s="25" t="s">
        <v>58</v>
      </c>
      <c r="D1742" s="25" t="s">
        <v>3813</v>
      </c>
      <c r="E1742" s="25" t="s">
        <v>3761</v>
      </c>
      <c r="F1742" s="25" t="s">
        <v>3807</v>
      </c>
      <c r="G1742" s="25" t="s">
        <v>39</v>
      </c>
      <c r="H1742" s="25" t="s">
        <v>3148</v>
      </c>
      <c r="I1742" s="25" t="s">
        <v>190</v>
      </c>
      <c r="J1742" s="25" t="s">
        <v>3529</v>
      </c>
      <c r="K1742" s="25" t="s">
        <v>298</v>
      </c>
      <c r="L1742" s="25" t="s">
        <v>31</v>
      </c>
      <c r="M1742" s="25" t="n">
        <v>3000</v>
      </c>
      <c r="N1742" s="25" t="n">
        <v>2400</v>
      </c>
      <c r="O1742" s="25"/>
      <c r="P1742" s="26" t="n">
        <f aca="false">(M1742*N1742/1000000)*INDEX(AreaRate_Vals,MATCH(C1742,AreaRate_Keys,0))+INDEX(Hardware_Vals,MATCH("Louvres &amp; Privacy Screens",Hardware_Keys,0))</f>
        <v>10950</v>
      </c>
      <c r="Q1742" s="27" t="n">
        <f aca="false">INDEX(Markup_Vals,MATCH("Railing &amp; Screening Systems",MarkupCat_Keys,0))</f>
        <v>0.42</v>
      </c>
      <c r="R1742" s="28" t="n">
        <f aca="false">P1742*(1+Q1742)</f>
        <v>15549</v>
      </c>
      <c r="S1742" s="28" t="n">
        <f aca="false">R1742*(1-TradeDiscount)</f>
        <v>13683.12</v>
      </c>
      <c r="T1742" s="28" t="n">
        <f aca="false">R1742*(1-VolumeDiscount)</f>
        <v>12439.2</v>
      </c>
    </row>
    <row r="1743" customFormat="false" ht="15" hidden="false" customHeight="false" outlineLevel="0" collapsed="false">
      <c r="A1743" s="29" t="s">
        <v>3814</v>
      </c>
      <c r="B1743" s="29" t="s">
        <v>122</v>
      </c>
      <c r="C1743" s="29" t="s">
        <v>58</v>
      </c>
      <c r="D1743" s="29" t="s">
        <v>3815</v>
      </c>
      <c r="E1743" s="29" t="s">
        <v>3816</v>
      </c>
      <c r="F1743" s="29" t="s">
        <v>3762</v>
      </c>
      <c r="G1743" s="29" t="s">
        <v>35</v>
      </c>
      <c r="H1743" s="29" t="s">
        <v>3148</v>
      </c>
      <c r="I1743" s="29" t="s">
        <v>190</v>
      </c>
      <c r="J1743" s="29" t="s">
        <v>3529</v>
      </c>
      <c r="K1743" s="29" t="s">
        <v>298</v>
      </c>
      <c r="L1743" s="29" t="s">
        <v>31</v>
      </c>
      <c r="M1743" s="29" t="n">
        <v>1000</v>
      </c>
      <c r="N1743" s="29" t="n">
        <v>1800</v>
      </c>
      <c r="O1743" s="29"/>
      <c r="P1743" s="30" t="n">
        <f aca="false">(M1743*N1743/1000000)*INDEX(AreaRate_Vals,MATCH(C1743,AreaRate_Keys,0))+INDEX(Hardware_Vals,MATCH("Louvres &amp; Privacy Screens",Hardware_Keys,0))</f>
        <v>2850</v>
      </c>
      <c r="Q1743" s="31" t="n">
        <f aca="false">INDEX(Markup_Vals,MATCH("Railing &amp; Screening Systems",MarkupCat_Keys,0))</f>
        <v>0.42</v>
      </c>
      <c r="R1743" s="32" t="n">
        <f aca="false">P1743*(1+Q1743)</f>
        <v>4047</v>
      </c>
      <c r="S1743" s="32" t="n">
        <f aca="false">R1743*(1-TradeDiscount)</f>
        <v>3561.36</v>
      </c>
      <c r="T1743" s="32" t="n">
        <f aca="false">R1743*(1-VolumeDiscount)</f>
        <v>3237.6</v>
      </c>
    </row>
    <row r="1744" customFormat="false" ht="15" hidden="false" customHeight="false" outlineLevel="0" collapsed="false">
      <c r="A1744" s="25" t="s">
        <v>3817</v>
      </c>
      <c r="B1744" s="25" t="s">
        <v>122</v>
      </c>
      <c r="C1744" s="25" t="s">
        <v>58</v>
      </c>
      <c r="D1744" s="25" t="s">
        <v>3818</v>
      </c>
      <c r="E1744" s="25" t="s">
        <v>3816</v>
      </c>
      <c r="F1744" s="25" t="s">
        <v>3762</v>
      </c>
      <c r="G1744" s="25" t="s">
        <v>36</v>
      </c>
      <c r="H1744" s="25" t="s">
        <v>3148</v>
      </c>
      <c r="I1744" s="25" t="s">
        <v>190</v>
      </c>
      <c r="J1744" s="25" t="s">
        <v>3529</v>
      </c>
      <c r="K1744" s="25" t="s">
        <v>298</v>
      </c>
      <c r="L1744" s="25" t="s">
        <v>31</v>
      </c>
      <c r="M1744" s="25" t="n">
        <v>1000</v>
      </c>
      <c r="N1744" s="25" t="n">
        <v>1800</v>
      </c>
      <c r="O1744" s="25"/>
      <c r="P1744" s="26" t="n">
        <f aca="false">(M1744*N1744/1000000)*INDEX(AreaRate_Vals,MATCH(C1744,AreaRate_Keys,0))+INDEX(Hardware_Vals,MATCH("Louvres &amp; Privacy Screens",Hardware_Keys,0))</f>
        <v>2850</v>
      </c>
      <c r="Q1744" s="27" t="n">
        <f aca="false">INDEX(Markup_Vals,MATCH("Railing &amp; Screening Systems",MarkupCat_Keys,0))</f>
        <v>0.42</v>
      </c>
      <c r="R1744" s="28" t="n">
        <f aca="false">P1744*(1+Q1744)</f>
        <v>4047</v>
      </c>
      <c r="S1744" s="28" t="n">
        <f aca="false">R1744*(1-TradeDiscount)</f>
        <v>3561.36</v>
      </c>
      <c r="T1744" s="28" t="n">
        <f aca="false">R1744*(1-VolumeDiscount)</f>
        <v>3237.6</v>
      </c>
    </row>
    <row r="1745" customFormat="false" ht="15" hidden="false" customHeight="false" outlineLevel="0" collapsed="false">
      <c r="A1745" s="29" t="s">
        <v>3819</v>
      </c>
      <c r="B1745" s="29" t="s">
        <v>122</v>
      </c>
      <c r="C1745" s="29" t="s">
        <v>58</v>
      </c>
      <c r="D1745" s="29" t="s">
        <v>3820</v>
      </c>
      <c r="E1745" s="29" t="s">
        <v>3816</v>
      </c>
      <c r="F1745" s="29" t="s">
        <v>3762</v>
      </c>
      <c r="G1745" s="29" t="s">
        <v>37</v>
      </c>
      <c r="H1745" s="29" t="s">
        <v>3148</v>
      </c>
      <c r="I1745" s="29" t="s">
        <v>190</v>
      </c>
      <c r="J1745" s="29" t="s">
        <v>3529</v>
      </c>
      <c r="K1745" s="29" t="s">
        <v>298</v>
      </c>
      <c r="L1745" s="29" t="s">
        <v>31</v>
      </c>
      <c r="M1745" s="29" t="n">
        <v>1000</v>
      </c>
      <c r="N1745" s="29" t="n">
        <v>1800</v>
      </c>
      <c r="O1745" s="29"/>
      <c r="P1745" s="30" t="n">
        <f aca="false">(M1745*N1745/1000000)*INDEX(AreaRate_Vals,MATCH(C1745,AreaRate_Keys,0))+INDEX(Hardware_Vals,MATCH("Louvres &amp; Privacy Screens",Hardware_Keys,0))</f>
        <v>2850</v>
      </c>
      <c r="Q1745" s="31" t="n">
        <f aca="false">INDEX(Markup_Vals,MATCH("Railing &amp; Screening Systems",MarkupCat_Keys,0))</f>
        <v>0.42</v>
      </c>
      <c r="R1745" s="32" t="n">
        <f aca="false">P1745*(1+Q1745)</f>
        <v>4047</v>
      </c>
      <c r="S1745" s="32" t="n">
        <f aca="false">R1745*(1-TradeDiscount)</f>
        <v>3561.36</v>
      </c>
      <c r="T1745" s="32" t="n">
        <f aca="false">R1745*(1-VolumeDiscount)</f>
        <v>3237.6</v>
      </c>
    </row>
    <row r="1746" customFormat="false" ht="15" hidden="false" customHeight="false" outlineLevel="0" collapsed="false">
      <c r="A1746" s="25" t="s">
        <v>3821</v>
      </c>
      <c r="B1746" s="25" t="s">
        <v>122</v>
      </c>
      <c r="C1746" s="25" t="s">
        <v>58</v>
      </c>
      <c r="D1746" s="25" t="s">
        <v>3822</v>
      </c>
      <c r="E1746" s="25" t="s">
        <v>3816</v>
      </c>
      <c r="F1746" s="25" t="s">
        <v>3762</v>
      </c>
      <c r="G1746" s="25" t="s">
        <v>39</v>
      </c>
      <c r="H1746" s="25" t="s">
        <v>3148</v>
      </c>
      <c r="I1746" s="25" t="s">
        <v>190</v>
      </c>
      <c r="J1746" s="25" t="s">
        <v>3529</v>
      </c>
      <c r="K1746" s="25" t="s">
        <v>298</v>
      </c>
      <c r="L1746" s="25" t="s">
        <v>31</v>
      </c>
      <c r="M1746" s="25" t="n">
        <v>1000</v>
      </c>
      <c r="N1746" s="25" t="n">
        <v>1800</v>
      </c>
      <c r="O1746" s="25"/>
      <c r="P1746" s="26" t="n">
        <f aca="false">(M1746*N1746/1000000)*INDEX(AreaRate_Vals,MATCH(C1746,AreaRate_Keys,0))+INDEX(Hardware_Vals,MATCH("Louvres &amp; Privacy Screens",Hardware_Keys,0))</f>
        <v>2850</v>
      </c>
      <c r="Q1746" s="27" t="n">
        <f aca="false">INDEX(Markup_Vals,MATCH("Railing &amp; Screening Systems",MarkupCat_Keys,0))</f>
        <v>0.42</v>
      </c>
      <c r="R1746" s="28" t="n">
        <f aca="false">P1746*(1+Q1746)</f>
        <v>4047</v>
      </c>
      <c r="S1746" s="28" t="n">
        <f aca="false">R1746*(1-TradeDiscount)</f>
        <v>3561.36</v>
      </c>
      <c r="T1746" s="28" t="n">
        <f aca="false">R1746*(1-VolumeDiscount)</f>
        <v>3237.6</v>
      </c>
    </row>
    <row r="1747" customFormat="false" ht="15" hidden="false" customHeight="false" outlineLevel="0" collapsed="false">
      <c r="A1747" s="29" t="s">
        <v>3823</v>
      </c>
      <c r="B1747" s="29" t="s">
        <v>122</v>
      </c>
      <c r="C1747" s="29" t="s">
        <v>58</v>
      </c>
      <c r="D1747" s="29" t="s">
        <v>3824</v>
      </c>
      <c r="E1747" s="29" t="s">
        <v>3816</v>
      </c>
      <c r="F1747" s="29" t="s">
        <v>3771</v>
      </c>
      <c r="G1747" s="29" t="s">
        <v>35</v>
      </c>
      <c r="H1747" s="29" t="s">
        <v>3148</v>
      </c>
      <c r="I1747" s="29" t="s">
        <v>190</v>
      </c>
      <c r="J1747" s="29" t="s">
        <v>3529</v>
      </c>
      <c r="K1747" s="29" t="s">
        <v>298</v>
      </c>
      <c r="L1747" s="29" t="s">
        <v>31</v>
      </c>
      <c r="M1747" s="29" t="n">
        <v>1500</v>
      </c>
      <c r="N1747" s="29" t="n">
        <v>1800</v>
      </c>
      <c r="O1747" s="29"/>
      <c r="P1747" s="30" t="n">
        <f aca="false">(M1747*N1747/1000000)*INDEX(AreaRate_Vals,MATCH(C1747,AreaRate_Keys,0))+INDEX(Hardware_Vals,MATCH("Louvres &amp; Privacy Screens",Hardware_Keys,0))</f>
        <v>4200</v>
      </c>
      <c r="Q1747" s="31" t="n">
        <f aca="false">INDEX(Markup_Vals,MATCH("Railing &amp; Screening Systems",MarkupCat_Keys,0))</f>
        <v>0.42</v>
      </c>
      <c r="R1747" s="32" t="n">
        <f aca="false">P1747*(1+Q1747)</f>
        <v>5964</v>
      </c>
      <c r="S1747" s="32" t="n">
        <f aca="false">R1747*(1-TradeDiscount)</f>
        <v>5248.32</v>
      </c>
      <c r="T1747" s="32" t="n">
        <f aca="false">R1747*(1-VolumeDiscount)</f>
        <v>4771.2</v>
      </c>
    </row>
    <row r="1748" customFormat="false" ht="15" hidden="false" customHeight="false" outlineLevel="0" collapsed="false">
      <c r="A1748" s="25" t="s">
        <v>3825</v>
      </c>
      <c r="B1748" s="25" t="s">
        <v>122</v>
      </c>
      <c r="C1748" s="25" t="s">
        <v>58</v>
      </c>
      <c r="D1748" s="25" t="s">
        <v>3826</v>
      </c>
      <c r="E1748" s="25" t="s">
        <v>3816</v>
      </c>
      <c r="F1748" s="25" t="s">
        <v>3771</v>
      </c>
      <c r="G1748" s="25" t="s">
        <v>36</v>
      </c>
      <c r="H1748" s="25" t="s">
        <v>3148</v>
      </c>
      <c r="I1748" s="25" t="s">
        <v>190</v>
      </c>
      <c r="J1748" s="25" t="s">
        <v>3529</v>
      </c>
      <c r="K1748" s="25" t="s">
        <v>298</v>
      </c>
      <c r="L1748" s="25" t="s">
        <v>31</v>
      </c>
      <c r="M1748" s="25" t="n">
        <v>1500</v>
      </c>
      <c r="N1748" s="25" t="n">
        <v>1800</v>
      </c>
      <c r="O1748" s="25"/>
      <c r="P1748" s="26" t="n">
        <f aca="false">(M1748*N1748/1000000)*INDEX(AreaRate_Vals,MATCH(C1748,AreaRate_Keys,0))+INDEX(Hardware_Vals,MATCH("Louvres &amp; Privacy Screens",Hardware_Keys,0))</f>
        <v>4200</v>
      </c>
      <c r="Q1748" s="27" t="n">
        <f aca="false">INDEX(Markup_Vals,MATCH("Railing &amp; Screening Systems",MarkupCat_Keys,0))</f>
        <v>0.42</v>
      </c>
      <c r="R1748" s="28" t="n">
        <f aca="false">P1748*(1+Q1748)</f>
        <v>5964</v>
      </c>
      <c r="S1748" s="28" t="n">
        <f aca="false">R1748*(1-TradeDiscount)</f>
        <v>5248.32</v>
      </c>
      <c r="T1748" s="28" t="n">
        <f aca="false">R1748*(1-VolumeDiscount)</f>
        <v>4771.2</v>
      </c>
    </row>
    <row r="1749" customFormat="false" ht="15" hidden="false" customHeight="false" outlineLevel="0" collapsed="false">
      <c r="A1749" s="29" t="s">
        <v>3827</v>
      </c>
      <c r="B1749" s="29" t="s">
        <v>122</v>
      </c>
      <c r="C1749" s="29" t="s">
        <v>58</v>
      </c>
      <c r="D1749" s="29" t="s">
        <v>3828</v>
      </c>
      <c r="E1749" s="29" t="s">
        <v>3816</v>
      </c>
      <c r="F1749" s="29" t="s">
        <v>3771</v>
      </c>
      <c r="G1749" s="29" t="s">
        <v>37</v>
      </c>
      <c r="H1749" s="29" t="s">
        <v>3148</v>
      </c>
      <c r="I1749" s="29" t="s">
        <v>190</v>
      </c>
      <c r="J1749" s="29" t="s">
        <v>3529</v>
      </c>
      <c r="K1749" s="29" t="s">
        <v>298</v>
      </c>
      <c r="L1749" s="29" t="s">
        <v>31</v>
      </c>
      <c r="M1749" s="29" t="n">
        <v>1500</v>
      </c>
      <c r="N1749" s="29" t="n">
        <v>1800</v>
      </c>
      <c r="O1749" s="29"/>
      <c r="P1749" s="30" t="n">
        <f aca="false">(M1749*N1749/1000000)*INDEX(AreaRate_Vals,MATCH(C1749,AreaRate_Keys,0))+INDEX(Hardware_Vals,MATCH("Louvres &amp; Privacy Screens",Hardware_Keys,0))</f>
        <v>4200</v>
      </c>
      <c r="Q1749" s="31" t="n">
        <f aca="false">INDEX(Markup_Vals,MATCH("Railing &amp; Screening Systems",MarkupCat_Keys,0))</f>
        <v>0.42</v>
      </c>
      <c r="R1749" s="32" t="n">
        <f aca="false">P1749*(1+Q1749)</f>
        <v>5964</v>
      </c>
      <c r="S1749" s="32" t="n">
        <f aca="false">R1749*(1-TradeDiscount)</f>
        <v>5248.32</v>
      </c>
      <c r="T1749" s="32" t="n">
        <f aca="false">R1749*(1-VolumeDiscount)</f>
        <v>4771.2</v>
      </c>
    </row>
    <row r="1750" customFormat="false" ht="15" hidden="false" customHeight="false" outlineLevel="0" collapsed="false">
      <c r="A1750" s="25" t="s">
        <v>3829</v>
      </c>
      <c r="B1750" s="25" t="s">
        <v>122</v>
      </c>
      <c r="C1750" s="25" t="s">
        <v>58</v>
      </c>
      <c r="D1750" s="25" t="s">
        <v>3830</v>
      </c>
      <c r="E1750" s="25" t="s">
        <v>3816</v>
      </c>
      <c r="F1750" s="25" t="s">
        <v>3771</v>
      </c>
      <c r="G1750" s="25" t="s">
        <v>39</v>
      </c>
      <c r="H1750" s="25" t="s">
        <v>3148</v>
      </c>
      <c r="I1750" s="25" t="s">
        <v>190</v>
      </c>
      <c r="J1750" s="25" t="s">
        <v>3529</v>
      </c>
      <c r="K1750" s="25" t="s">
        <v>298</v>
      </c>
      <c r="L1750" s="25" t="s">
        <v>31</v>
      </c>
      <c r="M1750" s="25" t="n">
        <v>1500</v>
      </c>
      <c r="N1750" s="25" t="n">
        <v>1800</v>
      </c>
      <c r="O1750" s="25"/>
      <c r="P1750" s="26" t="n">
        <f aca="false">(M1750*N1750/1000000)*INDEX(AreaRate_Vals,MATCH(C1750,AreaRate_Keys,0))+INDEX(Hardware_Vals,MATCH("Louvres &amp; Privacy Screens",Hardware_Keys,0))</f>
        <v>4200</v>
      </c>
      <c r="Q1750" s="27" t="n">
        <f aca="false">INDEX(Markup_Vals,MATCH("Railing &amp; Screening Systems",MarkupCat_Keys,0))</f>
        <v>0.42</v>
      </c>
      <c r="R1750" s="28" t="n">
        <f aca="false">P1750*(1+Q1750)</f>
        <v>5964</v>
      </c>
      <c r="S1750" s="28" t="n">
        <f aca="false">R1750*(1-TradeDiscount)</f>
        <v>5248.32</v>
      </c>
      <c r="T1750" s="28" t="n">
        <f aca="false">R1750*(1-VolumeDiscount)</f>
        <v>4771.2</v>
      </c>
    </row>
    <row r="1751" customFormat="false" ht="15" hidden="false" customHeight="false" outlineLevel="0" collapsed="false">
      <c r="A1751" s="29" t="s">
        <v>3831</v>
      </c>
      <c r="B1751" s="29" t="s">
        <v>122</v>
      </c>
      <c r="C1751" s="29" t="s">
        <v>58</v>
      </c>
      <c r="D1751" s="29" t="s">
        <v>3832</v>
      </c>
      <c r="E1751" s="29" t="s">
        <v>3816</v>
      </c>
      <c r="F1751" s="29" t="s">
        <v>3780</v>
      </c>
      <c r="G1751" s="29" t="s">
        <v>35</v>
      </c>
      <c r="H1751" s="29" t="s">
        <v>3148</v>
      </c>
      <c r="I1751" s="29" t="s">
        <v>190</v>
      </c>
      <c r="J1751" s="29" t="s">
        <v>3529</v>
      </c>
      <c r="K1751" s="29" t="s">
        <v>298</v>
      </c>
      <c r="L1751" s="29" t="s">
        <v>31</v>
      </c>
      <c r="M1751" s="29" t="n">
        <v>2000</v>
      </c>
      <c r="N1751" s="29" t="n">
        <v>1800</v>
      </c>
      <c r="O1751" s="29"/>
      <c r="P1751" s="30" t="n">
        <f aca="false">(M1751*N1751/1000000)*INDEX(AreaRate_Vals,MATCH(C1751,AreaRate_Keys,0))+INDEX(Hardware_Vals,MATCH("Louvres &amp; Privacy Screens",Hardware_Keys,0))</f>
        <v>5550</v>
      </c>
      <c r="Q1751" s="31" t="n">
        <f aca="false">INDEX(Markup_Vals,MATCH("Railing &amp; Screening Systems",MarkupCat_Keys,0))</f>
        <v>0.42</v>
      </c>
      <c r="R1751" s="32" t="n">
        <f aca="false">P1751*(1+Q1751)</f>
        <v>7881</v>
      </c>
      <c r="S1751" s="32" t="n">
        <f aca="false">R1751*(1-TradeDiscount)</f>
        <v>6935.28</v>
      </c>
      <c r="T1751" s="32" t="n">
        <f aca="false">R1751*(1-VolumeDiscount)</f>
        <v>6304.8</v>
      </c>
    </row>
    <row r="1752" customFormat="false" ht="15" hidden="false" customHeight="false" outlineLevel="0" collapsed="false">
      <c r="A1752" s="25" t="s">
        <v>3833</v>
      </c>
      <c r="B1752" s="25" t="s">
        <v>122</v>
      </c>
      <c r="C1752" s="25" t="s">
        <v>58</v>
      </c>
      <c r="D1752" s="25" t="s">
        <v>3834</v>
      </c>
      <c r="E1752" s="25" t="s">
        <v>3816</v>
      </c>
      <c r="F1752" s="25" t="s">
        <v>3780</v>
      </c>
      <c r="G1752" s="25" t="s">
        <v>36</v>
      </c>
      <c r="H1752" s="25" t="s">
        <v>3148</v>
      </c>
      <c r="I1752" s="25" t="s">
        <v>190</v>
      </c>
      <c r="J1752" s="25" t="s">
        <v>3529</v>
      </c>
      <c r="K1752" s="25" t="s">
        <v>298</v>
      </c>
      <c r="L1752" s="25" t="s">
        <v>31</v>
      </c>
      <c r="M1752" s="25" t="n">
        <v>2000</v>
      </c>
      <c r="N1752" s="25" t="n">
        <v>1800</v>
      </c>
      <c r="O1752" s="25"/>
      <c r="P1752" s="26" t="n">
        <f aca="false">(M1752*N1752/1000000)*INDEX(AreaRate_Vals,MATCH(C1752,AreaRate_Keys,0))+INDEX(Hardware_Vals,MATCH("Louvres &amp; Privacy Screens",Hardware_Keys,0))</f>
        <v>5550</v>
      </c>
      <c r="Q1752" s="27" t="n">
        <f aca="false">INDEX(Markup_Vals,MATCH("Railing &amp; Screening Systems",MarkupCat_Keys,0))</f>
        <v>0.42</v>
      </c>
      <c r="R1752" s="28" t="n">
        <f aca="false">P1752*(1+Q1752)</f>
        <v>7881</v>
      </c>
      <c r="S1752" s="28" t="n">
        <f aca="false">R1752*(1-TradeDiscount)</f>
        <v>6935.28</v>
      </c>
      <c r="T1752" s="28" t="n">
        <f aca="false">R1752*(1-VolumeDiscount)</f>
        <v>6304.8</v>
      </c>
    </row>
    <row r="1753" customFormat="false" ht="15" hidden="false" customHeight="false" outlineLevel="0" collapsed="false">
      <c r="A1753" s="29" t="s">
        <v>3835</v>
      </c>
      <c r="B1753" s="29" t="s">
        <v>122</v>
      </c>
      <c r="C1753" s="29" t="s">
        <v>58</v>
      </c>
      <c r="D1753" s="29" t="s">
        <v>3836</v>
      </c>
      <c r="E1753" s="29" t="s">
        <v>3816</v>
      </c>
      <c r="F1753" s="29" t="s">
        <v>3780</v>
      </c>
      <c r="G1753" s="29" t="s">
        <v>37</v>
      </c>
      <c r="H1753" s="29" t="s">
        <v>3148</v>
      </c>
      <c r="I1753" s="29" t="s">
        <v>190</v>
      </c>
      <c r="J1753" s="29" t="s">
        <v>3529</v>
      </c>
      <c r="K1753" s="29" t="s">
        <v>298</v>
      </c>
      <c r="L1753" s="29" t="s">
        <v>31</v>
      </c>
      <c r="M1753" s="29" t="n">
        <v>2000</v>
      </c>
      <c r="N1753" s="29" t="n">
        <v>1800</v>
      </c>
      <c r="O1753" s="29"/>
      <c r="P1753" s="30" t="n">
        <f aca="false">(M1753*N1753/1000000)*INDEX(AreaRate_Vals,MATCH(C1753,AreaRate_Keys,0))+INDEX(Hardware_Vals,MATCH("Louvres &amp; Privacy Screens",Hardware_Keys,0))</f>
        <v>5550</v>
      </c>
      <c r="Q1753" s="31" t="n">
        <f aca="false">INDEX(Markup_Vals,MATCH("Railing &amp; Screening Systems",MarkupCat_Keys,0))</f>
        <v>0.42</v>
      </c>
      <c r="R1753" s="32" t="n">
        <f aca="false">P1753*(1+Q1753)</f>
        <v>7881</v>
      </c>
      <c r="S1753" s="32" t="n">
        <f aca="false">R1753*(1-TradeDiscount)</f>
        <v>6935.28</v>
      </c>
      <c r="T1753" s="32" t="n">
        <f aca="false">R1753*(1-VolumeDiscount)</f>
        <v>6304.8</v>
      </c>
    </row>
    <row r="1754" customFormat="false" ht="15" hidden="false" customHeight="false" outlineLevel="0" collapsed="false">
      <c r="A1754" s="25" t="s">
        <v>3837</v>
      </c>
      <c r="B1754" s="25" t="s">
        <v>122</v>
      </c>
      <c r="C1754" s="25" t="s">
        <v>58</v>
      </c>
      <c r="D1754" s="25" t="s">
        <v>3838</v>
      </c>
      <c r="E1754" s="25" t="s">
        <v>3816</v>
      </c>
      <c r="F1754" s="25" t="s">
        <v>3780</v>
      </c>
      <c r="G1754" s="25" t="s">
        <v>39</v>
      </c>
      <c r="H1754" s="25" t="s">
        <v>3148</v>
      </c>
      <c r="I1754" s="25" t="s">
        <v>190</v>
      </c>
      <c r="J1754" s="25" t="s">
        <v>3529</v>
      </c>
      <c r="K1754" s="25" t="s">
        <v>298</v>
      </c>
      <c r="L1754" s="25" t="s">
        <v>31</v>
      </c>
      <c r="M1754" s="25" t="n">
        <v>2000</v>
      </c>
      <c r="N1754" s="25" t="n">
        <v>1800</v>
      </c>
      <c r="O1754" s="25"/>
      <c r="P1754" s="26" t="n">
        <f aca="false">(M1754*N1754/1000000)*INDEX(AreaRate_Vals,MATCH(C1754,AreaRate_Keys,0))+INDEX(Hardware_Vals,MATCH("Louvres &amp; Privacy Screens",Hardware_Keys,0))</f>
        <v>5550</v>
      </c>
      <c r="Q1754" s="27" t="n">
        <f aca="false">INDEX(Markup_Vals,MATCH("Railing &amp; Screening Systems",MarkupCat_Keys,0))</f>
        <v>0.42</v>
      </c>
      <c r="R1754" s="28" t="n">
        <f aca="false">P1754*(1+Q1754)</f>
        <v>7881</v>
      </c>
      <c r="S1754" s="28" t="n">
        <f aca="false">R1754*(1-TradeDiscount)</f>
        <v>6935.28</v>
      </c>
      <c r="T1754" s="28" t="n">
        <f aca="false">R1754*(1-VolumeDiscount)</f>
        <v>6304.8</v>
      </c>
    </row>
    <row r="1755" customFormat="false" ht="15" hidden="false" customHeight="false" outlineLevel="0" collapsed="false">
      <c r="A1755" s="29" t="s">
        <v>3839</v>
      </c>
      <c r="B1755" s="29" t="s">
        <v>122</v>
      </c>
      <c r="C1755" s="29" t="s">
        <v>58</v>
      </c>
      <c r="D1755" s="29" t="s">
        <v>3840</v>
      </c>
      <c r="E1755" s="29" t="s">
        <v>3816</v>
      </c>
      <c r="F1755" s="29" t="s">
        <v>3789</v>
      </c>
      <c r="G1755" s="29" t="s">
        <v>35</v>
      </c>
      <c r="H1755" s="29" t="s">
        <v>3148</v>
      </c>
      <c r="I1755" s="29" t="s">
        <v>190</v>
      </c>
      <c r="J1755" s="29" t="s">
        <v>3529</v>
      </c>
      <c r="K1755" s="29" t="s">
        <v>298</v>
      </c>
      <c r="L1755" s="29" t="s">
        <v>31</v>
      </c>
      <c r="M1755" s="29" t="n">
        <v>1500</v>
      </c>
      <c r="N1755" s="29" t="n">
        <v>2400</v>
      </c>
      <c r="O1755" s="29"/>
      <c r="P1755" s="30" t="n">
        <f aca="false">(M1755*N1755/1000000)*INDEX(AreaRate_Vals,MATCH(C1755,AreaRate_Keys,0))+INDEX(Hardware_Vals,MATCH("Louvres &amp; Privacy Screens",Hardware_Keys,0))</f>
        <v>5550</v>
      </c>
      <c r="Q1755" s="31" t="n">
        <f aca="false">INDEX(Markup_Vals,MATCH("Railing &amp; Screening Systems",MarkupCat_Keys,0))</f>
        <v>0.42</v>
      </c>
      <c r="R1755" s="32" t="n">
        <f aca="false">P1755*(1+Q1755)</f>
        <v>7881</v>
      </c>
      <c r="S1755" s="32" t="n">
        <f aca="false">R1755*(1-TradeDiscount)</f>
        <v>6935.28</v>
      </c>
      <c r="T1755" s="32" t="n">
        <f aca="false">R1755*(1-VolumeDiscount)</f>
        <v>6304.8</v>
      </c>
    </row>
    <row r="1756" customFormat="false" ht="15" hidden="false" customHeight="false" outlineLevel="0" collapsed="false">
      <c r="A1756" s="25" t="s">
        <v>3841</v>
      </c>
      <c r="B1756" s="25" t="s">
        <v>122</v>
      </c>
      <c r="C1756" s="25" t="s">
        <v>58</v>
      </c>
      <c r="D1756" s="25" t="s">
        <v>3842</v>
      </c>
      <c r="E1756" s="25" t="s">
        <v>3816</v>
      </c>
      <c r="F1756" s="25" t="s">
        <v>3789</v>
      </c>
      <c r="G1756" s="25" t="s">
        <v>36</v>
      </c>
      <c r="H1756" s="25" t="s">
        <v>3148</v>
      </c>
      <c r="I1756" s="25" t="s">
        <v>190</v>
      </c>
      <c r="J1756" s="25" t="s">
        <v>3529</v>
      </c>
      <c r="K1756" s="25" t="s">
        <v>298</v>
      </c>
      <c r="L1756" s="25" t="s">
        <v>31</v>
      </c>
      <c r="M1756" s="25" t="n">
        <v>1500</v>
      </c>
      <c r="N1756" s="25" t="n">
        <v>2400</v>
      </c>
      <c r="O1756" s="25"/>
      <c r="P1756" s="26" t="n">
        <f aca="false">(M1756*N1756/1000000)*INDEX(AreaRate_Vals,MATCH(C1756,AreaRate_Keys,0))+INDEX(Hardware_Vals,MATCH("Louvres &amp; Privacy Screens",Hardware_Keys,0))</f>
        <v>5550</v>
      </c>
      <c r="Q1756" s="27" t="n">
        <f aca="false">INDEX(Markup_Vals,MATCH("Railing &amp; Screening Systems",MarkupCat_Keys,0))</f>
        <v>0.42</v>
      </c>
      <c r="R1756" s="28" t="n">
        <f aca="false">P1756*(1+Q1756)</f>
        <v>7881</v>
      </c>
      <c r="S1756" s="28" t="n">
        <f aca="false">R1756*(1-TradeDiscount)</f>
        <v>6935.28</v>
      </c>
      <c r="T1756" s="28" t="n">
        <f aca="false">R1756*(1-VolumeDiscount)</f>
        <v>6304.8</v>
      </c>
    </row>
    <row r="1757" customFormat="false" ht="15" hidden="false" customHeight="false" outlineLevel="0" collapsed="false">
      <c r="A1757" s="29" t="s">
        <v>3843</v>
      </c>
      <c r="B1757" s="29" t="s">
        <v>122</v>
      </c>
      <c r="C1757" s="29" t="s">
        <v>58</v>
      </c>
      <c r="D1757" s="29" t="s">
        <v>3844</v>
      </c>
      <c r="E1757" s="29" t="s">
        <v>3816</v>
      </c>
      <c r="F1757" s="29" t="s">
        <v>3789</v>
      </c>
      <c r="G1757" s="29" t="s">
        <v>37</v>
      </c>
      <c r="H1757" s="29" t="s">
        <v>3148</v>
      </c>
      <c r="I1757" s="29" t="s">
        <v>190</v>
      </c>
      <c r="J1757" s="29" t="s">
        <v>3529</v>
      </c>
      <c r="K1757" s="29" t="s">
        <v>298</v>
      </c>
      <c r="L1757" s="29" t="s">
        <v>31</v>
      </c>
      <c r="M1757" s="29" t="n">
        <v>1500</v>
      </c>
      <c r="N1757" s="29" t="n">
        <v>2400</v>
      </c>
      <c r="O1757" s="29"/>
      <c r="P1757" s="30" t="n">
        <f aca="false">(M1757*N1757/1000000)*INDEX(AreaRate_Vals,MATCH(C1757,AreaRate_Keys,0))+INDEX(Hardware_Vals,MATCH("Louvres &amp; Privacy Screens",Hardware_Keys,0))</f>
        <v>5550</v>
      </c>
      <c r="Q1757" s="31" t="n">
        <f aca="false">INDEX(Markup_Vals,MATCH("Railing &amp; Screening Systems",MarkupCat_Keys,0))</f>
        <v>0.42</v>
      </c>
      <c r="R1757" s="32" t="n">
        <f aca="false">P1757*(1+Q1757)</f>
        <v>7881</v>
      </c>
      <c r="S1757" s="32" t="n">
        <f aca="false">R1757*(1-TradeDiscount)</f>
        <v>6935.28</v>
      </c>
      <c r="T1757" s="32" t="n">
        <f aca="false">R1757*(1-VolumeDiscount)</f>
        <v>6304.8</v>
      </c>
    </row>
    <row r="1758" customFormat="false" ht="15" hidden="false" customHeight="false" outlineLevel="0" collapsed="false">
      <c r="A1758" s="25" t="s">
        <v>3845</v>
      </c>
      <c r="B1758" s="25" t="s">
        <v>122</v>
      </c>
      <c r="C1758" s="25" t="s">
        <v>58</v>
      </c>
      <c r="D1758" s="25" t="s">
        <v>3846</v>
      </c>
      <c r="E1758" s="25" t="s">
        <v>3816</v>
      </c>
      <c r="F1758" s="25" t="s">
        <v>3789</v>
      </c>
      <c r="G1758" s="25" t="s">
        <v>39</v>
      </c>
      <c r="H1758" s="25" t="s">
        <v>3148</v>
      </c>
      <c r="I1758" s="25" t="s">
        <v>190</v>
      </c>
      <c r="J1758" s="25" t="s">
        <v>3529</v>
      </c>
      <c r="K1758" s="25" t="s">
        <v>298</v>
      </c>
      <c r="L1758" s="25" t="s">
        <v>31</v>
      </c>
      <c r="M1758" s="25" t="n">
        <v>1500</v>
      </c>
      <c r="N1758" s="25" t="n">
        <v>2400</v>
      </c>
      <c r="O1758" s="25"/>
      <c r="P1758" s="26" t="n">
        <f aca="false">(M1758*N1758/1000000)*INDEX(AreaRate_Vals,MATCH(C1758,AreaRate_Keys,0))+INDEX(Hardware_Vals,MATCH("Louvres &amp; Privacy Screens",Hardware_Keys,0))</f>
        <v>5550</v>
      </c>
      <c r="Q1758" s="27" t="n">
        <f aca="false">INDEX(Markup_Vals,MATCH("Railing &amp; Screening Systems",MarkupCat_Keys,0))</f>
        <v>0.42</v>
      </c>
      <c r="R1758" s="28" t="n">
        <f aca="false">P1758*(1+Q1758)</f>
        <v>7881</v>
      </c>
      <c r="S1758" s="28" t="n">
        <f aca="false">R1758*(1-TradeDiscount)</f>
        <v>6935.28</v>
      </c>
      <c r="T1758" s="28" t="n">
        <f aca="false">R1758*(1-VolumeDiscount)</f>
        <v>6304.8</v>
      </c>
    </row>
    <row r="1759" customFormat="false" ht="15" hidden="false" customHeight="false" outlineLevel="0" collapsed="false">
      <c r="A1759" s="29" t="s">
        <v>3847</v>
      </c>
      <c r="B1759" s="29" t="s">
        <v>122</v>
      </c>
      <c r="C1759" s="29" t="s">
        <v>58</v>
      </c>
      <c r="D1759" s="29" t="s">
        <v>3848</v>
      </c>
      <c r="E1759" s="29" t="s">
        <v>3816</v>
      </c>
      <c r="F1759" s="29" t="s">
        <v>3798</v>
      </c>
      <c r="G1759" s="29" t="s">
        <v>35</v>
      </c>
      <c r="H1759" s="29" t="s">
        <v>3148</v>
      </c>
      <c r="I1759" s="29" t="s">
        <v>190</v>
      </c>
      <c r="J1759" s="29" t="s">
        <v>3529</v>
      </c>
      <c r="K1759" s="29" t="s">
        <v>298</v>
      </c>
      <c r="L1759" s="29" t="s">
        <v>31</v>
      </c>
      <c r="M1759" s="29" t="n">
        <v>2000</v>
      </c>
      <c r="N1759" s="29" t="n">
        <v>2400</v>
      </c>
      <c r="O1759" s="29"/>
      <c r="P1759" s="30" t="n">
        <f aca="false">(M1759*N1759/1000000)*INDEX(AreaRate_Vals,MATCH(C1759,AreaRate_Keys,0))+INDEX(Hardware_Vals,MATCH("Louvres &amp; Privacy Screens",Hardware_Keys,0))</f>
        <v>7350</v>
      </c>
      <c r="Q1759" s="31" t="n">
        <f aca="false">INDEX(Markup_Vals,MATCH("Railing &amp; Screening Systems",MarkupCat_Keys,0))</f>
        <v>0.42</v>
      </c>
      <c r="R1759" s="32" t="n">
        <f aca="false">P1759*(1+Q1759)</f>
        <v>10437</v>
      </c>
      <c r="S1759" s="32" t="n">
        <f aca="false">R1759*(1-TradeDiscount)</f>
        <v>9184.56</v>
      </c>
      <c r="T1759" s="32" t="n">
        <f aca="false">R1759*(1-VolumeDiscount)</f>
        <v>8349.6</v>
      </c>
    </row>
    <row r="1760" customFormat="false" ht="15" hidden="false" customHeight="false" outlineLevel="0" collapsed="false">
      <c r="A1760" s="25" t="s">
        <v>3849</v>
      </c>
      <c r="B1760" s="25" t="s">
        <v>122</v>
      </c>
      <c r="C1760" s="25" t="s">
        <v>58</v>
      </c>
      <c r="D1760" s="25" t="s">
        <v>3850</v>
      </c>
      <c r="E1760" s="25" t="s">
        <v>3816</v>
      </c>
      <c r="F1760" s="25" t="s">
        <v>3798</v>
      </c>
      <c r="G1760" s="25" t="s">
        <v>36</v>
      </c>
      <c r="H1760" s="25" t="s">
        <v>3148</v>
      </c>
      <c r="I1760" s="25" t="s">
        <v>190</v>
      </c>
      <c r="J1760" s="25" t="s">
        <v>3529</v>
      </c>
      <c r="K1760" s="25" t="s">
        <v>298</v>
      </c>
      <c r="L1760" s="25" t="s">
        <v>31</v>
      </c>
      <c r="M1760" s="25" t="n">
        <v>2000</v>
      </c>
      <c r="N1760" s="25" t="n">
        <v>2400</v>
      </c>
      <c r="O1760" s="25"/>
      <c r="P1760" s="26" t="n">
        <f aca="false">(M1760*N1760/1000000)*INDEX(AreaRate_Vals,MATCH(C1760,AreaRate_Keys,0))+INDEX(Hardware_Vals,MATCH("Louvres &amp; Privacy Screens",Hardware_Keys,0))</f>
        <v>7350</v>
      </c>
      <c r="Q1760" s="27" t="n">
        <f aca="false">INDEX(Markup_Vals,MATCH("Railing &amp; Screening Systems",MarkupCat_Keys,0))</f>
        <v>0.42</v>
      </c>
      <c r="R1760" s="28" t="n">
        <f aca="false">P1760*(1+Q1760)</f>
        <v>10437</v>
      </c>
      <c r="S1760" s="28" t="n">
        <f aca="false">R1760*(1-TradeDiscount)</f>
        <v>9184.56</v>
      </c>
      <c r="T1760" s="28" t="n">
        <f aca="false">R1760*(1-VolumeDiscount)</f>
        <v>8349.6</v>
      </c>
    </row>
    <row r="1761" customFormat="false" ht="15" hidden="false" customHeight="false" outlineLevel="0" collapsed="false">
      <c r="A1761" s="29" t="s">
        <v>3851</v>
      </c>
      <c r="B1761" s="29" t="s">
        <v>122</v>
      </c>
      <c r="C1761" s="29" t="s">
        <v>58</v>
      </c>
      <c r="D1761" s="29" t="s">
        <v>3852</v>
      </c>
      <c r="E1761" s="29" t="s">
        <v>3816</v>
      </c>
      <c r="F1761" s="29" t="s">
        <v>3798</v>
      </c>
      <c r="G1761" s="29" t="s">
        <v>37</v>
      </c>
      <c r="H1761" s="29" t="s">
        <v>3148</v>
      </c>
      <c r="I1761" s="29" t="s">
        <v>190</v>
      </c>
      <c r="J1761" s="29" t="s">
        <v>3529</v>
      </c>
      <c r="K1761" s="29" t="s">
        <v>298</v>
      </c>
      <c r="L1761" s="29" t="s">
        <v>31</v>
      </c>
      <c r="M1761" s="29" t="n">
        <v>2000</v>
      </c>
      <c r="N1761" s="29" t="n">
        <v>2400</v>
      </c>
      <c r="O1761" s="29"/>
      <c r="P1761" s="30" t="n">
        <f aca="false">(M1761*N1761/1000000)*INDEX(AreaRate_Vals,MATCH(C1761,AreaRate_Keys,0))+INDEX(Hardware_Vals,MATCH("Louvres &amp; Privacy Screens",Hardware_Keys,0))</f>
        <v>7350</v>
      </c>
      <c r="Q1761" s="31" t="n">
        <f aca="false">INDEX(Markup_Vals,MATCH("Railing &amp; Screening Systems",MarkupCat_Keys,0))</f>
        <v>0.42</v>
      </c>
      <c r="R1761" s="32" t="n">
        <f aca="false">P1761*(1+Q1761)</f>
        <v>10437</v>
      </c>
      <c r="S1761" s="32" t="n">
        <f aca="false">R1761*(1-TradeDiscount)</f>
        <v>9184.56</v>
      </c>
      <c r="T1761" s="32" t="n">
        <f aca="false">R1761*(1-VolumeDiscount)</f>
        <v>8349.6</v>
      </c>
    </row>
    <row r="1762" customFormat="false" ht="15" hidden="false" customHeight="false" outlineLevel="0" collapsed="false">
      <c r="A1762" s="25" t="s">
        <v>3853</v>
      </c>
      <c r="B1762" s="25" t="s">
        <v>122</v>
      </c>
      <c r="C1762" s="25" t="s">
        <v>58</v>
      </c>
      <c r="D1762" s="25" t="s">
        <v>3854</v>
      </c>
      <c r="E1762" s="25" t="s">
        <v>3816</v>
      </c>
      <c r="F1762" s="25" t="s">
        <v>3798</v>
      </c>
      <c r="G1762" s="25" t="s">
        <v>39</v>
      </c>
      <c r="H1762" s="25" t="s">
        <v>3148</v>
      </c>
      <c r="I1762" s="25" t="s">
        <v>190</v>
      </c>
      <c r="J1762" s="25" t="s">
        <v>3529</v>
      </c>
      <c r="K1762" s="25" t="s">
        <v>298</v>
      </c>
      <c r="L1762" s="25" t="s">
        <v>31</v>
      </c>
      <c r="M1762" s="25" t="n">
        <v>2000</v>
      </c>
      <c r="N1762" s="25" t="n">
        <v>2400</v>
      </c>
      <c r="O1762" s="25"/>
      <c r="P1762" s="26" t="n">
        <f aca="false">(M1762*N1762/1000000)*INDEX(AreaRate_Vals,MATCH(C1762,AreaRate_Keys,0))+INDEX(Hardware_Vals,MATCH("Louvres &amp; Privacy Screens",Hardware_Keys,0))</f>
        <v>7350</v>
      </c>
      <c r="Q1762" s="27" t="n">
        <f aca="false">INDEX(Markup_Vals,MATCH("Railing &amp; Screening Systems",MarkupCat_Keys,0))</f>
        <v>0.42</v>
      </c>
      <c r="R1762" s="28" t="n">
        <f aca="false">P1762*(1+Q1762)</f>
        <v>10437</v>
      </c>
      <c r="S1762" s="28" t="n">
        <f aca="false">R1762*(1-TradeDiscount)</f>
        <v>9184.56</v>
      </c>
      <c r="T1762" s="28" t="n">
        <f aca="false">R1762*(1-VolumeDiscount)</f>
        <v>8349.6</v>
      </c>
    </row>
    <row r="1763" customFormat="false" ht="15" hidden="false" customHeight="false" outlineLevel="0" collapsed="false">
      <c r="A1763" s="29" t="s">
        <v>3855</v>
      </c>
      <c r="B1763" s="29" t="s">
        <v>122</v>
      </c>
      <c r="C1763" s="29" t="s">
        <v>58</v>
      </c>
      <c r="D1763" s="29" t="s">
        <v>3856</v>
      </c>
      <c r="E1763" s="29" t="s">
        <v>3816</v>
      </c>
      <c r="F1763" s="29" t="s">
        <v>3807</v>
      </c>
      <c r="G1763" s="29" t="s">
        <v>35</v>
      </c>
      <c r="H1763" s="29" t="s">
        <v>3148</v>
      </c>
      <c r="I1763" s="29" t="s">
        <v>190</v>
      </c>
      <c r="J1763" s="29" t="s">
        <v>3529</v>
      </c>
      <c r="K1763" s="29" t="s">
        <v>298</v>
      </c>
      <c r="L1763" s="29" t="s">
        <v>31</v>
      </c>
      <c r="M1763" s="29" t="n">
        <v>3000</v>
      </c>
      <c r="N1763" s="29" t="n">
        <v>2400</v>
      </c>
      <c r="O1763" s="29"/>
      <c r="P1763" s="30" t="n">
        <f aca="false">(M1763*N1763/1000000)*INDEX(AreaRate_Vals,MATCH(C1763,AreaRate_Keys,0))+INDEX(Hardware_Vals,MATCH("Louvres &amp; Privacy Screens",Hardware_Keys,0))</f>
        <v>10950</v>
      </c>
      <c r="Q1763" s="31" t="n">
        <f aca="false">INDEX(Markup_Vals,MATCH("Railing &amp; Screening Systems",MarkupCat_Keys,0))</f>
        <v>0.42</v>
      </c>
      <c r="R1763" s="32" t="n">
        <f aca="false">P1763*(1+Q1763)</f>
        <v>15549</v>
      </c>
      <c r="S1763" s="32" t="n">
        <f aca="false">R1763*(1-TradeDiscount)</f>
        <v>13683.12</v>
      </c>
      <c r="T1763" s="32" t="n">
        <f aca="false">R1763*(1-VolumeDiscount)</f>
        <v>12439.2</v>
      </c>
    </row>
    <row r="1764" customFormat="false" ht="15" hidden="false" customHeight="false" outlineLevel="0" collapsed="false">
      <c r="A1764" s="25" t="s">
        <v>3857</v>
      </c>
      <c r="B1764" s="25" t="s">
        <v>122</v>
      </c>
      <c r="C1764" s="25" t="s">
        <v>58</v>
      </c>
      <c r="D1764" s="25" t="s">
        <v>3858</v>
      </c>
      <c r="E1764" s="25" t="s">
        <v>3816</v>
      </c>
      <c r="F1764" s="25" t="s">
        <v>3807</v>
      </c>
      <c r="G1764" s="25" t="s">
        <v>36</v>
      </c>
      <c r="H1764" s="25" t="s">
        <v>3148</v>
      </c>
      <c r="I1764" s="25" t="s">
        <v>190</v>
      </c>
      <c r="J1764" s="25" t="s">
        <v>3529</v>
      </c>
      <c r="K1764" s="25" t="s">
        <v>298</v>
      </c>
      <c r="L1764" s="25" t="s">
        <v>31</v>
      </c>
      <c r="M1764" s="25" t="n">
        <v>3000</v>
      </c>
      <c r="N1764" s="25" t="n">
        <v>2400</v>
      </c>
      <c r="O1764" s="25"/>
      <c r="P1764" s="26" t="n">
        <f aca="false">(M1764*N1764/1000000)*INDEX(AreaRate_Vals,MATCH(C1764,AreaRate_Keys,0))+INDEX(Hardware_Vals,MATCH("Louvres &amp; Privacy Screens",Hardware_Keys,0))</f>
        <v>10950</v>
      </c>
      <c r="Q1764" s="27" t="n">
        <f aca="false">INDEX(Markup_Vals,MATCH("Railing &amp; Screening Systems",MarkupCat_Keys,0))</f>
        <v>0.42</v>
      </c>
      <c r="R1764" s="28" t="n">
        <f aca="false">P1764*(1+Q1764)</f>
        <v>15549</v>
      </c>
      <c r="S1764" s="28" t="n">
        <f aca="false">R1764*(1-TradeDiscount)</f>
        <v>13683.12</v>
      </c>
      <c r="T1764" s="28" t="n">
        <f aca="false">R1764*(1-VolumeDiscount)</f>
        <v>12439.2</v>
      </c>
    </row>
    <row r="1765" customFormat="false" ht="15" hidden="false" customHeight="false" outlineLevel="0" collapsed="false">
      <c r="A1765" s="29" t="s">
        <v>3859</v>
      </c>
      <c r="B1765" s="29" t="s">
        <v>122</v>
      </c>
      <c r="C1765" s="29" t="s">
        <v>58</v>
      </c>
      <c r="D1765" s="29" t="s">
        <v>3860</v>
      </c>
      <c r="E1765" s="29" t="s">
        <v>3816</v>
      </c>
      <c r="F1765" s="29" t="s">
        <v>3807</v>
      </c>
      <c r="G1765" s="29" t="s">
        <v>37</v>
      </c>
      <c r="H1765" s="29" t="s">
        <v>3148</v>
      </c>
      <c r="I1765" s="29" t="s">
        <v>190</v>
      </c>
      <c r="J1765" s="29" t="s">
        <v>3529</v>
      </c>
      <c r="K1765" s="29" t="s">
        <v>298</v>
      </c>
      <c r="L1765" s="29" t="s">
        <v>31</v>
      </c>
      <c r="M1765" s="29" t="n">
        <v>3000</v>
      </c>
      <c r="N1765" s="29" t="n">
        <v>2400</v>
      </c>
      <c r="O1765" s="29"/>
      <c r="P1765" s="30" t="n">
        <f aca="false">(M1765*N1765/1000000)*INDEX(AreaRate_Vals,MATCH(C1765,AreaRate_Keys,0))+INDEX(Hardware_Vals,MATCH("Louvres &amp; Privacy Screens",Hardware_Keys,0))</f>
        <v>10950</v>
      </c>
      <c r="Q1765" s="31" t="n">
        <f aca="false">INDEX(Markup_Vals,MATCH("Railing &amp; Screening Systems",MarkupCat_Keys,0))</f>
        <v>0.42</v>
      </c>
      <c r="R1765" s="32" t="n">
        <f aca="false">P1765*(1+Q1765)</f>
        <v>15549</v>
      </c>
      <c r="S1765" s="32" t="n">
        <f aca="false">R1765*(1-TradeDiscount)</f>
        <v>13683.12</v>
      </c>
      <c r="T1765" s="32" t="n">
        <f aca="false">R1765*(1-VolumeDiscount)</f>
        <v>12439.2</v>
      </c>
    </row>
    <row r="1766" customFormat="false" ht="15" hidden="false" customHeight="false" outlineLevel="0" collapsed="false">
      <c r="A1766" s="25" t="s">
        <v>3861</v>
      </c>
      <c r="B1766" s="25" t="s">
        <v>122</v>
      </c>
      <c r="C1766" s="25" t="s">
        <v>58</v>
      </c>
      <c r="D1766" s="25" t="s">
        <v>3862</v>
      </c>
      <c r="E1766" s="25" t="s">
        <v>3816</v>
      </c>
      <c r="F1766" s="25" t="s">
        <v>3807</v>
      </c>
      <c r="G1766" s="25" t="s">
        <v>39</v>
      </c>
      <c r="H1766" s="25" t="s">
        <v>3148</v>
      </c>
      <c r="I1766" s="25" t="s">
        <v>190</v>
      </c>
      <c r="J1766" s="25" t="s">
        <v>3529</v>
      </c>
      <c r="K1766" s="25" t="s">
        <v>298</v>
      </c>
      <c r="L1766" s="25" t="s">
        <v>31</v>
      </c>
      <c r="M1766" s="25" t="n">
        <v>3000</v>
      </c>
      <c r="N1766" s="25" t="n">
        <v>2400</v>
      </c>
      <c r="O1766" s="25"/>
      <c r="P1766" s="26" t="n">
        <f aca="false">(M1766*N1766/1000000)*INDEX(AreaRate_Vals,MATCH(C1766,AreaRate_Keys,0))+INDEX(Hardware_Vals,MATCH("Louvres &amp; Privacy Screens",Hardware_Keys,0))</f>
        <v>10950</v>
      </c>
      <c r="Q1766" s="27" t="n">
        <f aca="false">INDEX(Markup_Vals,MATCH("Railing &amp; Screening Systems",MarkupCat_Keys,0))</f>
        <v>0.42</v>
      </c>
      <c r="R1766" s="28" t="n">
        <f aca="false">P1766*(1+Q1766)</f>
        <v>15549</v>
      </c>
      <c r="S1766" s="28" t="n">
        <f aca="false">R1766*(1-TradeDiscount)</f>
        <v>13683.12</v>
      </c>
      <c r="T1766" s="28" t="n">
        <f aca="false">R1766*(1-VolumeDiscount)</f>
        <v>12439.2</v>
      </c>
    </row>
    <row r="1767" customFormat="false" ht="15" hidden="false" customHeight="false" outlineLevel="0" collapsed="false">
      <c r="A1767" s="29" t="s">
        <v>3863</v>
      </c>
      <c r="B1767" s="29" t="s">
        <v>122</v>
      </c>
      <c r="C1767" s="29" t="s">
        <v>58</v>
      </c>
      <c r="D1767" s="29" t="s">
        <v>3864</v>
      </c>
      <c r="E1767" s="29" t="s">
        <v>3865</v>
      </c>
      <c r="F1767" s="29" t="s">
        <v>3762</v>
      </c>
      <c r="G1767" s="29" t="s">
        <v>35</v>
      </c>
      <c r="H1767" s="29" t="s">
        <v>3148</v>
      </c>
      <c r="I1767" s="29" t="s">
        <v>190</v>
      </c>
      <c r="J1767" s="29" t="s">
        <v>3529</v>
      </c>
      <c r="K1767" s="29" t="s">
        <v>298</v>
      </c>
      <c r="L1767" s="29" t="s">
        <v>31</v>
      </c>
      <c r="M1767" s="29" t="n">
        <v>1000</v>
      </c>
      <c r="N1767" s="29" t="n">
        <v>1800</v>
      </c>
      <c r="O1767" s="29"/>
      <c r="P1767" s="30" t="n">
        <f aca="false">(M1767*N1767/1000000)*INDEX(AreaRate_Vals,MATCH(C1767,AreaRate_Keys,0))+INDEX(Hardware_Vals,MATCH("Louvres &amp; Privacy Screens",Hardware_Keys,0))</f>
        <v>2850</v>
      </c>
      <c r="Q1767" s="31" t="n">
        <f aca="false">INDEX(Markup_Vals,MATCH("Railing &amp; Screening Systems",MarkupCat_Keys,0))</f>
        <v>0.42</v>
      </c>
      <c r="R1767" s="32" t="n">
        <f aca="false">P1767*(1+Q1767)</f>
        <v>4047</v>
      </c>
      <c r="S1767" s="32" t="n">
        <f aca="false">R1767*(1-TradeDiscount)</f>
        <v>3561.36</v>
      </c>
      <c r="T1767" s="32" t="n">
        <f aca="false">R1767*(1-VolumeDiscount)</f>
        <v>3237.6</v>
      </c>
    </row>
    <row r="1768" customFormat="false" ht="15" hidden="false" customHeight="false" outlineLevel="0" collapsed="false">
      <c r="A1768" s="25" t="s">
        <v>3866</v>
      </c>
      <c r="B1768" s="25" t="s">
        <v>122</v>
      </c>
      <c r="C1768" s="25" t="s">
        <v>58</v>
      </c>
      <c r="D1768" s="25" t="s">
        <v>3867</v>
      </c>
      <c r="E1768" s="25" t="s">
        <v>3865</v>
      </c>
      <c r="F1768" s="25" t="s">
        <v>3762</v>
      </c>
      <c r="G1768" s="25" t="s">
        <v>36</v>
      </c>
      <c r="H1768" s="25" t="s">
        <v>3148</v>
      </c>
      <c r="I1768" s="25" t="s">
        <v>190</v>
      </c>
      <c r="J1768" s="25" t="s">
        <v>3529</v>
      </c>
      <c r="K1768" s="25" t="s">
        <v>298</v>
      </c>
      <c r="L1768" s="25" t="s">
        <v>31</v>
      </c>
      <c r="M1768" s="25" t="n">
        <v>1000</v>
      </c>
      <c r="N1768" s="25" t="n">
        <v>1800</v>
      </c>
      <c r="O1768" s="25"/>
      <c r="P1768" s="26" t="n">
        <f aca="false">(M1768*N1768/1000000)*INDEX(AreaRate_Vals,MATCH(C1768,AreaRate_Keys,0))+INDEX(Hardware_Vals,MATCH("Louvres &amp; Privacy Screens",Hardware_Keys,0))</f>
        <v>2850</v>
      </c>
      <c r="Q1768" s="27" t="n">
        <f aca="false">INDEX(Markup_Vals,MATCH("Railing &amp; Screening Systems",MarkupCat_Keys,0))</f>
        <v>0.42</v>
      </c>
      <c r="R1768" s="28" t="n">
        <f aca="false">P1768*(1+Q1768)</f>
        <v>4047</v>
      </c>
      <c r="S1768" s="28" t="n">
        <f aca="false">R1768*(1-TradeDiscount)</f>
        <v>3561.36</v>
      </c>
      <c r="T1768" s="28" t="n">
        <f aca="false">R1768*(1-VolumeDiscount)</f>
        <v>3237.6</v>
      </c>
    </row>
    <row r="1769" customFormat="false" ht="15" hidden="false" customHeight="false" outlineLevel="0" collapsed="false">
      <c r="A1769" s="29" t="s">
        <v>3868</v>
      </c>
      <c r="B1769" s="29" t="s">
        <v>122</v>
      </c>
      <c r="C1769" s="29" t="s">
        <v>58</v>
      </c>
      <c r="D1769" s="29" t="s">
        <v>3869</v>
      </c>
      <c r="E1769" s="29" t="s">
        <v>3865</v>
      </c>
      <c r="F1769" s="29" t="s">
        <v>3762</v>
      </c>
      <c r="G1769" s="29" t="s">
        <v>37</v>
      </c>
      <c r="H1769" s="29" t="s">
        <v>3148</v>
      </c>
      <c r="I1769" s="29" t="s">
        <v>190</v>
      </c>
      <c r="J1769" s="29" t="s">
        <v>3529</v>
      </c>
      <c r="K1769" s="29" t="s">
        <v>298</v>
      </c>
      <c r="L1769" s="29" t="s">
        <v>31</v>
      </c>
      <c r="M1769" s="29" t="n">
        <v>1000</v>
      </c>
      <c r="N1769" s="29" t="n">
        <v>1800</v>
      </c>
      <c r="O1769" s="29"/>
      <c r="P1769" s="30" t="n">
        <f aca="false">(M1769*N1769/1000000)*INDEX(AreaRate_Vals,MATCH(C1769,AreaRate_Keys,0))+INDEX(Hardware_Vals,MATCH("Louvres &amp; Privacy Screens",Hardware_Keys,0))</f>
        <v>2850</v>
      </c>
      <c r="Q1769" s="31" t="n">
        <f aca="false">INDEX(Markup_Vals,MATCH("Railing &amp; Screening Systems",MarkupCat_Keys,0))</f>
        <v>0.42</v>
      </c>
      <c r="R1769" s="32" t="n">
        <f aca="false">P1769*(1+Q1769)</f>
        <v>4047</v>
      </c>
      <c r="S1769" s="32" t="n">
        <f aca="false">R1769*(1-TradeDiscount)</f>
        <v>3561.36</v>
      </c>
      <c r="T1769" s="32" t="n">
        <f aca="false">R1769*(1-VolumeDiscount)</f>
        <v>3237.6</v>
      </c>
    </row>
    <row r="1770" customFormat="false" ht="15" hidden="false" customHeight="false" outlineLevel="0" collapsed="false">
      <c r="A1770" s="25" t="s">
        <v>3870</v>
      </c>
      <c r="B1770" s="25" t="s">
        <v>122</v>
      </c>
      <c r="C1770" s="25" t="s">
        <v>58</v>
      </c>
      <c r="D1770" s="25" t="s">
        <v>3871</v>
      </c>
      <c r="E1770" s="25" t="s">
        <v>3865</v>
      </c>
      <c r="F1770" s="25" t="s">
        <v>3762</v>
      </c>
      <c r="G1770" s="25" t="s">
        <v>39</v>
      </c>
      <c r="H1770" s="25" t="s">
        <v>3148</v>
      </c>
      <c r="I1770" s="25" t="s">
        <v>190</v>
      </c>
      <c r="J1770" s="25" t="s">
        <v>3529</v>
      </c>
      <c r="K1770" s="25" t="s">
        <v>298</v>
      </c>
      <c r="L1770" s="25" t="s">
        <v>31</v>
      </c>
      <c r="M1770" s="25" t="n">
        <v>1000</v>
      </c>
      <c r="N1770" s="25" t="n">
        <v>1800</v>
      </c>
      <c r="O1770" s="25"/>
      <c r="P1770" s="26" t="n">
        <f aca="false">(M1770*N1770/1000000)*INDEX(AreaRate_Vals,MATCH(C1770,AreaRate_Keys,0))+INDEX(Hardware_Vals,MATCH("Louvres &amp; Privacy Screens",Hardware_Keys,0))</f>
        <v>2850</v>
      </c>
      <c r="Q1770" s="27" t="n">
        <f aca="false">INDEX(Markup_Vals,MATCH("Railing &amp; Screening Systems",MarkupCat_Keys,0))</f>
        <v>0.42</v>
      </c>
      <c r="R1770" s="28" t="n">
        <f aca="false">P1770*(1+Q1770)</f>
        <v>4047</v>
      </c>
      <c r="S1770" s="28" t="n">
        <f aca="false">R1770*(1-TradeDiscount)</f>
        <v>3561.36</v>
      </c>
      <c r="T1770" s="28" t="n">
        <f aca="false">R1770*(1-VolumeDiscount)</f>
        <v>3237.6</v>
      </c>
    </row>
    <row r="1771" customFormat="false" ht="15" hidden="false" customHeight="false" outlineLevel="0" collapsed="false">
      <c r="A1771" s="29" t="s">
        <v>3872</v>
      </c>
      <c r="B1771" s="29" t="s">
        <v>122</v>
      </c>
      <c r="C1771" s="29" t="s">
        <v>58</v>
      </c>
      <c r="D1771" s="29" t="s">
        <v>3873</v>
      </c>
      <c r="E1771" s="29" t="s">
        <v>3865</v>
      </c>
      <c r="F1771" s="29" t="s">
        <v>3771</v>
      </c>
      <c r="G1771" s="29" t="s">
        <v>35</v>
      </c>
      <c r="H1771" s="29" t="s">
        <v>3148</v>
      </c>
      <c r="I1771" s="29" t="s">
        <v>190</v>
      </c>
      <c r="J1771" s="29" t="s">
        <v>3529</v>
      </c>
      <c r="K1771" s="29" t="s">
        <v>298</v>
      </c>
      <c r="L1771" s="29" t="s">
        <v>31</v>
      </c>
      <c r="M1771" s="29" t="n">
        <v>1500</v>
      </c>
      <c r="N1771" s="29" t="n">
        <v>1800</v>
      </c>
      <c r="O1771" s="29"/>
      <c r="P1771" s="30" t="n">
        <f aca="false">(M1771*N1771/1000000)*INDEX(AreaRate_Vals,MATCH(C1771,AreaRate_Keys,0))+INDEX(Hardware_Vals,MATCH("Louvres &amp; Privacy Screens",Hardware_Keys,0))</f>
        <v>4200</v>
      </c>
      <c r="Q1771" s="31" t="n">
        <f aca="false">INDEX(Markup_Vals,MATCH("Railing &amp; Screening Systems",MarkupCat_Keys,0))</f>
        <v>0.42</v>
      </c>
      <c r="R1771" s="32" t="n">
        <f aca="false">P1771*(1+Q1771)</f>
        <v>5964</v>
      </c>
      <c r="S1771" s="32" t="n">
        <f aca="false">R1771*(1-TradeDiscount)</f>
        <v>5248.32</v>
      </c>
      <c r="T1771" s="32" t="n">
        <f aca="false">R1771*(1-VolumeDiscount)</f>
        <v>4771.2</v>
      </c>
    </row>
    <row r="1772" customFormat="false" ht="15" hidden="false" customHeight="false" outlineLevel="0" collapsed="false">
      <c r="A1772" s="25" t="s">
        <v>3874</v>
      </c>
      <c r="B1772" s="25" t="s">
        <v>122</v>
      </c>
      <c r="C1772" s="25" t="s">
        <v>58</v>
      </c>
      <c r="D1772" s="25" t="s">
        <v>3875</v>
      </c>
      <c r="E1772" s="25" t="s">
        <v>3865</v>
      </c>
      <c r="F1772" s="25" t="s">
        <v>3771</v>
      </c>
      <c r="G1772" s="25" t="s">
        <v>36</v>
      </c>
      <c r="H1772" s="25" t="s">
        <v>3148</v>
      </c>
      <c r="I1772" s="25" t="s">
        <v>190</v>
      </c>
      <c r="J1772" s="25" t="s">
        <v>3529</v>
      </c>
      <c r="K1772" s="25" t="s">
        <v>298</v>
      </c>
      <c r="L1772" s="25" t="s">
        <v>31</v>
      </c>
      <c r="M1772" s="25" t="n">
        <v>1500</v>
      </c>
      <c r="N1772" s="25" t="n">
        <v>1800</v>
      </c>
      <c r="O1772" s="25"/>
      <c r="P1772" s="26" t="n">
        <f aca="false">(M1772*N1772/1000000)*INDEX(AreaRate_Vals,MATCH(C1772,AreaRate_Keys,0))+INDEX(Hardware_Vals,MATCH("Louvres &amp; Privacy Screens",Hardware_Keys,0))</f>
        <v>4200</v>
      </c>
      <c r="Q1772" s="27" t="n">
        <f aca="false">INDEX(Markup_Vals,MATCH("Railing &amp; Screening Systems",MarkupCat_Keys,0))</f>
        <v>0.42</v>
      </c>
      <c r="R1772" s="28" t="n">
        <f aca="false">P1772*(1+Q1772)</f>
        <v>5964</v>
      </c>
      <c r="S1772" s="28" t="n">
        <f aca="false">R1772*(1-TradeDiscount)</f>
        <v>5248.32</v>
      </c>
      <c r="T1772" s="28" t="n">
        <f aca="false">R1772*(1-VolumeDiscount)</f>
        <v>4771.2</v>
      </c>
    </row>
    <row r="1773" customFormat="false" ht="15" hidden="false" customHeight="false" outlineLevel="0" collapsed="false">
      <c r="A1773" s="29" t="s">
        <v>3876</v>
      </c>
      <c r="B1773" s="29" t="s">
        <v>122</v>
      </c>
      <c r="C1773" s="29" t="s">
        <v>58</v>
      </c>
      <c r="D1773" s="29" t="s">
        <v>3877</v>
      </c>
      <c r="E1773" s="29" t="s">
        <v>3865</v>
      </c>
      <c r="F1773" s="29" t="s">
        <v>3771</v>
      </c>
      <c r="G1773" s="29" t="s">
        <v>37</v>
      </c>
      <c r="H1773" s="29" t="s">
        <v>3148</v>
      </c>
      <c r="I1773" s="29" t="s">
        <v>190</v>
      </c>
      <c r="J1773" s="29" t="s">
        <v>3529</v>
      </c>
      <c r="K1773" s="29" t="s">
        <v>298</v>
      </c>
      <c r="L1773" s="29" t="s">
        <v>31</v>
      </c>
      <c r="M1773" s="29" t="n">
        <v>1500</v>
      </c>
      <c r="N1773" s="29" t="n">
        <v>1800</v>
      </c>
      <c r="O1773" s="29"/>
      <c r="P1773" s="30" t="n">
        <f aca="false">(M1773*N1773/1000000)*INDEX(AreaRate_Vals,MATCH(C1773,AreaRate_Keys,0))+INDEX(Hardware_Vals,MATCH("Louvres &amp; Privacy Screens",Hardware_Keys,0))</f>
        <v>4200</v>
      </c>
      <c r="Q1773" s="31" t="n">
        <f aca="false">INDEX(Markup_Vals,MATCH("Railing &amp; Screening Systems",MarkupCat_Keys,0))</f>
        <v>0.42</v>
      </c>
      <c r="R1773" s="32" t="n">
        <f aca="false">P1773*(1+Q1773)</f>
        <v>5964</v>
      </c>
      <c r="S1773" s="32" t="n">
        <f aca="false">R1773*(1-TradeDiscount)</f>
        <v>5248.32</v>
      </c>
      <c r="T1773" s="32" t="n">
        <f aca="false">R1773*(1-VolumeDiscount)</f>
        <v>4771.2</v>
      </c>
    </row>
    <row r="1774" customFormat="false" ht="15" hidden="false" customHeight="false" outlineLevel="0" collapsed="false">
      <c r="A1774" s="25" t="s">
        <v>3878</v>
      </c>
      <c r="B1774" s="25" t="s">
        <v>122</v>
      </c>
      <c r="C1774" s="25" t="s">
        <v>58</v>
      </c>
      <c r="D1774" s="25" t="s">
        <v>3879</v>
      </c>
      <c r="E1774" s="25" t="s">
        <v>3865</v>
      </c>
      <c r="F1774" s="25" t="s">
        <v>3771</v>
      </c>
      <c r="G1774" s="25" t="s">
        <v>39</v>
      </c>
      <c r="H1774" s="25" t="s">
        <v>3148</v>
      </c>
      <c r="I1774" s="25" t="s">
        <v>190</v>
      </c>
      <c r="J1774" s="25" t="s">
        <v>3529</v>
      </c>
      <c r="K1774" s="25" t="s">
        <v>298</v>
      </c>
      <c r="L1774" s="25" t="s">
        <v>31</v>
      </c>
      <c r="M1774" s="25" t="n">
        <v>1500</v>
      </c>
      <c r="N1774" s="25" t="n">
        <v>1800</v>
      </c>
      <c r="O1774" s="25"/>
      <c r="P1774" s="26" t="n">
        <f aca="false">(M1774*N1774/1000000)*INDEX(AreaRate_Vals,MATCH(C1774,AreaRate_Keys,0))+INDEX(Hardware_Vals,MATCH("Louvres &amp; Privacy Screens",Hardware_Keys,0))</f>
        <v>4200</v>
      </c>
      <c r="Q1774" s="27" t="n">
        <f aca="false">INDEX(Markup_Vals,MATCH("Railing &amp; Screening Systems",MarkupCat_Keys,0))</f>
        <v>0.42</v>
      </c>
      <c r="R1774" s="28" t="n">
        <f aca="false">P1774*(1+Q1774)</f>
        <v>5964</v>
      </c>
      <c r="S1774" s="28" t="n">
        <f aca="false">R1774*(1-TradeDiscount)</f>
        <v>5248.32</v>
      </c>
      <c r="T1774" s="28" t="n">
        <f aca="false">R1774*(1-VolumeDiscount)</f>
        <v>4771.2</v>
      </c>
    </row>
    <row r="1775" customFormat="false" ht="15" hidden="false" customHeight="false" outlineLevel="0" collapsed="false">
      <c r="A1775" s="29" t="s">
        <v>3880</v>
      </c>
      <c r="B1775" s="29" t="s">
        <v>122</v>
      </c>
      <c r="C1775" s="29" t="s">
        <v>58</v>
      </c>
      <c r="D1775" s="29" t="s">
        <v>3881</v>
      </c>
      <c r="E1775" s="29" t="s">
        <v>3865</v>
      </c>
      <c r="F1775" s="29" t="s">
        <v>3780</v>
      </c>
      <c r="G1775" s="29" t="s">
        <v>35</v>
      </c>
      <c r="H1775" s="29" t="s">
        <v>3148</v>
      </c>
      <c r="I1775" s="29" t="s">
        <v>190</v>
      </c>
      <c r="J1775" s="29" t="s">
        <v>3529</v>
      </c>
      <c r="K1775" s="29" t="s">
        <v>298</v>
      </c>
      <c r="L1775" s="29" t="s">
        <v>31</v>
      </c>
      <c r="M1775" s="29" t="n">
        <v>2000</v>
      </c>
      <c r="N1775" s="29" t="n">
        <v>1800</v>
      </c>
      <c r="O1775" s="29"/>
      <c r="P1775" s="30" t="n">
        <f aca="false">(M1775*N1775/1000000)*INDEX(AreaRate_Vals,MATCH(C1775,AreaRate_Keys,0))+INDEX(Hardware_Vals,MATCH("Louvres &amp; Privacy Screens",Hardware_Keys,0))</f>
        <v>5550</v>
      </c>
      <c r="Q1775" s="31" t="n">
        <f aca="false">INDEX(Markup_Vals,MATCH("Railing &amp; Screening Systems",MarkupCat_Keys,0))</f>
        <v>0.42</v>
      </c>
      <c r="R1775" s="32" t="n">
        <f aca="false">P1775*(1+Q1775)</f>
        <v>7881</v>
      </c>
      <c r="S1775" s="32" t="n">
        <f aca="false">R1775*(1-TradeDiscount)</f>
        <v>6935.28</v>
      </c>
      <c r="T1775" s="32" t="n">
        <f aca="false">R1775*(1-VolumeDiscount)</f>
        <v>6304.8</v>
      </c>
    </row>
    <row r="1776" customFormat="false" ht="15" hidden="false" customHeight="false" outlineLevel="0" collapsed="false">
      <c r="A1776" s="25" t="s">
        <v>3882</v>
      </c>
      <c r="B1776" s="25" t="s">
        <v>122</v>
      </c>
      <c r="C1776" s="25" t="s">
        <v>58</v>
      </c>
      <c r="D1776" s="25" t="s">
        <v>3883</v>
      </c>
      <c r="E1776" s="25" t="s">
        <v>3865</v>
      </c>
      <c r="F1776" s="25" t="s">
        <v>3780</v>
      </c>
      <c r="G1776" s="25" t="s">
        <v>36</v>
      </c>
      <c r="H1776" s="25" t="s">
        <v>3148</v>
      </c>
      <c r="I1776" s="25" t="s">
        <v>190</v>
      </c>
      <c r="J1776" s="25" t="s">
        <v>3529</v>
      </c>
      <c r="K1776" s="25" t="s">
        <v>298</v>
      </c>
      <c r="L1776" s="25" t="s">
        <v>31</v>
      </c>
      <c r="M1776" s="25" t="n">
        <v>2000</v>
      </c>
      <c r="N1776" s="25" t="n">
        <v>1800</v>
      </c>
      <c r="O1776" s="25"/>
      <c r="P1776" s="26" t="n">
        <f aca="false">(M1776*N1776/1000000)*INDEX(AreaRate_Vals,MATCH(C1776,AreaRate_Keys,0))+INDEX(Hardware_Vals,MATCH("Louvres &amp; Privacy Screens",Hardware_Keys,0))</f>
        <v>5550</v>
      </c>
      <c r="Q1776" s="27" t="n">
        <f aca="false">INDEX(Markup_Vals,MATCH("Railing &amp; Screening Systems",MarkupCat_Keys,0))</f>
        <v>0.42</v>
      </c>
      <c r="R1776" s="28" t="n">
        <f aca="false">P1776*(1+Q1776)</f>
        <v>7881</v>
      </c>
      <c r="S1776" s="28" t="n">
        <f aca="false">R1776*(1-TradeDiscount)</f>
        <v>6935.28</v>
      </c>
      <c r="T1776" s="28" t="n">
        <f aca="false">R1776*(1-VolumeDiscount)</f>
        <v>6304.8</v>
      </c>
    </row>
    <row r="1777" customFormat="false" ht="15" hidden="false" customHeight="false" outlineLevel="0" collapsed="false">
      <c r="A1777" s="29" t="s">
        <v>3884</v>
      </c>
      <c r="B1777" s="29" t="s">
        <v>122</v>
      </c>
      <c r="C1777" s="29" t="s">
        <v>58</v>
      </c>
      <c r="D1777" s="29" t="s">
        <v>3885</v>
      </c>
      <c r="E1777" s="29" t="s">
        <v>3865</v>
      </c>
      <c r="F1777" s="29" t="s">
        <v>3780</v>
      </c>
      <c r="G1777" s="29" t="s">
        <v>37</v>
      </c>
      <c r="H1777" s="29" t="s">
        <v>3148</v>
      </c>
      <c r="I1777" s="29" t="s">
        <v>190</v>
      </c>
      <c r="J1777" s="29" t="s">
        <v>3529</v>
      </c>
      <c r="K1777" s="29" t="s">
        <v>298</v>
      </c>
      <c r="L1777" s="29" t="s">
        <v>31</v>
      </c>
      <c r="M1777" s="29" t="n">
        <v>2000</v>
      </c>
      <c r="N1777" s="29" t="n">
        <v>1800</v>
      </c>
      <c r="O1777" s="29"/>
      <c r="P1777" s="30" t="n">
        <f aca="false">(M1777*N1777/1000000)*INDEX(AreaRate_Vals,MATCH(C1777,AreaRate_Keys,0))+INDEX(Hardware_Vals,MATCH("Louvres &amp; Privacy Screens",Hardware_Keys,0))</f>
        <v>5550</v>
      </c>
      <c r="Q1777" s="31" t="n">
        <f aca="false">INDEX(Markup_Vals,MATCH("Railing &amp; Screening Systems",MarkupCat_Keys,0))</f>
        <v>0.42</v>
      </c>
      <c r="R1777" s="32" t="n">
        <f aca="false">P1777*(1+Q1777)</f>
        <v>7881</v>
      </c>
      <c r="S1777" s="32" t="n">
        <f aca="false">R1777*(1-TradeDiscount)</f>
        <v>6935.28</v>
      </c>
      <c r="T1777" s="32" t="n">
        <f aca="false">R1777*(1-VolumeDiscount)</f>
        <v>6304.8</v>
      </c>
    </row>
    <row r="1778" customFormat="false" ht="15" hidden="false" customHeight="false" outlineLevel="0" collapsed="false">
      <c r="A1778" s="25" t="s">
        <v>3886</v>
      </c>
      <c r="B1778" s="25" t="s">
        <v>122</v>
      </c>
      <c r="C1778" s="25" t="s">
        <v>58</v>
      </c>
      <c r="D1778" s="25" t="s">
        <v>3887</v>
      </c>
      <c r="E1778" s="25" t="s">
        <v>3865</v>
      </c>
      <c r="F1778" s="25" t="s">
        <v>3780</v>
      </c>
      <c r="G1778" s="25" t="s">
        <v>39</v>
      </c>
      <c r="H1778" s="25" t="s">
        <v>3148</v>
      </c>
      <c r="I1778" s="25" t="s">
        <v>190</v>
      </c>
      <c r="J1778" s="25" t="s">
        <v>3529</v>
      </c>
      <c r="K1778" s="25" t="s">
        <v>298</v>
      </c>
      <c r="L1778" s="25" t="s">
        <v>31</v>
      </c>
      <c r="M1778" s="25" t="n">
        <v>2000</v>
      </c>
      <c r="N1778" s="25" t="n">
        <v>1800</v>
      </c>
      <c r="O1778" s="25"/>
      <c r="P1778" s="26" t="n">
        <f aca="false">(M1778*N1778/1000000)*INDEX(AreaRate_Vals,MATCH(C1778,AreaRate_Keys,0))+INDEX(Hardware_Vals,MATCH("Louvres &amp; Privacy Screens",Hardware_Keys,0))</f>
        <v>5550</v>
      </c>
      <c r="Q1778" s="27" t="n">
        <f aca="false">INDEX(Markup_Vals,MATCH("Railing &amp; Screening Systems",MarkupCat_Keys,0))</f>
        <v>0.42</v>
      </c>
      <c r="R1778" s="28" t="n">
        <f aca="false">P1778*(1+Q1778)</f>
        <v>7881</v>
      </c>
      <c r="S1778" s="28" t="n">
        <f aca="false">R1778*(1-TradeDiscount)</f>
        <v>6935.28</v>
      </c>
      <c r="T1778" s="28" t="n">
        <f aca="false">R1778*(1-VolumeDiscount)</f>
        <v>6304.8</v>
      </c>
    </row>
    <row r="1779" customFormat="false" ht="15" hidden="false" customHeight="false" outlineLevel="0" collapsed="false">
      <c r="A1779" s="29" t="s">
        <v>3888</v>
      </c>
      <c r="B1779" s="29" t="s">
        <v>122</v>
      </c>
      <c r="C1779" s="29" t="s">
        <v>58</v>
      </c>
      <c r="D1779" s="29" t="s">
        <v>3889</v>
      </c>
      <c r="E1779" s="29" t="s">
        <v>3865</v>
      </c>
      <c r="F1779" s="29" t="s">
        <v>3789</v>
      </c>
      <c r="G1779" s="29" t="s">
        <v>35</v>
      </c>
      <c r="H1779" s="29" t="s">
        <v>3148</v>
      </c>
      <c r="I1779" s="29" t="s">
        <v>190</v>
      </c>
      <c r="J1779" s="29" t="s">
        <v>3529</v>
      </c>
      <c r="K1779" s="29" t="s">
        <v>298</v>
      </c>
      <c r="L1779" s="29" t="s">
        <v>31</v>
      </c>
      <c r="M1779" s="29" t="n">
        <v>1500</v>
      </c>
      <c r="N1779" s="29" t="n">
        <v>2400</v>
      </c>
      <c r="O1779" s="29"/>
      <c r="P1779" s="30" t="n">
        <f aca="false">(M1779*N1779/1000000)*INDEX(AreaRate_Vals,MATCH(C1779,AreaRate_Keys,0))+INDEX(Hardware_Vals,MATCH("Louvres &amp; Privacy Screens",Hardware_Keys,0))</f>
        <v>5550</v>
      </c>
      <c r="Q1779" s="31" t="n">
        <f aca="false">INDEX(Markup_Vals,MATCH("Railing &amp; Screening Systems",MarkupCat_Keys,0))</f>
        <v>0.42</v>
      </c>
      <c r="R1779" s="32" t="n">
        <f aca="false">P1779*(1+Q1779)</f>
        <v>7881</v>
      </c>
      <c r="S1779" s="32" t="n">
        <f aca="false">R1779*(1-TradeDiscount)</f>
        <v>6935.28</v>
      </c>
      <c r="T1779" s="32" t="n">
        <f aca="false">R1779*(1-VolumeDiscount)</f>
        <v>6304.8</v>
      </c>
    </row>
    <row r="1780" customFormat="false" ht="15" hidden="false" customHeight="false" outlineLevel="0" collapsed="false">
      <c r="A1780" s="25" t="s">
        <v>3890</v>
      </c>
      <c r="B1780" s="25" t="s">
        <v>122</v>
      </c>
      <c r="C1780" s="25" t="s">
        <v>58</v>
      </c>
      <c r="D1780" s="25" t="s">
        <v>3891</v>
      </c>
      <c r="E1780" s="25" t="s">
        <v>3865</v>
      </c>
      <c r="F1780" s="25" t="s">
        <v>3789</v>
      </c>
      <c r="G1780" s="25" t="s">
        <v>36</v>
      </c>
      <c r="H1780" s="25" t="s">
        <v>3148</v>
      </c>
      <c r="I1780" s="25" t="s">
        <v>190</v>
      </c>
      <c r="J1780" s="25" t="s">
        <v>3529</v>
      </c>
      <c r="K1780" s="25" t="s">
        <v>298</v>
      </c>
      <c r="L1780" s="25" t="s">
        <v>31</v>
      </c>
      <c r="M1780" s="25" t="n">
        <v>1500</v>
      </c>
      <c r="N1780" s="25" t="n">
        <v>2400</v>
      </c>
      <c r="O1780" s="25"/>
      <c r="P1780" s="26" t="n">
        <f aca="false">(M1780*N1780/1000000)*INDEX(AreaRate_Vals,MATCH(C1780,AreaRate_Keys,0))+INDEX(Hardware_Vals,MATCH("Louvres &amp; Privacy Screens",Hardware_Keys,0))</f>
        <v>5550</v>
      </c>
      <c r="Q1780" s="27" t="n">
        <f aca="false">INDEX(Markup_Vals,MATCH("Railing &amp; Screening Systems",MarkupCat_Keys,0))</f>
        <v>0.42</v>
      </c>
      <c r="R1780" s="28" t="n">
        <f aca="false">P1780*(1+Q1780)</f>
        <v>7881</v>
      </c>
      <c r="S1780" s="28" t="n">
        <f aca="false">R1780*(1-TradeDiscount)</f>
        <v>6935.28</v>
      </c>
      <c r="T1780" s="28" t="n">
        <f aca="false">R1780*(1-VolumeDiscount)</f>
        <v>6304.8</v>
      </c>
    </row>
    <row r="1781" customFormat="false" ht="15" hidden="false" customHeight="false" outlineLevel="0" collapsed="false">
      <c r="A1781" s="29" t="s">
        <v>3892</v>
      </c>
      <c r="B1781" s="29" t="s">
        <v>122</v>
      </c>
      <c r="C1781" s="29" t="s">
        <v>58</v>
      </c>
      <c r="D1781" s="29" t="s">
        <v>3893</v>
      </c>
      <c r="E1781" s="29" t="s">
        <v>3865</v>
      </c>
      <c r="F1781" s="29" t="s">
        <v>3789</v>
      </c>
      <c r="G1781" s="29" t="s">
        <v>37</v>
      </c>
      <c r="H1781" s="29" t="s">
        <v>3148</v>
      </c>
      <c r="I1781" s="29" t="s">
        <v>190</v>
      </c>
      <c r="J1781" s="29" t="s">
        <v>3529</v>
      </c>
      <c r="K1781" s="29" t="s">
        <v>298</v>
      </c>
      <c r="L1781" s="29" t="s">
        <v>31</v>
      </c>
      <c r="M1781" s="29" t="n">
        <v>1500</v>
      </c>
      <c r="N1781" s="29" t="n">
        <v>2400</v>
      </c>
      <c r="O1781" s="29"/>
      <c r="P1781" s="30" t="n">
        <f aca="false">(M1781*N1781/1000000)*INDEX(AreaRate_Vals,MATCH(C1781,AreaRate_Keys,0))+INDEX(Hardware_Vals,MATCH("Louvres &amp; Privacy Screens",Hardware_Keys,0))</f>
        <v>5550</v>
      </c>
      <c r="Q1781" s="31" t="n">
        <f aca="false">INDEX(Markup_Vals,MATCH("Railing &amp; Screening Systems",MarkupCat_Keys,0))</f>
        <v>0.42</v>
      </c>
      <c r="R1781" s="32" t="n">
        <f aca="false">P1781*(1+Q1781)</f>
        <v>7881</v>
      </c>
      <c r="S1781" s="32" t="n">
        <f aca="false">R1781*(1-TradeDiscount)</f>
        <v>6935.28</v>
      </c>
      <c r="T1781" s="32" t="n">
        <f aca="false">R1781*(1-VolumeDiscount)</f>
        <v>6304.8</v>
      </c>
    </row>
    <row r="1782" customFormat="false" ht="15" hidden="false" customHeight="false" outlineLevel="0" collapsed="false">
      <c r="A1782" s="25" t="s">
        <v>3894</v>
      </c>
      <c r="B1782" s="25" t="s">
        <v>122</v>
      </c>
      <c r="C1782" s="25" t="s">
        <v>58</v>
      </c>
      <c r="D1782" s="25" t="s">
        <v>3895</v>
      </c>
      <c r="E1782" s="25" t="s">
        <v>3865</v>
      </c>
      <c r="F1782" s="25" t="s">
        <v>3789</v>
      </c>
      <c r="G1782" s="25" t="s">
        <v>39</v>
      </c>
      <c r="H1782" s="25" t="s">
        <v>3148</v>
      </c>
      <c r="I1782" s="25" t="s">
        <v>190</v>
      </c>
      <c r="J1782" s="25" t="s">
        <v>3529</v>
      </c>
      <c r="K1782" s="25" t="s">
        <v>298</v>
      </c>
      <c r="L1782" s="25" t="s">
        <v>31</v>
      </c>
      <c r="M1782" s="25" t="n">
        <v>1500</v>
      </c>
      <c r="N1782" s="25" t="n">
        <v>2400</v>
      </c>
      <c r="O1782" s="25"/>
      <c r="P1782" s="26" t="n">
        <f aca="false">(M1782*N1782/1000000)*INDEX(AreaRate_Vals,MATCH(C1782,AreaRate_Keys,0))+INDEX(Hardware_Vals,MATCH("Louvres &amp; Privacy Screens",Hardware_Keys,0))</f>
        <v>5550</v>
      </c>
      <c r="Q1782" s="27" t="n">
        <f aca="false">INDEX(Markup_Vals,MATCH("Railing &amp; Screening Systems",MarkupCat_Keys,0))</f>
        <v>0.42</v>
      </c>
      <c r="R1782" s="28" t="n">
        <f aca="false">P1782*(1+Q1782)</f>
        <v>7881</v>
      </c>
      <c r="S1782" s="28" t="n">
        <f aca="false">R1782*(1-TradeDiscount)</f>
        <v>6935.28</v>
      </c>
      <c r="T1782" s="28" t="n">
        <f aca="false">R1782*(1-VolumeDiscount)</f>
        <v>6304.8</v>
      </c>
    </row>
    <row r="1783" customFormat="false" ht="15" hidden="false" customHeight="false" outlineLevel="0" collapsed="false">
      <c r="A1783" s="29" t="s">
        <v>3896</v>
      </c>
      <c r="B1783" s="29" t="s">
        <v>122</v>
      </c>
      <c r="C1783" s="29" t="s">
        <v>58</v>
      </c>
      <c r="D1783" s="29" t="s">
        <v>3897</v>
      </c>
      <c r="E1783" s="29" t="s">
        <v>3865</v>
      </c>
      <c r="F1783" s="29" t="s">
        <v>3798</v>
      </c>
      <c r="G1783" s="29" t="s">
        <v>35</v>
      </c>
      <c r="H1783" s="29" t="s">
        <v>3148</v>
      </c>
      <c r="I1783" s="29" t="s">
        <v>190</v>
      </c>
      <c r="J1783" s="29" t="s">
        <v>3529</v>
      </c>
      <c r="K1783" s="29" t="s">
        <v>298</v>
      </c>
      <c r="L1783" s="29" t="s">
        <v>31</v>
      </c>
      <c r="M1783" s="29" t="n">
        <v>2000</v>
      </c>
      <c r="N1783" s="29" t="n">
        <v>2400</v>
      </c>
      <c r="O1783" s="29"/>
      <c r="P1783" s="30" t="n">
        <f aca="false">(M1783*N1783/1000000)*INDEX(AreaRate_Vals,MATCH(C1783,AreaRate_Keys,0))+INDEX(Hardware_Vals,MATCH("Louvres &amp; Privacy Screens",Hardware_Keys,0))</f>
        <v>7350</v>
      </c>
      <c r="Q1783" s="31" t="n">
        <f aca="false">INDEX(Markup_Vals,MATCH("Railing &amp; Screening Systems",MarkupCat_Keys,0))</f>
        <v>0.42</v>
      </c>
      <c r="R1783" s="32" t="n">
        <f aca="false">P1783*(1+Q1783)</f>
        <v>10437</v>
      </c>
      <c r="S1783" s="32" t="n">
        <f aca="false">R1783*(1-TradeDiscount)</f>
        <v>9184.56</v>
      </c>
      <c r="T1783" s="32" t="n">
        <f aca="false">R1783*(1-VolumeDiscount)</f>
        <v>8349.6</v>
      </c>
    </row>
    <row r="1784" customFormat="false" ht="15" hidden="false" customHeight="false" outlineLevel="0" collapsed="false">
      <c r="A1784" s="25" t="s">
        <v>3898</v>
      </c>
      <c r="B1784" s="25" t="s">
        <v>122</v>
      </c>
      <c r="C1784" s="25" t="s">
        <v>58</v>
      </c>
      <c r="D1784" s="25" t="s">
        <v>3899</v>
      </c>
      <c r="E1784" s="25" t="s">
        <v>3865</v>
      </c>
      <c r="F1784" s="25" t="s">
        <v>3798</v>
      </c>
      <c r="G1784" s="25" t="s">
        <v>36</v>
      </c>
      <c r="H1784" s="25" t="s">
        <v>3148</v>
      </c>
      <c r="I1784" s="25" t="s">
        <v>190</v>
      </c>
      <c r="J1784" s="25" t="s">
        <v>3529</v>
      </c>
      <c r="K1784" s="25" t="s">
        <v>298</v>
      </c>
      <c r="L1784" s="25" t="s">
        <v>31</v>
      </c>
      <c r="M1784" s="25" t="n">
        <v>2000</v>
      </c>
      <c r="N1784" s="25" t="n">
        <v>2400</v>
      </c>
      <c r="O1784" s="25"/>
      <c r="P1784" s="26" t="n">
        <f aca="false">(M1784*N1784/1000000)*INDEX(AreaRate_Vals,MATCH(C1784,AreaRate_Keys,0))+INDEX(Hardware_Vals,MATCH("Louvres &amp; Privacy Screens",Hardware_Keys,0))</f>
        <v>7350</v>
      </c>
      <c r="Q1784" s="27" t="n">
        <f aca="false">INDEX(Markup_Vals,MATCH("Railing &amp; Screening Systems",MarkupCat_Keys,0))</f>
        <v>0.42</v>
      </c>
      <c r="R1784" s="28" t="n">
        <f aca="false">P1784*(1+Q1784)</f>
        <v>10437</v>
      </c>
      <c r="S1784" s="28" t="n">
        <f aca="false">R1784*(1-TradeDiscount)</f>
        <v>9184.56</v>
      </c>
      <c r="T1784" s="28" t="n">
        <f aca="false">R1784*(1-VolumeDiscount)</f>
        <v>8349.6</v>
      </c>
    </row>
    <row r="1785" customFormat="false" ht="15" hidden="false" customHeight="false" outlineLevel="0" collapsed="false">
      <c r="A1785" s="29" t="s">
        <v>3900</v>
      </c>
      <c r="B1785" s="29" t="s">
        <v>122</v>
      </c>
      <c r="C1785" s="29" t="s">
        <v>58</v>
      </c>
      <c r="D1785" s="29" t="s">
        <v>3901</v>
      </c>
      <c r="E1785" s="29" t="s">
        <v>3865</v>
      </c>
      <c r="F1785" s="29" t="s">
        <v>3798</v>
      </c>
      <c r="G1785" s="29" t="s">
        <v>37</v>
      </c>
      <c r="H1785" s="29" t="s">
        <v>3148</v>
      </c>
      <c r="I1785" s="29" t="s">
        <v>190</v>
      </c>
      <c r="J1785" s="29" t="s">
        <v>3529</v>
      </c>
      <c r="K1785" s="29" t="s">
        <v>298</v>
      </c>
      <c r="L1785" s="29" t="s">
        <v>31</v>
      </c>
      <c r="M1785" s="29" t="n">
        <v>2000</v>
      </c>
      <c r="N1785" s="29" t="n">
        <v>2400</v>
      </c>
      <c r="O1785" s="29"/>
      <c r="P1785" s="30" t="n">
        <f aca="false">(M1785*N1785/1000000)*INDEX(AreaRate_Vals,MATCH(C1785,AreaRate_Keys,0))+INDEX(Hardware_Vals,MATCH("Louvres &amp; Privacy Screens",Hardware_Keys,0))</f>
        <v>7350</v>
      </c>
      <c r="Q1785" s="31" t="n">
        <f aca="false">INDEX(Markup_Vals,MATCH("Railing &amp; Screening Systems",MarkupCat_Keys,0))</f>
        <v>0.42</v>
      </c>
      <c r="R1785" s="32" t="n">
        <f aca="false">P1785*(1+Q1785)</f>
        <v>10437</v>
      </c>
      <c r="S1785" s="32" t="n">
        <f aca="false">R1785*(1-TradeDiscount)</f>
        <v>9184.56</v>
      </c>
      <c r="T1785" s="32" t="n">
        <f aca="false">R1785*(1-VolumeDiscount)</f>
        <v>8349.6</v>
      </c>
    </row>
    <row r="1786" customFormat="false" ht="15" hidden="false" customHeight="false" outlineLevel="0" collapsed="false">
      <c r="A1786" s="25" t="s">
        <v>3902</v>
      </c>
      <c r="B1786" s="25" t="s">
        <v>122</v>
      </c>
      <c r="C1786" s="25" t="s">
        <v>58</v>
      </c>
      <c r="D1786" s="25" t="s">
        <v>3903</v>
      </c>
      <c r="E1786" s="25" t="s">
        <v>3865</v>
      </c>
      <c r="F1786" s="25" t="s">
        <v>3798</v>
      </c>
      <c r="G1786" s="25" t="s">
        <v>39</v>
      </c>
      <c r="H1786" s="25" t="s">
        <v>3148</v>
      </c>
      <c r="I1786" s="25" t="s">
        <v>190</v>
      </c>
      <c r="J1786" s="25" t="s">
        <v>3529</v>
      </c>
      <c r="K1786" s="25" t="s">
        <v>298</v>
      </c>
      <c r="L1786" s="25" t="s">
        <v>31</v>
      </c>
      <c r="M1786" s="25" t="n">
        <v>2000</v>
      </c>
      <c r="N1786" s="25" t="n">
        <v>2400</v>
      </c>
      <c r="O1786" s="25"/>
      <c r="P1786" s="26" t="n">
        <f aca="false">(M1786*N1786/1000000)*INDEX(AreaRate_Vals,MATCH(C1786,AreaRate_Keys,0))+INDEX(Hardware_Vals,MATCH("Louvres &amp; Privacy Screens",Hardware_Keys,0))</f>
        <v>7350</v>
      </c>
      <c r="Q1786" s="27" t="n">
        <f aca="false">INDEX(Markup_Vals,MATCH("Railing &amp; Screening Systems",MarkupCat_Keys,0))</f>
        <v>0.42</v>
      </c>
      <c r="R1786" s="28" t="n">
        <f aca="false">P1786*(1+Q1786)</f>
        <v>10437</v>
      </c>
      <c r="S1786" s="28" t="n">
        <f aca="false">R1786*(1-TradeDiscount)</f>
        <v>9184.56</v>
      </c>
      <c r="T1786" s="28" t="n">
        <f aca="false">R1786*(1-VolumeDiscount)</f>
        <v>8349.6</v>
      </c>
    </row>
    <row r="1787" customFormat="false" ht="15" hidden="false" customHeight="false" outlineLevel="0" collapsed="false">
      <c r="A1787" s="29" t="s">
        <v>3904</v>
      </c>
      <c r="B1787" s="29" t="s">
        <v>122</v>
      </c>
      <c r="C1787" s="29" t="s">
        <v>58</v>
      </c>
      <c r="D1787" s="29" t="s">
        <v>3905</v>
      </c>
      <c r="E1787" s="29" t="s">
        <v>3865</v>
      </c>
      <c r="F1787" s="29" t="s">
        <v>3807</v>
      </c>
      <c r="G1787" s="29" t="s">
        <v>35</v>
      </c>
      <c r="H1787" s="29" t="s">
        <v>3148</v>
      </c>
      <c r="I1787" s="29" t="s">
        <v>190</v>
      </c>
      <c r="J1787" s="29" t="s">
        <v>3529</v>
      </c>
      <c r="K1787" s="29" t="s">
        <v>298</v>
      </c>
      <c r="L1787" s="29" t="s">
        <v>31</v>
      </c>
      <c r="M1787" s="29" t="n">
        <v>3000</v>
      </c>
      <c r="N1787" s="29" t="n">
        <v>2400</v>
      </c>
      <c r="O1787" s="29"/>
      <c r="P1787" s="30" t="n">
        <f aca="false">(M1787*N1787/1000000)*INDEX(AreaRate_Vals,MATCH(C1787,AreaRate_Keys,0))+INDEX(Hardware_Vals,MATCH("Louvres &amp; Privacy Screens",Hardware_Keys,0))</f>
        <v>10950</v>
      </c>
      <c r="Q1787" s="31" t="n">
        <f aca="false">INDEX(Markup_Vals,MATCH("Railing &amp; Screening Systems",MarkupCat_Keys,0))</f>
        <v>0.42</v>
      </c>
      <c r="R1787" s="32" t="n">
        <f aca="false">P1787*(1+Q1787)</f>
        <v>15549</v>
      </c>
      <c r="S1787" s="32" t="n">
        <f aca="false">R1787*(1-TradeDiscount)</f>
        <v>13683.12</v>
      </c>
      <c r="T1787" s="32" t="n">
        <f aca="false">R1787*(1-VolumeDiscount)</f>
        <v>12439.2</v>
      </c>
    </row>
    <row r="1788" customFormat="false" ht="15" hidden="false" customHeight="false" outlineLevel="0" collapsed="false">
      <c r="A1788" s="25" t="s">
        <v>3906</v>
      </c>
      <c r="B1788" s="25" t="s">
        <v>122</v>
      </c>
      <c r="C1788" s="25" t="s">
        <v>58</v>
      </c>
      <c r="D1788" s="25" t="s">
        <v>3907</v>
      </c>
      <c r="E1788" s="25" t="s">
        <v>3865</v>
      </c>
      <c r="F1788" s="25" t="s">
        <v>3807</v>
      </c>
      <c r="G1788" s="25" t="s">
        <v>36</v>
      </c>
      <c r="H1788" s="25" t="s">
        <v>3148</v>
      </c>
      <c r="I1788" s="25" t="s">
        <v>190</v>
      </c>
      <c r="J1788" s="25" t="s">
        <v>3529</v>
      </c>
      <c r="K1788" s="25" t="s">
        <v>298</v>
      </c>
      <c r="L1788" s="25" t="s">
        <v>31</v>
      </c>
      <c r="M1788" s="25" t="n">
        <v>3000</v>
      </c>
      <c r="N1788" s="25" t="n">
        <v>2400</v>
      </c>
      <c r="O1788" s="25"/>
      <c r="P1788" s="26" t="n">
        <f aca="false">(M1788*N1788/1000000)*INDEX(AreaRate_Vals,MATCH(C1788,AreaRate_Keys,0))+INDEX(Hardware_Vals,MATCH("Louvres &amp; Privacy Screens",Hardware_Keys,0))</f>
        <v>10950</v>
      </c>
      <c r="Q1788" s="27" t="n">
        <f aca="false">INDEX(Markup_Vals,MATCH("Railing &amp; Screening Systems",MarkupCat_Keys,0))</f>
        <v>0.42</v>
      </c>
      <c r="R1788" s="28" t="n">
        <f aca="false">P1788*(1+Q1788)</f>
        <v>15549</v>
      </c>
      <c r="S1788" s="28" t="n">
        <f aca="false">R1788*(1-TradeDiscount)</f>
        <v>13683.12</v>
      </c>
      <c r="T1788" s="28" t="n">
        <f aca="false">R1788*(1-VolumeDiscount)</f>
        <v>12439.2</v>
      </c>
    </row>
    <row r="1789" customFormat="false" ht="15" hidden="false" customHeight="false" outlineLevel="0" collapsed="false">
      <c r="A1789" s="29" t="s">
        <v>3908</v>
      </c>
      <c r="B1789" s="29" t="s">
        <v>122</v>
      </c>
      <c r="C1789" s="29" t="s">
        <v>58</v>
      </c>
      <c r="D1789" s="29" t="s">
        <v>3909</v>
      </c>
      <c r="E1789" s="29" t="s">
        <v>3865</v>
      </c>
      <c r="F1789" s="29" t="s">
        <v>3807</v>
      </c>
      <c r="G1789" s="29" t="s">
        <v>37</v>
      </c>
      <c r="H1789" s="29" t="s">
        <v>3148</v>
      </c>
      <c r="I1789" s="29" t="s">
        <v>190</v>
      </c>
      <c r="J1789" s="29" t="s">
        <v>3529</v>
      </c>
      <c r="K1789" s="29" t="s">
        <v>298</v>
      </c>
      <c r="L1789" s="29" t="s">
        <v>31</v>
      </c>
      <c r="M1789" s="29" t="n">
        <v>3000</v>
      </c>
      <c r="N1789" s="29" t="n">
        <v>2400</v>
      </c>
      <c r="O1789" s="29"/>
      <c r="P1789" s="30" t="n">
        <f aca="false">(M1789*N1789/1000000)*INDEX(AreaRate_Vals,MATCH(C1789,AreaRate_Keys,0))+INDEX(Hardware_Vals,MATCH("Louvres &amp; Privacy Screens",Hardware_Keys,0))</f>
        <v>10950</v>
      </c>
      <c r="Q1789" s="31" t="n">
        <f aca="false">INDEX(Markup_Vals,MATCH("Railing &amp; Screening Systems",MarkupCat_Keys,0))</f>
        <v>0.42</v>
      </c>
      <c r="R1789" s="32" t="n">
        <f aca="false">P1789*(1+Q1789)</f>
        <v>15549</v>
      </c>
      <c r="S1789" s="32" t="n">
        <f aca="false">R1789*(1-TradeDiscount)</f>
        <v>13683.12</v>
      </c>
      <c r="T1789" s="32" t="n">
        <f aca="false">R1789*(1-VolumeDiscount)</f>
        <v>12439.2</v>
      </c>
    </row>
    <row r="1790" customFormat="false" ht="15" hidden="false" customHeight="false" outlineLevel="0" collapsed="false">
      <c r="A1790" s="25" t="s">
        <v>3910</v>
      </c>
      <c r="B1790" s="25" t="s">
        <v>122</v>
      </c>
      <c r="C1790" s="25" t="s">
        <v>58</v>
      </c>
      <c r="D1790" s="25" t="s">
        <v>3911</v>
      </c>
      <c r="E1790" s="25" t="s">
        <v>3865</v>
      </c>
      <c r="F1790" s="25" t="s">
        <v>3807</v>
      </c>
      <c r="G1790" s="25" t="s">
        <v>39</v>
      </c>
      <c r="H1790" s="25" t="s">
        <v>3148</v>
      </c>
      <c r="I1790" s="25" t="s">
        <v>190</v>
      </c>
      <c r="J1790" s="25" t="s">
        <v>3529</v>
      </c>
      <c r="K1790" s="25" t="s">
        <v>298</v>
      </c>
      <c r="L1790" s="25" t="s">
        <v>31</v>
      </c>
      <c r="M1790" s="25" t="n">
        <v>3000</v>
      </c>
      <c r="N1790" s="25" t="n">
        <v>2400</v>
      </c>
      <c r="O1790" s="25"/>
      <c r="P1790" s="26" t="n">
        <f aca="false">(M1790*N1790/1000000)*INDEX(AreaRate_Vals,MATCH(C1790,AreaRate_Keys,0))+INDEX(Hardware_Vals,MATCH("Louvres &amp; Privacy Screens",Hardware_Keys,0))</f>
        <v>10950</v>
      </c>
      <c r="Q1790" s="27" t="n">
        <f aca="false">INDEX(Markup_Vals,MATCH("Railing &amp; Screening Systems",MarkupCat_Keys,0))</f>
        <v>0.42</v>
      </c>
      <c r="R1790" s="28" t="n">
        <f aca="false">P1790*(1+Q1790)</f>
        <v>15549</v>
      </c>
      <c r="S1790" s="28" t="n">
        <f aca="false">R1790*(1-TradeDiscount)</f>
        <v>13683.12</v>
      </c>
      <c r="T1790" s="28" t="n">
        <f aca="false">R1790*(1-VolumeDiscount)</f>
        <v>12439.2</v>
      </c>
    </row>
    <row r="1791" customFormat="false" ht="15" hidden="false" customHeight="false" outlineLevel="0" collapsed="false">
      <c r="A1791" s="29" t="s">
        <v>3912</v>
      </c>
      <c r="B1791" s="29" t="s">
        <v>122</v>
      </c>
      <c r="C1791" s="29" t="s">
        <v>58</v>
      </c>
      <c r="D1791" s="29" t="s">
        <v>3913</v>
      </c>
      <c r="E1791" s="29" t="s">
        <v>3914</v>
      </c>
      <c r="F1791" s="29" t="s">
        <v>3762</v>
      </c>
      <c r="G1791" s="29" t="s">
        <v>35</v>
      </c>
      <c r="H1791" s="29" t="s">
        <v>3148</v>
      </c>
      <c r="I1791" s="29" t="s">
        <v>190</v>
      </c>
      <c r="J1791" s="29" t="s">
        <v>3529</v>
      </c>
      <c r="K1791" s="29" t="s">
        <v>298</v>
      </c>
      <c r="L1791" s="29" t="s">
        <v>31</v>
      </c>
      <c r="M1791" s="29" t="n">
        <v>1000</v>
      </c>
      <c r="N1791" s="29" t="n">
        <v>1800</v>
      </c>
      <c r="O1791" s="29"/>
      <c r="P1791" s="30" t="n">
        <f aca="false">(M1791*N1791/1000000)*INDEX(AreaRate_Vals,MATCH(C1791,AreaRate_Keys,0))+INDEX(Hardware_Vals,MATCH("Louvres &amp; Privacy Screens",Hardware_Keys,0))</f>
        <v>2850</v>
      </c>
      <c r="Q1791" s="31" t="n">
        <f aca="false">INDEX(Markup_Vals,MATCH("Railing &amp; Screening Systems",MarkupCat_Keys,0))</f>
        <v>0.42</v>
      </c>
      <c r="R1791" s="32" t="n">
        <f aca="false">P1791*(1+Q1791)</f>
        <v>4047</v>
      </c>
      <c r="S1791" s="32" t="n">
        <f aca="false">R1791*(1-TradeDiscount)</f>
        <v>3561.36</v>
      </c>
      <c r="T1791" s="32" t="n">
        <f aca="false">R1791*(1-VolumeDiscount)</f>
        <v>3237.6</v>
      </c>
    </row>
    <row r="1792" customFormat="false" ht="15" hidden="false" customHeight="false" outlineLevel="0" collapsed="false">
      <c r="A1792" s="25" t="s">
        <v>3915</v>
      </c>
      <c r="B1792" s="25" t="s">
        <v>122</v>
      </c>
      <c r="C1792" s="25" t="s">
        <v>58</v>
      </c>
      <c r="D1792" s="25" t="s">
        <v>3916</v>
      </c>
      <c r="E1792" s="25" t="s">
        <v>3914</v>
      </c>
      <c r="F1792" s="25" t="s">
        <v>3762</v>
      </c>
      <c r="G1792" s="25" t="s">
        <v>36</v>
      </c>
      <c r="H1792" s="25" t="s">
        <v>3148</v>
      </c>
      <c r="I1792" s="25" t="s">
        <v>190</v>
      </c>
      <c r="J1792" s="25" t="s">
        <v>3529</v>
      </c>
      <c r="K1792" s="25" t="s">
        <v>298</v>
      </c>
      <c r="L1792" s="25" t="s">
        <v>31</v>
      </c>
      <c r="M1792" s="25" t="n">
        <v>1000</v>
      </c>
      <c r="N1792" s="25" t="n">
        <v>1800</v>
      </c>
      <c r="O1792" s="25"/>
      <c r="P1792" s="26" t="n">
        <f aca="false">(M1792*N1792/1000000)*INDEX(AreaRate_Vals,MATCH(C1792,AreaRate_Keys,0))+INDEX(Hardware_Vals,MATCH("Louvres &amp; Privacy Screens",Hardware_Keys,0))</f>
        <v>2850</v>
      </c>
      <c r="Q1792" s="27" t="n">
        <f aca="false">INDEX(Markup_Vals,MATCH("Railing &amp; Screening Systems",MarkupCat_Keys,0))</f>
        <v>0.42</v>
      </c>
      <c r="R1792" s="28" t="n">
        <f aca="false">P1792*(1+Q1792)</f>
        <v>4047</v>
      </c>
      <c r="S1792" s="28" t="n">
        <f aca="false">R1792*(1-TradeDiscount)</f>
        <v>3561.36</v>
      </c>
      <c r="T1792" s="28" t="n">
        <f aca="false">R1792*(1-VolumeDiscount)</f>
        <v>3237.6</v>
      </c>
    </row>
    <row r="1793" customFormat="false" ht="15" hidden="false" customHeight="false" outlineLevel="0" collapsed="false">
      <c r="A1793" s="29" t="s">
        <v>3917</v>
      </c>
      <c r="B1793" s="29" t="s">
        <v>122</v>
      </c>
      <c r="C1793" s="29" t="s">
        <v>58</v>
      </c>
      <c r="D1793" s="29" t="s">
        <v>3918</v>
      </c>
      <c r="E1793" s="29" t="s">
        <v>3914</v>
      </c>
      <c r="F1793" s="29" t="s">
        <v>3762</v>
      </c>
      <c r="G1793" s="29" t="s">
        <v>37</v>
      </c>
      <c r="H1793" s="29" t="s">
        <v>3148</v>
      </c>
      <c r="I1793" s="29" t="s">
        <v>190</v>
      </c>
      <c r="J1793" s="29" t="s">
        <v>3529</v>
      </c>
      <c r="K1793" s="29" t="s">
        <v>298</v>
      </c>
      <c r="L1793" s="29" t="s">
        <v>31</v>
      </c>
      <c r="M1793" s="29" t="n">
        <v>1000</v>
      </c>
      <c r="N1793" s="29" t="n">
        <v>1800</v>
      </c>
      <c r="O1793" s="29"/>
      <c r="P1793" s="30" t="n">
        <f aca="false">(M1793*N1793/1000000)*INDEX(AreaRate_Vals,MATCH(C1793,AreaRate_Keys,0))+INDEX(Hardware_Vals,MATCH("Louvres &amp; Privacy Screens",Hardware_Keys,0))</f>
        <v>2850</v>
      </c>
      <c r="Q1793" s="31" t="n">
        <f aca="false">INDEX(Markup_Vals,MATCH("Railing &amp; Screening Systems",MarkupCat_Keys,0))</f>
        <v>0.42</v>
      </c>
      <c r="R1793" s="32" t="n">
        <f aca="false">P1793*(1+Q1793)</f>
        <v>4047</v>
      </c>
      <c r="S1793" s="32" t="n">
        <f aca="false">R1793*(1-TradeDiscount)</f>
        <v>3561.36</v>
      </c>
      <c r="T1793" s="32" t="n">
        <f aca="false">R1793*(1-VolumeDiscount)</f>
        <v>3237.6</v>
      </c>
    </row>
    <row r="1794" customFormat="false" ht="15" hidden="false" customHeight="false" outlineLevel="0" collapsed="false">
      <c r="A1794" s="25" t="s">
        <v>3919</v>
      </c>
      <c r="B1794" s="25" t="s">
        <v>122</v>
      </c>
      <c r="C1794" s="25" t="s">
        <v>58</v>
      </c>
      <c r="D1794" s="25" t="s">
        <v>3920</v>
      </c>
      <c r="E1794" s="25" t="s">
        <v>3914</v>
      </c>
      <c r="F1794" s="25" t="s">
        <v>3762</v>
      </c>
      <c r="G1794" s="25" t="s">
        <v>39</v>
      </c>
      <c r="H1794" s="25" t="s">
        <v>3148</v>
      </c>
      <c r="I1794" s="25" t="s">
        <v>190</v>
      </c>
      <c r="J1794" s="25" t="s">
        <v>3529</v>
      </c>
      <c r="K1794" s="25" t="s">
        <v>298</v>
      </c>
      <c r="L1794" s="25" t="s">
        <v>31</v>
      </c>
      <c r="M1794" s="25" t="n">
        <v>1000</v>
      </c>
      <c r="N1794" s="25" t="n">
        <v>1800</v>
      </c>
      <c r="O1794" s="25"/>
      <c r="P1794" s="26" t="n">
        <f aca="false">(M1794*N1794/1000000)*INDEX(AreaRate_Vals,MATCH(C1794,AreaRate_Keys,0))+INDEX(Hardware_Vals,MATCH("Louvres &amp; Privacy Screens",Hardware_Keys,0))</f>
        <v>2850</v>
      </c>
      <c r="Q1794" s="27" t="n">
        <f aca="false">INDEX(Markup_Vals,MATCH("Railing &amp; Screening Systems",MarkupCat_Keys,0))</f>
        <v>0.42</v>
      </c>
      <c r="R1794" s="28" t="n">
        <f aca="false">P1794*(1+Q1794)</f>
        <v>4047</v>
      </c>
      <c r="S1794" s="28" t="n">
        <f aca="false">R1794*(1-TradeDiscount)</f>
        <v>3561.36</v>
      </c>
      <c r="T1794" s="28" t="n">
        <f aca="false">R1794*(1-VolumeDiscount)</f>
        <v>3237.6</v>
      </c>
    </row>
    <row r="1795" customFormat="false" ht="15" hidden="false" customHeight="false" outlineLevel="0" collapsed="false">
      <c r="A1795" s="29" t="s">
        <v>3921</v>
      </c>
      <c r="B1795" s="29" t="s">
        <v>122</v>
      </c>
      <c r="C1795" s="29" t="s">
        <v>58</v>
      </c>
      <c r="D1795" s="29" t="s">
        <v>3922</v>
      </c>
      <c r="E1795" s="29" t="s">
        <v>3914</v>
      </c>
      <c r="F1795" s="29" t="s">
        <v>3771</v>
      </c>
      <c r="G1795" s="29" t="s">
        <v>35</v>
      </c>
      <c r="H1795" s="29" t="s">
        <v>3148</v>
      </c>
      <c r="I1795" s="29" t="s">
        <v>190</v>
      </c>
      <c r="J1795" s="29" t="s">
        <v>3529</v>
      </c>
      <c r="K1795" s="29" t="s">
        <v>298</v>
      </c>
      <c r="L1795" s="29" t="s">
        <v>31</v>
      </c>
      <c r="M1795" s="29" t="n">
        <v>1500</v>
      </c>
      <c r="N1795" s="29" t="n">
        <v>1800</v>
      </c>
      <c r="O1795" s="29"/>
      <c r="P1795" s="30" t="n">
        <f aca="false">(M1795*N1795/1000000)*INDEX(AreaRate_Vals,MATCH(C1795,AreaRate_Keys,0))+INDEX(Hardware_Vals,MATCH("Louvres &amp; Privacy Screens",Hardware_Keys,0))</f>
        <v>4200</v>
      </c>
      <c r="Q1795" s="31" t="n">
        <f aca="false">INDEX(Markup_Vals,MATCH("Railing &amp; Screening Systems",MarkupCat_Keys,0))</f>
        <v>0.42</v>
      </c>
      <c r="R1795" s="32" t="n">
        <f aca="false">P1795*(1+Q1795)</f>
        <v>5964</v>
      </c>
      <c r="S1795" s="32" t="n">
        <f aca="false">R1795*(1-TradeDiscount)</f>
        <v>5248.32</v>
      </c>
      <c r="T1795" s="32" t="n">
        <f aca="false">R1795*(1-VolumeDiscount)</f>
        <v>4771.2</v>
      </c>
    </row>
    <row r="1796" customFormat="false" ht="15" hidden="false" customHeight="false" outlineLevel="0" collapsed="false">
      <c r="A1796" s="25" t="s">
        <v>3923</v>
      </c>
      <c r="B1796" s="25" t="s">
        <v>122</v>
      </c>
      <c r="C1796" s="25" t="s">
        <v>58</v>
      </c>
      <c r="D1796" s="25" t="s">
        <v>3924</v>
      </c>
      <c r="E1796" s="25" t="s">
        <v>3914</v>
      </c>
      <c r="F1796" s="25" t="s">
        <v>3771</v>
      </c>
      <c r="G1796" s="25" t="s">
        <v>36</v>
      </c>
      <c r="H1796" s="25" t="s">
        <v>3148</v>
      </c>
      <c r="I1796" s="25" t="s">
        <v>190</v>
      </c>
      <c r="J1796" s="25" t="s">
        <v>3529</v>
      </c>
      <c r="K1796" s="25" t="s">
        <v>298</v>
      </c>
      <c r="L1796" s="25" t="s">
        <v>31</v>
      </c>
      <c r="M1796" s="25" t="n">
        <v>1500</v>
      </c>
      <c r="N1796" s="25" t="n">
        <v>1800</v>
      </c>
      <c r="O1796" s="25"/>
      <c r="P1796" s="26" t="n">
        <f aca="false">(M1796*N1796/1000000)*INDEX(AreaRate_Vals,MATCH(C1796,AreaRate_Keys,0))+INDEX(Hardware_Vals,MATCH("Louvres &amp; Privacy Screens",Hardware_Keys,0))</f>
        <v>4200</v>
      </c>
      <c r="Q1796" s="27" t="n">
        <f aca="false">INDEX(Markup_Vals,MATCH("Railing &amp; Screening Systems",MarkupCat_Keys,0))</f>
        <v>0.42</v>
      </c>
      <c r="R1796" s="28" t="n">
        <f aca="false">P1796*(1+Q1796)</f>
        <v>5964</v>
      </c>
      <c r="S1796" s="28" t="n">
        <f aca="false">R1796*(1-TradeDiscount)</f>
        <v>5248.32</v>
      </c>
      <c r="T1796" s="28" t="n">
        <f aca="false">R1796*(1-VolumeDiscount)</f>
        <v>4771.2</v>
      </c>
    </row>
    <row r="1797" customFormat="false" ht="15" hidden="false" customHeight="false" outlineLevel="0" collapsed="false">
      <c r="A1797" s="29" t="s">
        <v>3925</v>
      </c>
      <c r="B1797" s="29" t="s">
        <v>122</v>
      </c>
      <c r="C1797" s="29" t="s">
        <v>58</v>
      </c>
      <c r="D1797" s="29" t="s">
        <v>3926</v>
      </c>
      <c r="E1797" s="29" t="s">
        <v>3914</v>
      </c>
      <c r="F1797" s="29" t="s">
        <v>3771</v>
      </c>
      <c r="G1797" s="29" t="s">
        <v>37</v>
      </c>
      <c r="H1797" s="29" t="s">
        <v>3148</v>
      </c>
      <c r="I1797" s="29" t="s">
        <v>190</v>
      </c>
      <c r="J1797" s="29" t="s">
        <v>3529</v>
      </c>
      <c r="K1797" s="29" t="s">
        <v>298</v>
      </c>
      <c r="L1797" s="29" t="s">
        <v>31</v>
      </c>
      <c r="M1797" s="29" t="n">
        <v>1500</v>
      </c>
      <c r="N1797" s="29" t="n">
        <v>1800</v>
      </c>
      <c r="O1797" s="29"/>
      <c r="P1797" s="30" t="n">
        <f aca="false">(M1797*N1797/1000000)*INDEX(AreaRate_Vals,MATCH(C1797,AreaRate_Keys,0))+INDEX(Hardware_Vals,MATCH("Louvres &amp; Privacy Screens",Hardware_Keys,0))</f>
        <v>4200</v>
      </c>
      <c r="Q1797" s="31" t="n">
        <f aca="false">INDEX(Markup_Vals,MATCH("Railing &amp; Screening Systems",MarkupCat_Keys,0))</f>
        <v>0.42</v>
      </c>
      <c r="R1797" s="32" t="n">
        <f aca="false">P1797*(1+Q1797)</f>
        <v>5964</v>
      </c>
      <c r="S1797" s="32" t="n">
        <f aca="false">R1797*(1-TradeDiscount)</f>
        <v>5248.32</v>
      </c>
      <c r="T1797" s="32" t="n">
        <f aca="false">R1797*(1-VolumeDiscount)</f>
        <v>4771.2</v>
      </c>
    </row>
    <row r="1798" customFormat="false" ht="15" hidden="false" customHeight="false" outlineLevel="0" collapsed="false">
      <c r="A1798" s="25" t="s">
        <v>3927</v>
      </c>
      <c r="B1798" s="25" t="s">
        <v>122</v>
      </c>
      <c r="C1798" s="25" t="s">
        <v>58</v>
      </c>
      <c r="D1798" s="25" t="s">
        <v>3928</v>
      </c>
      <c r="E1798" s="25" t="s">
        <v>3914</v>
      </c>
      <c r="F1798" s="25" t="s">
        <v>3771</v>
      </c>
      <c r="G1798" s="25" t="s">
        <v>39</v>
      </c>
      <c r="H1798" s="25" t="s">
        <v>3148</v>
      </c>
      <c r="I1798" s="25" t="s">
        <v>190</v>
      </c>
      <c r="J1798" s="25" t="s">
        <v>3529</v>
      </c>
      <c r="K1798" s="25" t="s">
        <v>298</v>
      </c>
      <c r="L1798" s="25" t="s">
        <v>31</v>
      </c>
      <c r="M1798" s="25" t="n">
        <v>1500</v>
      </c>
      <c r="N1798" s="25" t="n">
        <v>1800</v>
      </c>
      <c r="O1798" s="25"/>
      <c r="P1798" s="26" t="n">
        <f aca="false">(M1798*N1798/1000000)*INDEX(AreaRate_Vals,MATCH(C1798,AreaRate_Keys,0))+INDEX(Hardware_Vals,MATCH("Louvres &amp; Privacy Screens",Hardware_Keys,0))</f>
        <v>4200</v>
      </c>
      <c r="Q1798" s="27" t="n">
        <f aca="false">INDEX(Markup_Vals,MATCH("Railing &amp; Screening Systems",MarkupCat_Keys,0))</f>
        <v>0.42</v>
      </c>
      <c r="R1798" s="28" t="n">
        <f aca="false">P1798*(1+Q1798)</f>
        <v>5964</v>
      </c>
      <c r="S1798" s="28" t="n">
        <f aca="false">R1798*(1-TradeDiscount)</f>
        <v>5248.32</v>
      </c>
      <c r="T1798" s="28" t="n">
        <f aca="false">R1798*(1-VolumeDiscount)</f>
        <v>4771.2</v>
      </c>
    </row>
    <row r="1799" customFormat="false" ht="15" hidden="false" customHeight="false" outlineLevel="0" collapsed="false">
      <c r="A1799" s="29" t="s">
        <v>3929</v>
      </c>
      <c r="B1799" s="29" t="s">
        <v>122</v>
      </c>
      <c r="C1799" s="29" t="s">
        <v>58</v>
      </c>
      <c r="D1799" s="29" t="s">
        <v>3930</v>
      </c>
      <c r="E1799" s="29" t="s">
        <v>3914</v>
      </c>
      <c r="F1799" s="29" t="s">
        <v>3780</v>
      </c>
      <c r="G1799" s="29" t="s">
        <v>35</v>
      </c>
      <c r="H1799" s="29" t="s">
        <v>3148</v>
      </c>
      <c r="I1799" s="29" t="s">
        <v>190</v>
      </c>
      <c r="J1799" s="29" t="s">
        <v>3529</v>
      </c>
      <c r="K1799" s="29" t="s">
        <v>298</v>
      </c>
      <c r="L1799" s="29" t="s">
        <v>31</v>
      </c>
      <c r="M1799" s="29" t="n">
        <v>2000</v>
      </c>
      <c r="N1799" s="29" t="n">
        <v>1800</v>
      </c>
      <c r="O1799" s="29"/>
      <c r="P1799" s="30" t="n">
        <f aca="false">(M1799*N1799/1000000)*INDEX(AreaRate_Vals,MATCH(C1799,AreaRate_Keys,0))+INDEX(Hardware_Vals,MATCH("Louvres &amp; Privacy Screens",Hardware_Keys,0))</f>
        <v>5550</v>
      </c>
      <c r="Q1799" s="31" t="n">
        <f aca="false">INDEX(Markup_Vals,MATCH("Railing &amp; Screening Systems",MarkupCat_Keys,0))</f>
        <v>0.42</v>
      </c>
      <c r="R1799" s="32" t="n">
        <f aca="false">P1799*(1+Q1799)</f>
        <v>7881</v>
      </c>
      <c r="S1799" s="32" t="n">
        <f aca="false">R1799*(1-TradeDiscount)</f>
        <v>6935.28</v>
      </c>
      <c r="T1799" s="32" t="n">
        <f aca="false">R1799*(1-VolumeDiscount)</f>
        <v>6304.8</v>
      </c>
    </row>
    <row r="1800" customFormat="false" ht="15" hidden="false" customHeight="false" outlineLevel="0" collapsed="false">
      <c r="A1800" s="25" t="s">
        <v>3931</v>
      </c>
      <c r="B1800" s="25" t="s">
        <v>122</v>
      </c>
      <c r="C1800" s="25" t="s">
        <v>58</v>
      </c>
      <c r="D1800" s="25" t="s">
        <v>3932</v>
      </c>
      <c r="E1800" s="25" t="s">
        <v>3914</v>
      </c>
      <c r="F1800" s="25" t="s">
        <v>3780</v>
      </c>
      <c r="G1800" s="25" t="s">
        <v>36</v>
      </c>
      <c r="H1800" s="25" t="s">
        <v>3148</v>
      </c>
      <c r="I1800" s="25" t="s">
        <v>190</v>
      </c>
      <c r="J1800" s="25" t="s">
        <v>3529</v>
      </c>
      <c r="K1800" s="25" t="s">
        <v>298</v>
      </c>
      <c r="L1800" s="25" t="s">
        <v>31</v>
      </c>
      <c r="M1800" s="25" t="n">
        <v>2000</v>
      </c>
      <c r="N1800" s="25" t="n">
        <v>1800</v>
      </c>
      <c r="O1800" s="25"/>
      <c r="P1800" s="26" t="n">
        <f aca="false">(M1800*N1800/1000000)*INDEX(AreaRate_Vals,MATCH(C1800,AreaRate_Keys,0))+INDEX(Hardware_Vals,MATCH("Louvres &amp; Privacy Screens",Hardware_Keys,0))</f>
        <v>5550</v>
      </c>
      <c r="Q1800" s="27" t="n">
        <f aca="false">INDEX(Markup_Vals,MATCH("Railing &amp; Screening Systems",MarkupCat_Keys,0))</f>
        <v>0.42</v>
      </c>
      <c r="R1800" s="28" t="n">
        <f aca="false">P1800*(1+Q1800)</f>
        <v>7881</v>
      </c>
      <c r="S1800" s="28" t="n">
        <f aca="false">R1800*(1-TradeDiscount)</f>
        <v>6935.28</v>
      </c>
      <c r="T1800" s="28" t="n">
        <f aca="false">R1800*(1-VolumeDiscount)</f>
        <v>6304.8</v>
      </c>
    </row>
    <row r="1801" customFormat="false" ht="15" hidden="false" customHeight="false" outlineLevel="0" collapsed="false">
      <c r="A1801" s="29" t="s">
        <v>3933</v>
      </c>
      <c r="B1801" s="29" t="s">
        <v>122</v>
      </c>
      <c r="C1801" s="29" t="s">
        <v>58</v>
      </c>
      <c r="D1801" s="29" t="s">
        <v>3934</v>
      </c>
      <c r="E1801" s="29" t="s">
        <v>3914</v>
      </c>
      <c r="F1801" s="29" t="s">
        <v>3780</v>
      </c>
      <c r="G1801" s="29" t="s">
        <v>37</v>
      </c>
      <c r="H1801" s="29" t="s">
        <v>3148</v>
      </c>
      <c r="I1801" s="29" t="s">
        <v>190</v>
      </c>
      <c r="J1801" s="29" t="s">
        <v>3529</v>
      </c>
      <c r="K1801" s="29" t="s">
        <v>298</v>
      </c>
      <c r="L1801" s="29" t="s">
        <v>31</v>
      </c>
      <c r="M1801" s="29" t="n">
        <v>2000</v>
      </c>
      <c r="N1801" s="29" t="n">
        <v>1800</v>
      </c>
      <c r="O1801" s="29"/>
      <c r="P1801" s="30" t="n">
        <f aca="false">(M1801*N1801/1000000)*INDEX(AreaRate_Vals,MATCH(C1801,AreaRate_Keys,0))+INDEX(Hardware_Vals,MATCH("Louvres &amp; Privacy Screens",Hardware_Keys,0))</f>
        <v>5550</v>
      </c>
      <c r="Q1801" s="31" t="n">
        <f aca="false">INDEX(Markup_Vals,MATCH("Railing &amp; Screening Systems",MarkupCat_Keys,0))</f>
        <v>0.42</v>
      </c>
      <c r="R1801" s="32" t="n">
        <f aca="false">P1801*(1+Q1801)</f>
        <v>7881</v>
      </c>
      <c r="S1801" s="32" t="n">
        <f aca="false">R1801*(1-TradeDiscount)</f>
        <v>6935.28</v>
      </c>
      <c r="T1801" s="32" t="n">
        <f aca="false">R1801*(1-VolumeDiscount)</f>
        <v>6304.8</v>
      </c>
    </row>
    <row r="1802" customFormat="false" ht="15" hidden="false" customHeight="false" outlineLevel="0" collapsed="false">
      <c r="A1802" s="25" t="s">
        <v>3935</v>
      </c>
      <c r="B1802" s="25" t="s">
        <v>122</v>
      </c>
      <c r="C1802" s="25" t="s">
        <v>58</v>
      </c>
      <c r="D1802" s="25" t="s">
        <v>3936</v>
      </c>
      <c r="E1802" s="25" t="s">
        <v>3914</v>
      </c>
      <c r="F1802" s="25" t="s">
        <v>3780</v>
      </c>
      <c r="G1802" s="25" t="s">
        <v>39</v>
      </c>
      <c r="H1802" s="25" t="s">
        <v>3148</v>
      </c>
      <c r="I1802" s="25" t="s">
        <v>190</v>
      </c>
      <c r="J1802" s="25" t="s">
        <v>3529</v>
      </c>
      <c r="K1802" s="25" t="s">
        <v>298</v>
      </c>
      <c r="L1802" s="25" t="s">
        <v>31</v>
      </c>
      <c r="M1802" s="25" t="n">
        <v>2000</v>
      </c>
      <c r="N1802" s="25" t="n">
        <v>1800</v>
      </c>
      <c r="O1802" s="25"/>
      <c r="P1802" s="26" t="n">
        <f aca="false">(M1802*N1802/1000000)*INDEX(AreaRate_Vals,MATCH(C1802,AreaRate_Keys,0))+INDEX(Hardware_Vals,MATCH("Louvres &amp; Privacy Screens",Hardware_Keys,0))</f>
        <v>5550</v>
      </c>
      <c r="Q1802" s="27" t="n">
        <f aca="false">INDEX(Markup_Vals,MATCH("Railing &amp; Screening Systems",MarkupCat_Keys,0))</f>
        <v>0.42</v>
      </c>
      <c r="R1802" s="28" t="n">
        <f aca="false">P1802*(1+Q1802)</f>
        <v>7881</v>
      </c>
      <c r="S1802" s="28" t="n">
        <f aca="false">R1802*(1-TradeDiscount)</f>
        <v>6935.28</v>
      </c>
      <c r="T1802" s="28" t="n">
        <f aca="false">R1802*(1-VolumeDiscount)</f>
        <v>6304.8</v>
      </c>
    </row>
    <row r="1803" customFormat="false" ht="15" hidden="false" customHeight="false" outlineLevel="0" collapsed="false">
      <c r="A1803" s="29" t="s">
        <v>3937</v>
      </c>
      <c r="B1803" s="29" t="s">
        <v>122</v>
      </c>
      <c r="C1803" s="29" t="s">
        <v>58</v>
      </c>
      <c r="D1803" s="29" t="s">
        <v>3938</v>
      </c>
      <c r="E1803" s="29" t="s">
        <v>3914</v>
      </c>
      <c r="F1803" s="29" t="s">
        <v>3789</v>
      </c>
      <c r="G1803" s="29" t="s">
        <v>35</v>
      </c>
      <c r="H1803" s="29" t="s">
        <v>3148</v>
      </c>
      <c r="I1803" s="29" t="s">
        <v>190</v>
      </c>
      <c r="J1803" s="29" t="s">
        <v>3529</v>
      </c>
      <c r="K1803" s="29" t="s">
        <v>298</v>
      </c>
      <c r="L1803" s="29" t="s">
        <v>31</v>
      </c>
      <c r="M1803" s="29" t="n">
        <v>1500</v>
      </c>
      <c r="N1803" s="29" t="n">
        <v>2400</v>
      </c>
      <c r="O1803" s="29"/>
      <c r="P1803" s="30" t="n">
        <f aca="false">(M1803*N1803/1000000)*INDEX(AreaRate_Vals,MATCH(C1803,AreaRate_Keys,0))+INDEX(Hardware_Vals,MATCH("Louvres &amp; Privacy Screens",Hardware_Keys,0))</f>
        <v>5550</v>
      </c>
      <c r="Q1803" s="31" t="n">
        <f aca="false">INDEX(Markup_Vals,MATCH("Railing &amp; Screening Systems",MarkupCat_Keys,0))</f>
        <v>0.42</v>
      </c>
      <c r="R1803" s="32" t="n">
        <f aca="false">P1803*(1+Q1803)</f>
        <v>7881</v>
      </c>
      <c r="S1803" s="32" t="n">
        <f aca="false">R1803*(1-TradeDiscount)</f>
        <v>6935.28</v>
      </c>
      <c r="T1803" s="32" t="n">
        <f aca="false">R1803*(1-VolumeDiscount)</f>
        <v>6304.8</v>
      </c>
    </row>
    <row r="1804" customFormat="false" ht="15" hidden="false" customHeight="false" outlineLevel="0" collapsed="false">
      <c r="A1804" s="25" t="s">
        <v>3939</v>
      </c>
      <c r="B1804" s="25" t="s">
        <v>122</v>
      </c>
      <c r="C1804" s="25" t="s">
        <v>58</v>
      </c>
      <c r="D1804" s="25" t="s">
        <v>3940</v>
      </c>
      <c r="E1804" s="25" t="s">
        <v>3914</v>
      </c>
      <c r="F1804" s="25" t="s">
        <v>3789</v>
      </c>
      <c r="G1804" s="25" t="s">
        <v>36</v>
      </c>
      <c r="H1804" s="25" t="s">
        <v>3148</v>
      </c>
      <c r="I1804" s="25" t="s">
        <v>190</v>
      </c>
      <c r="J1804" s="25" t="s">
        <v>3529</v>
      </c>
      <c r="K1804" s="25" t="s">
        <v>298</v>
      </c>
      <c r="L1804" s="25" t="s">
        <v>31</v>
      </c>
      <c r="M1804" s="25" t="n">
        <v>1500</v>
      </c>
      <c r="N1804" s="25" t="n">
        <v>2400</v>
      </c>
      <c r="O1804" s="25"/>
      <c r="P1804" s="26" t="n">
        <f aca="false">(M1804*N1804/1000000)*INDEX(AreaRate_Vals,MATCH(C1804,AreaRate_Keys,0))+INDEX(Hardware_Vals,MATCH("Louvres &amp; Privacy Screens",Hardware_Keys,0))</f>
        <v>5550</v>
      </c>
      <c r="Q1804" s="27" t="n">
        <f aca="false">INDEX(Markup_Vals,MATCH("Railing &amp; Screening Systems",MarkupCat_Keys,0))</f>
        <v>0.42</v>
      </c>
      <c r="R1804" s="28" t="n">
        <f aca="false">P1804*(1+Q1804)</f>
        <v>7881</v>
      </c>
      <c r="S1804" s="28" t="n">
        <f aca="false">R1804*(1-TradeDiscount)</f>
        <v>6935.28</v>
      </c>
      <c r="T1804" s="28" t="n">
        <f aca="false">R1804*(1-VolumeDiscount)</f>
        <v>6304.8</v>
      </c>
    </row>
    <row r="1805" customFormat="false" ht="15" hidden="false" customHeight="false" outlineLevel="0" collapsed="false">
      <c r="A1805" s="29" t="s">
        <v>3941</v>
      </c>
      <c r="B1805" s="29" t="s">
        <v>122</v>
      </c>
      <c r="C1805" s="29" t="s">
        <v>58</v>
      </c>
      <c r="D1805" s="29" t="s">
        <v>3942</v>
      </c>
      <c r="E1805" s="29" t="s">
        <v>3914</v>
      </c>
      <c r="F1805" s="29" t="s">
        <v>3789</v>
      </c>
      <c r="G1805" s="29" t="s">
        <v>37</v>
      </c>
      <c r="H1805" s="29" t="s">
        <v>3148</v>
      </c>
      <c r="I1805" s="29" t="s">
        <v>190</v>
      </c>
      <c r="J1805" s="29" t="s">
        <v>3529</v>
      </c>
      <c r="K1805" s="29" t="s">
        <v>298</v>
      </c>
      <c r="L1805" s="29" t="s">
        <v>31</v>
      </c>
      <c r="M1805" s="29" t="n">
        <v>1500</v>
      </c>
      <c r="N1805" s="29" t="n">
        <v>2400</v>
      </c>
      <c r="O1805" s="29"/>
      <c r="P1805" s="30" t="n">
        <f aca="false">(M1805*N1805/1000000)*INDEX(AreaRate_Vals,MATCH(C1805,AreaRate_Keys,0))+INDEX(Hardware_Vals,MATCH("Louvres &amp; Privacy Screens",Hardware_Keys,0))</f>
        <v>5550</v>
      </c>
      <c r="Q1805" s="31" t="n">
        <f aca="false">INDEX(Markup_Vals,MATCH("Railing &amp; Screening Systems",MarkupCat_Keys,0))</f>
        <v>0.42</v>
      </c>
      <c r="R1805" s="32" t="n">
        <f aca="false">P1805*(1+Q1805)</f>
        <v>7881</v>
      </c>
      <c r="S1805" s="32" t="n">
        <f aca="false">R1805*(1-TradeDiscount)</f>
        <v>6935.28</v>
      </c>
      <c r="T1805" s="32" t="n">
        <f aca="false">R1805*(1-VolumeDiscount)</f>
        <v>6304.8</v>
      </c>
    </row>
    <row r="1806" customFormat="false" ht="15" hidden="false" customHeight="false" outlineLevel="0" collapsed="false">
      <c r="A1806" s="25" t="s">
        <v>3943</v>
      </c>
      <c r="B1806" s="25" t="s">
        <v>122</v>
      </c>
      <c r="C1806" s="25" t="s">
        <v>58</v>
      </c>
      <c r="D1806" s="25" t="s">
        <v>3944</v>
      </c>
      <c r="E1806" s="25" t="s">
        <v>3914</v>
      </c>
      <c r="F1806" s="25" t="s">
        <v>3789</v>
      </c>
      <c r="G1806" s="25" t="s">
        <v>39</v>
      </c>
      <c r="H1806" s="25" t="s">
        <v>3148</v>
      </c>
      <c r="I1806" s="25" t="s">
        <v>190</v>
      </c>
      <c r="J1806" s="25" t="s">
        <v>3529</v>
      </c>
      <c r="K1806" s="25" t="s">
        <v>298</v>
      </c>
      <c r="L1806" s="25" t="s">
        <v>31</v>
      </c>
      <c r="M1806" s="25" t="n">
        <v>1500</v>
      </c>
      <c r="N1806" s="25" t="n">
        <v>2400</v>
      </c>
      <c r="O1806" s="25"/>
      <c r="P1806" s="26" t="n">
        <f aca="false">(M1806*N1806/1000000)*INDEX(AreaRate_Vals,MATCH(C1806,AreaRate_Keys,0))+INDEX(Hardware_Vals,MATCH("Louvres &amp; Privacy Screens",Hardware_Keys,0))</f>
        <v>5550</v>
      </c>
      <c r="Q1806" s="27" t="n">
        <f aca="false">INDEX(Markup_Vals,MATCH("Railing &amp; Screening Systems",MarkupCat_Keys,0))</f>
        <v>0.42</v>
      </c>
      <c r="R1806" s="28" t="n">
        <f aca="false">P1806*(1+Q1806)</f>
        <v>7881</v>
      </c>
      <c r="S1806" s="28" t="n">
        <f aca="false">R1806*(1-TradeDiscount)</f>
        <v>6935.28</v>
      </c>
      <c r="T1806" s="28" t="n">
        <f aca="false">R1806*(1-VolumeDiscount)</f>
        <v>6304.8</v>
      </c>
    </row>
    <row r="1807" customFormat="false" ht="15" hidden="false" customHeight="false" outlineLevel="0" collapsed="false">
      <c r="A1807" s="29" t="s">
        <v>3945</v>
      </c>
      <c r="B1807" s="29" t="s">
        <v>122</v>
      </c>
      <c r="C1807" s="29" t="s">
        <v>58</v>
      </c>
      <c r="D1807" s="29" t="s">
        <v>3946</v>
      </c>
      <c r="E1807" s="29" t="s">
        <v>3914</v>
      </c>
      <c r="F1807" s="29" t="s">
        <v>3798</v>
      </c>
      <c r="G1807" s="29" t="s">
        <v>35</v>
      </c>
      <c r="H1807" s="29" t="s">
        <v>3148</v>
      </c>
      <c r="I1807" s="29" t="s">
        <v>190</v>
      </c>
      <c r="J1807" s="29" t="s">
        <v>3529</v>
      </c>
      <c r="K1807" s="29" t="s">
        <v>298</v>
      </c>
      <c r="L1807" s="29" t="s">
        <v>31</v>
      </c>
      <c r="M1807" s="29" t="n">
        <v>2000</v>
      </c>
      <c r="N1807" s="29" t="n">
        <v>2400</v>
      </c>
      <c r="O1807" s="29"/>
      <c r="P1807" s="30" t="n">
        <f aca="false">(M1807*N1807/1000000)*INDEX(AreaRate_Vals,MATCH(C1807,AreaRate_Keys,0))+INDEX(Hardware_Vals,MATCH("Louvres &amp; Privacy Screens",Hardware_Keys,0))</f>
        <v>7350</v>
      </c>
      <c r="Q1807" s="31" t="n">
        <f aca="false">INDEX(Markup_Vals,MATCH("Railing &amp; Screening Systems",MarkupCat_Keys,0))</f>
        <v>0.42</v>
      </c>
      <c r="R1807" s="32" t="n">
        <f aca="false">P1807*(1+Q1807)</f>
        <v>10437</v>
      </c>
      <c r="S1807" s="32" t="n">
        <f aca="false">R1807*(1-TradeDiscount)</f>
        <v>9184.56</v>
      </c>
      <c r="T1807" s="32" t="n">
        <f aca="false">R1807*(1-VolumeDiscount)</f>
        <v>8349.6</v>
      </c>
    </row>
    <row r="1808" customFormat="false" ht="15" hidden="false" customHeight="false" outlineLevel="0" collapsed="false">
      <c r="A1808" s="25" t="s">
        <v>3947</v>
      </c>
      <c r="B1808" s="25" t="s">
        <v>122</v>
      </c>
      <c r="C1808" s="25" t="s">
        <v>58</v>
      </c>
      <c r="D1808" s="25" t="s">
        <v>3948</v>
      </c>
      <c r="E1808" s="25" t="s">
        <v>3914</v>
      </c>
      <c r="F1808" s="25" t="s">
        <v>3798</v>
      </c>
      <c r="G1808" s="25" t="s">
        <v>36</v>
      </c>
      <c r="H1808" s="25" t="s">
        <v>3148</v>
      </c>
      <c r="I1808" s="25" t="s">
        <v>190</v>
      </c>
      <c r="J1808" s="25" t="s">
        <v>3529</v>
      </c>
      <c r="K1808" s="25" t="s">
        <v>298</v>
      </c>
      <c r="L1808" s="25" t="s">
        <v>31</v>
      </c>
      <c r="M1808" s="25" t="n">
        <v>2000</v>
      </c>
      <c r="N1808" s="25" t="n">
        <v>2400</v>
      </c>
      <c r="O1808" s="25"/>
      <c r="P1808" s="26" t="n">
        <f aca="false">(M1808*N1808/1000000)*INDEX(AreaRate_Vals,MATCH(C1808,AreaRate_Keys,0))+INDEX(Hardware_Vals,MATCH("Louvres &amp; Privacy Screens",Hardware_Keys,0))</f>
        <v>7350</v>
      </c>
      <c r="Q1808" s="27" t="n">
        <f aca="false">INDEX(Markup_Vals,MATCH("Railing &amp; Screening Systems",MarkupCat_Keys,0))</f>
        <v>0.42</v>
      </c>
      <c r="R1808" s="28" t="n">
        <f aca="false">P1808*(1+Q1808)</f>
        <v>10437</v>
      </c>
      <c r="S1808" s="28" t="n">
        <f aca="false">R1808*(1-TradeDiscount)</f>
        <v>9184.56</v>
      </c>
      <c r="T1808" s="28" t="n">
        <f aca="false">R1808*(1-VolumeDiscount)</f>
        <v>8349.6</v>
      </c>
    </row>
    <row r="1809" customFormat="false" ht="15" hidden="false" customHeight="false" outlineLevel="0" collapsed="false">
      <c r="A1809" s="29" t="s">
        <v>3949</v>
      </c>
      <c r="B1809" s="29" t="s">
        <v>122</v>
      </c>
      <c r="C1809" s="29" t="s">
        <v>58</v>
      </c>
      <c r="D1809" s="29" t="s">
        <v>3950</v>
      </c>
      <c r="E1809" s="29" t="s">
        <v>3914</v>
      </c>
      <c r="F1809" s="29" t="s">
        <v>3798</v>
      </c>
      <c r="G1809" s="29" t="s">
        <v>37</v>
      </c>
      <c r="H1809" s="29" t="s">
        <v>3148</v>
      </c>
      <c r="I1809" s="29" t="s">
        <v>190</v>
      </c>
      <c r="J1809" s="29" t="s">
        <v>3529</v>
      </c>
      <c r="K1809" s="29" t="s">
        <v>298</v>
      </c>
      <c r="L1809" s="29" t="s">
        <v>31</v>
      </c>
      <c r="M1809" s="29" t="n">
        <v>2000</v>
      </c>
      <c r="N1809" s="29" t="n">
        <v>2400</v>
      </c>
      <c r="O1809" s="29"/>
      <c r="P1809" s="30" t="n">
        <f aca="false">(M1809*N1809/1000000)*INDEX(AreaRate_Vals,MATCH(C1809,AreaRate_Keys,0))+INDEX(Hardware_Vals,MATCH("Louvres &amp; Privacy Screens",Hardware_Keys,0))</f>
        <v>7350</v>
      </c>
      <c r="Q1809" s="31" t="n">
        <f aca="false">INDEX(Markup_Vals,MATCH("Railing &amp; Screening Systems",MarkupCat_Keys,0))</f>
        <v>0.42</v>
      </c>
      <c r="R1809" s="32" t="n">
        <f aca="false">P1809*(1+Q1809)</f>
        <v>10437</v>
      </c>
      <c r="S1809" s="32" t="n">
        <f aca="false">R1809*(1-TradeDiscount)</f>
        <v>9184.56</v>
      </c>
      <c r="T1809" s="32" t="n">
        <f aca="false">R1809*(1-VolumeDiscount)</f>
        <v>8349.6</v>
      </c>
    </row>
    <row r="1810" customFormat="false" ht="15" hidden="false" customHeight="false" outlineLevel="0" collapsed="false">
      <c r="A1810" s="25" t="s">
        <v>3951</v>
      </c>
      <c r="B1810" s="25" t="s">
        <v>122</v>
      </c>
      <c r="C1810" s="25" t="s">
        <v>58</v>
      </c>
      <c r="D1810" s="25" t="s">
        <v>3952</v>
      </c>
      <c r="E1810" s="25" t="s">
        <v>3914</v>
      </c>
      <c r="F1810" s="25" t="s">
        <v>3798</v>
      </c>
      <c r="G1810" s="25" t="s">
        <v>39</v>
      </c>
      <c r="H1810" s="25" t="s">
        <v>3148</v>
      </c>
      <c r="I1810" s="25" t="s">
        <v>190</v>
      </c>
      <c r="J1810" s="25" t="s">
        <v>3529</v>
      </c>
      <c r="K1810" s="25" t="s">
        <v>298</v>
      </c>
      <c r="L1810" s="25" t="s">
        <v>31</v>
      </c>
      <c r="M1810" s="25" t="n">
        <v>2000</v>
      </c>
      <c r="N1810" s="25" t="n">
        <v>2400</v>
      </c>
      <c r="O1810" s="25"/>
      <c r="P1810" s="26" t="n">
        <f aca="false">(M1810*N1810/1000000)*INDEX(AreaRate_Vals,MATCH(C1810,AreaRate_Keys,0))+INDEX(Hardware_Vals,MATCH("Louvres &amp; Privacy Screens",Hardware_Keys,0))</f>
        <v>7350</v>
      </c>
      <c r="Q1810" s="27" t="n">
        <f aca="false">INDEX(Markup_Vals,MATCH("Railing &amp; Screening Systems",MarkupCat_Keys,0))</f>
        <v>0.42</v>
      </c>
      <c r="R1810" s="28" t="n">
        <f aca="false">P1810*(1+Q1810)</f>
        <v>10437</v>
      </c>
      <c r="S1810" s="28" t="n">
        <f aca="false">R1810*(1-TradeDiscount)</f>
        <v>9184.56</v>
      </c>
      <c r="T1810" s="28" t="n">
        <f aca="false">R1810*(1-VolumeDiscount)</f>
        <v>8349.6</v>
      </c>
    </row>
    <row r="1811" customFormat="false" ht="15" hidden="false" customHeight="false" outlineLevel="0" collapsed="false">
      <c r="A1811" s="29" t="s">
        <v>3953</v>
      </c>
      <c r="B1811" s="29" t="s">
        <v>122</v>
      </c>
      <c r="C1811" s="29" t="s">
        <v>58</v>
      </c>
      <c r="D1811" s="29" t="s">
        <v>3954</v>
      </c>
      <c r="E1811" s="29" t="s">
        <v>3914</v>
      </c>
      <c r="F1811" s="29" t="s">
        <v>3807</v>
      </c>
      <c r="G1811" s="29" t="s">
        <v>35</v>
      </c>
      <c r="H1811" s="29" t="s">
        <v>3148</v>
      </c>
      <c r="I1811" s="29" t="s">
        <v>190</v>
      </c>
      <c r="J1811" s="29" t="s">
        <v>3529</v>
      </c>
      <c r="K1811" s="29" t="s">
        <v>298</v>
      </c>
      <c r="L1811" s="29" t="s">
        <v>31</v>
      </c>
      <c r="M1811" s="29" t="n">
        <v>3000</v>
      </c>
      <c r="N1811" s="29" t="n">
        <v>2400</v>
      </c>
      <c r="O1811" s="29"/>
      <c r="P1811" s="30" t="n">
        <f aca="false">(M1811*N1811/1000000)*INDEX(AreaRate_Vals,MATCH(C1811,AreaRate_Keys,0))+INDEX(Hardware_Vals,MATCH("Louvres &amp; Privacy Screens",Hardware_Keys,0))</f>
        <v>10950</v>
      </c>
      <c r="Q1811" s="31" t="n">
        <f aca="false">INDEX(Markup_Vals,MATCH("Railing &amp; Screening Systems",MarkupCat_Keys,0))</f>
        <v>0.42</v>
      </c>
      <c r="R1811" s="32" t="n">
        <f aca="false">P1811*(1+Q1811)</f>
        <v>15549</v>
      </c>
      <c r="S1811" s="32" t="n">
        <f aca="false">R1811*(1-TradeDiscount)</f>
        <v>13683.12</v>
      </c>
      <c r="T1811" s="32" t="n">
        <f aca="false">R1811*(1-VolumeDiscount)</f>
        <v>12439.2</v>
      </c>
    </row>
    <row r="1812" customFormat="false" ht="15" hidden="false" customHeight="false" outlineLevel="0" collapsed="false">
      <c r="A1812" s="25" t="s">
        <v>3955</v>
      </c>
      <c r="B1812" s="25" t="s">
        <v>122</v>
      </c>
      <c r="C1812" s="25" t="s">
        <v>58</v>
      </c>
      <c r="D1812" s="25" t="s">
        <v>3956</v>
      </c>
      <c r="E1812" s="25" t="s">
        <v>3914</v>
      </c>
      <c r="F1812" s="25" t="s">
        <v>3807</v>
      </c>
      <c r="G1812" s="25" t="s">
        <v>36</v>
      </c>
      <c r="H1812" s="25" t="s">
        <v>3148</v>
      </c>
      <c r="I1812" s="25" t="s">
        <v>190</v>
      </c>
      <c r="J1812" s="25" t="s">
        <v>3529</v>
      </c>
      <c r="K1812" s="25" t="s">
        <v>298</v>
      </c>
      <c r="L1812" s="25" t="s">
        <v>31</v>
      </c>
      <c r="M1812" s="25" t="n">
        <v>3000</v>
      </c>
      <c r="N1812" s="25" t="n">
        <v>2400</v>
      </c>
      <c r="O1812" s="25"/>
      <c r="P1812" s="26" t="n">
        <f aca="false">(M1812*N1812/1000000)*INDEX(AreaRate_Vals,MATCH(C1812,AreaRate_Keys,0))+INDEX(Hardware_Vals,MATCH("Louvres &amp; Privacy Screens",Hardware_Keys,0))</f>
        <v>10950</v>
      </c>
      <c r="Q1812" s="27" t="n">
        <f aca="false">INDEX(Markup_Vals,MATCH("Railing &amp; Screening Systems",MarkupCat_Keys,0))</f>
        <v>0.42</v>
      </c>
      <c r="R1812" s="28" t="n">
        <f aca="false">P1812*(1+Q1812)</f>
        <v>15549</v>
      </c>
      <c r="S1812" s="28" t="n">
        <f aca="false">R1812*(1-TradeDiscount)</f>
        <v>13683.12</v>
      </c>
      <c r="T1812" s="28" t="n">
        <f aca="false">R1812*(1-VolumeDiscount)</f>
        <v>12439.2</v>
      </c>
    </row>
    <row r="1813" customFormat="false" ht="15" hidden="false" customHeight="false" outlineLevel="0" collapsed="false">
      <c r="A1813" s="29" t="s">
        <v>3957</v>
      </c>
      <c r="B1813" s="29" t="s">
        <v>122</v>
      </c>
      <c r="C1813" s="29" t="s">
        <v>58</v>
      </c>
      <c r="D1813" s="29" t="s">
        <v>3958</v>
      </c>
      <c r="E1813" s="29" t="s">
        <v>3914</v>
      </c>
      <c r="F1813" s="29" t="s">
        <v>3807</v>
      </c>
      <c r="G1813" s="29" t="s">
        <v>37</v>
      </c>
      <c r="H1813" s="29" t="s">
        <v>3148</v>
      </c>
      <c r="I1813" s="29" t="s">
        <v>190</v>
      </c>
      <c r="J1813" s="29" t="s">
        <v>3529</v>
      </c>
      <c r="K1813" s="29" t="s">
        <v>298</v>
      </c>
      <c r="L1813" s="29" t="s">
        <v>31</v>
      </c>
      <c r="M1813" s="29" t="n">
        <v>3000</v>
      </c>
      <c r="N1813" s="29" t="n">
        <v>2400</v>
      </c>
      <c r="O1813" s="29"/>
      <c r="P1813" s="30" t="n">
        <f aca="false">(M1813*N1813/1000000)*INDEX(AreaRate_Vals,MATCH(C1813,AreaRate_Keys,0))+INDEX(Hardware_Vals,MATCH("Louvres &amp; Privacy Screens",Hardware_Keys,0))</f>
        <v>10950</v>
      </c>
      <c r="Q1813" s="31" t="n">
        <f aca="false">INDEX(Markup_Vals,MATCH("Railing &amp; Screening Systems",MarkupCat_Keys,0))</f>
        <v>0.42</v>
      </c>
      <c r="R1813" s="32" t="n">
        <f aca="false">P1813*(1+Q1813)</f>
        <v>15549</v>
      </c>
      <c r="S1813" s="32" t="n">
        <f aca="false">R1813*(1-TradeDiscount)</f>
        <v>13683.12</v>
      </c>
      <c r="T1813" s="32" t="n">
        <f aca="false">R1813*(1-VolumeDiscount)</f>
        <v>12439.2</v>
      </c>
    </row>
    <row r="1814" customFormat="false" ht="15" hidden="false" customHeight="false" outlineLevel="0" collapsed="false">
      <c r="A1814" s="25" t="s">
        <v>3959</v>
      </c>
      <c r="B1814" s="25" t="s">
        <v>122</v>
      </c>
      <c r="C1814" s="25" t="s">
        <v>58</v>
      </c>
      <c r="D1814" s="25" t="s">
        <v>3960</v>
      </c>
      <c r="E1814" s="25" t="s">
        <v>3914</v>
      </c>
      <c r="F1814" s="25" t="s">
        <v>3807</v>
      </c>
      <c r="G1814" s="25" t="s">
        <v>39</v>
      </c>
      <c r="H1814" s="25" t="s">
        <v>3148</v>
      </c>
      <c r="I1814" s="25" t="s">
        <v>190</v>
      </c>
      <c r="J1814" s="25" t="s">
        <v>3529</v>
      </c>
      <c r="K1814" s="25" t="s">
        <v>298</v>
      </c>
      <c r="L1814" s="25" t="s">
        <v>31</v>
      </c>
      <c r="M1814" s="25" t="n">
        <v>3000</v>
      </c>
      <c r="N1814" s="25" t="n">
        <v>2400</v>
      </c>
      <c r="O1814" s="25"/>
      <c r="P1814" s="26" t="n">
        <f aca="false">(M1814*N1814/1000000)*INDEX(AreaRate_Vals,MATCH(C1814,AreaRate_Keys,0))+INDEX(Hardware_Vals,MATCH("Louvres &amp; Privacy Screens",Hardware_Keys,0))</f>
        <v>10950</v>
      </c>
      <c r="Q1814" s="27" t="n">
        <f aca="false">INDEX(Markup_Vals,MATCH("Railing &amp; Screening Systems",MarkupCat_Keys,0))</f>
        <v>0.42</v>
      </c>
      <c r="R1814" s="28" t="n">
        <f aca="false">P1814*(1+Q1814)</f>
        <v>15549</v>
      </c>
      <c r="S1814" s="28" t="n">
        <f aca="false">R1814*(1-TradeDiscount)</f>
        <v>13683.12</v>
      </c>
      <c r="T1814" s="28" t="n">
        <f aca="false">R1814*(1-VolumeDiscount)</f>
        <v>12439.2</v>
      </c>
    </row>
    <row r="1815" customFormat="false" ht="15" hidden="false" customHeight="false" outlineLevel="0" collapsed="false">
      <c r="A1815" s="29" t="s">
        <v>3961</v>
      </c>
      <c r="B1815" s="29" t="s">
        <v>122</v>
      </c>
      <c r="C1815" s="29" t="s">
        <v>3962</v>
      </c>
      <c r="D1815" s="29" t="s">
        <v>3963</v>
      </c>
      <c r="E1815" s="29" t="s">
        <v>3964</v>
      </c>
      <c r="F1815" s="29" t="s">
        <v>3965</v>
      </c>
      <c r="G1815" s="29" t="s">
        <v>35</v>
      </c>
      <c r="H1815" s="29" t="s">
        <v>67</v>
      </c>
      <c r="I1815" s="29" t="s">
        <v>3039</v>
      </c>
      <c r="J1815" s="29" t="s">
        <v>3002</v>
      </c>
      <c r="K1815" s="29" t="s">
        <v>298</v>
      </c>
      <c r="L1815" s="29"/>
      <c r="M1815" s="29"/>
      <c r="N1815" s="29"/>
      <c r="O1815" s="29"/>
      <c r="P1815" s="34" t="n">
        <v>1040</v>
      </c>
      <c r="Q1815" s="31" t="n">
        <f aca="false">INDEX(Markup_Vals,MATCH("Railing &amp; Screening Systems",MarkupCat_Keys,0))</f>
        <v>0.42</v>
      </c>
      <c r="R1815" s="32" t="n">
        <f aca="false">P1815*(1+Q1815)</f>
        <v>1476.8</v>
      </c>
      <c r="S1815" s="32" t="n">
        <f aca="false">R1815*(1-TradeDiscount)</f>
        <v>1299.584</v>
      </c>
      <c r="T1815" s="32" t="n">
        <f aca="false">R1815*(1-VolumeDiscount)</f>
        <v>1181.44</v>
      </c>
    </row>
    <row r="1816" customFormat="false" ht="15" hidden="false" customHeight="false" outlineLevel="0" collapsed="false">
      <c r="A1816" s="25" t="s">
        <v>3966</v>
      </c>
      <c r="B1816" s="25" t="s">
        <v>122</v>
      </c>
      <c r="C1816" s="25" t="s">
        <v>3962</v>
      </c>
      <c r="D1816" s="25" t="s">
        <v>3967</v>
      </c>
      <c r="E1816" s="25" t="s">
        <v>3964</v>
      </c>
      <c r="F1816" s="25" t="s">
        <v>3965</v>
      </c>
      <c r="G1816" s="25" t="s">
        <v>36</v>
      </c>
      <c r="H1816" s="25" t="s">
        <v>67</v>
      </c>
      <c r="I1816" s="25" t="s">
        <v>3039</v>
      </c>
      <c r="J1816" s="25" t="s">
        <v>3002</v>
      </c>
      <c r="K1816" s="25" t="s">
        <v>298</v>
      </c>
      <c r="L1816" s="25"/>
      <c r="M1816" s="25"/>
      <c r="N1816" s="25"/>
      <c r="O1816" s="25"/>
      <c r="P1816" s="33" t="n">
        <v>1040</v>
      </c>
      <c r="Q1816" s="27" t="n">
        <f aca="false">INDEX(Markup_Vals,MATCH("Railing &amp; Screening Systems",MarkupCat_Keys,0))</f>
        <v>0.42</v>
      </c>
      <c r="R1816" s="28" t="n">
        <f aca="false">P1816*(1+Q1816)</f>
        <v>1476.8</v>
      </c>
      <c r="S1816" s="28" t="n">
        <f aca="false">R1816*(1-TradeDiscount)</f>
        <v>1299.584</v>
      </c>
      <c r="T1816" s="28" t="n">
        <f aca="false">R1816*(1-VolumeDiscount)</f>
        <v>1181.44</v>
      </c>
    </row>
    <row r="1817" customFormat="false" ht="15" hidden="false" customHeight="false" outlineLevel="0" collapsed="false">
      <c r="A1817" s="29" t="s">
        <v>3968</v>
      </c>
      <c r="B1817" s="29" t="s">
        <v>122</v>
      </c>
      <c r="C1817" s="29" t="s">
        <v>3962</v>
      </c>
      <c r="D1817" s="29" t="s">
        <v>3969</v>
      </c>
      <c r="E1817" s="29" t="s">
        <v>3964</v>
      </c>
      <c r="F1817" s="29" t="s">
        <v>3965</v>
      </c>
      <c r="G1817" s="29" t="s">
        <v>37</v>
      </c>
      <c r="H1817" s="29" t="s">
        <v>67</v>
      </c>
      <c r="I1817" s="29" t="s">
        <v>3039</v>
      </c>
      <c r="J1817" s="29" t="s">
        <v>3002</v>
      </c>
      <c r="K1817" s="29" t="s">
        <v>298</v>
      </c>
      <c r="L1817" s="29"/>
      <c r="M1817" s="29"/>
      <c r="N1817" s="29"/>
      <c r="O1817" s="29"/>
      <c r="P1817" s="34" t="n">
        <v>1040</v>
      </c>
      <c r="Q1817" s="31" t="n">
        <f aca="false">INDEX(Markup_Vals,MATCH("Railing &amp; Screening Systems",MarkupCat_Keys,0))</f>
        <v>0.42</v>
      </c>
      <c r="R1817" s="32" t="n">
        <f aca="false">P1817*(1+Q1817)</f>
        <v>1476.8</v>
      </c>
      <c r="S1817" s="32" t="n">
        <f aca="false">R1817*(1-TradeDiscount)</f>
        <v>1299.584</v>
      </c>
      <c r="T1817" s="32" t="n">
        <f aca="false">R1817*(1-VolumeDiscount)</f>
        <v>1181.44</v>
      </c>
    </row>
    <row r="1818" customFormat="false" ht="15" hidden="false" customHeight="false" outlineLevel="0" collapsed="false">
      <c r="A1818" s="25" t="s">
        <v>3970</v>
      </c>
      <c r="B1818" s="25" t="s">
        <v>122</v>
      </c>
      <c r="C1818" s="25" t="s">
        <v>3962</v>
      </c>
      <c r="D1818" s="25" t="s">
        <v>3971</v>
      </c>
      <c r="E1818" s="25" t="s">
        <v>3972</v>
      </c>
      <c r="F1818" s="25" t="s">
        <v>3965</v>
      </c>
      <c r="G1818" s="25" t="s">
        <v>35</v>
      </c>
      <c r="H1818" s="25" t="s">
        <v>67</v>
      </c>
      <c r="I1818" s="25" t="s">
        <v>3039</v>
      </c>
      <c r="J1818" s="25" t="s">
        <v>3002</v>
      </c>
      <c r="K1818" s="25" t="s">
        <v>298</v>
      </c>
      <c r="L1818" s="25"/>
      <c r="M1818" s="25"/>
      <c r="N1818" s="25"/>
      <c r="O1818" s="25"/>
      <c r="P1818" s="33" t="n">
        <v>1190</v>
      </c>
      <c r="Q1818" s="27" t="n">
        <f aca="false">INDEX(Markup_Vals,MATCH("Railing &amp; Screening Systems",MarkupCat_Keys,0))</f>
        <v>0.42</v>
      </c>
      <c r="R1818" s="28" t="n">
        <f aca="false">P1818*(1+Q1818)</f>
        <v>1689.8</v>
      </c>
      <c r="S1818" s="28" t="n">
        <f aca="false">R1818*(1-TradeDiscount)</f>
        <v>1487.024</v>
      </c>
      <c r="T1818" s="28" t="n">
        <f aca="false">R1818*(1-VolumeDiscount)</f>
        <v>1351.84</v>
      </c>
    </row>
    <row r="1819" customFormat="false" ht="15" hidden="false" customHeight="false" outlineLevel="0" collapsed="false">
      <c r="A1819" s="29" t="s">
        <v>3973</v>
      </c>
      <c r="B1819" s="29" t="s">
        <v>122</v>
      </c>
      <c r="C1819" s="29" t="s">
        <v>3962</v>
      </c>
      <c r="D1819" s="29" t="s">
        <v>3974</v>
      </c>
      <c r="E1819" s="29" t="s">
        <v>3972</v>
      </c>
      <c r="F1819" s="29" t="s">
        <v>3965</v>
      </c>
      <c r="G1819" s="29" t="s">
        <v>36</v>
      </c>
      <c r="H1819" s="29" t="s">
        <v>67</v>
      </c>
      <c r="I1819" s="29" t="s">
        <v>3039</v>
      </c>
      <c r="J1819" s="29" t="s">
        <v>3002</v>
      </c>
      <c r="K1819" s="29" t="s">
        <v>298</v>
      </c>
      <c r="L1819" s="29"/>
      <c r="M1819" s="29"/>
      <c r="N1819" s="29"/>
      <c r="O1819" s="29"/>
      <c r="P1819" s="34" t="n">
        <v>1190</v>
      </c>
      <c r="Q1819" s="31" t="n">
        <f aca="false">INDEX(Markup_Vals,MATCH("Railing &amp; Screening Systems",MarkupCat_Keys,0))</f>
        <v>0.42</v>
      </c>
      <c r="R1819" s="32" t="n">
        <f aca="false">P1819*(1+Q1819)</f>
        <v>1689.8</v>
      </c>
      <c r="S1819" s="32" t="n">
        <f aca="false">R1819*(1-TradeDiscount)</f>
        <v>1487.024</v>
      </c>
      <c r="T1819" s="32" t="n">
        <f aca="false">R1819*(1-VolumeDiscount)</f>
        <v>1351.84</v>
      </c>
    </row>
    <row r="1820" customFormat="false" ht="15" hidden="false" customHeight="false" outlineLevel="0" collapsed="false">
      <c r="A1820" s="25" t="s">
        <v>3975</v>
      </c>
      <c r="B1820" s="25" t="s">
        <v>122</v>
      </c>
      <c r="C1820" s="25" t="s">
        <v>3962</v>
      </c>
      <c r="D1820" s="25" t="s">
        <v>3976</v>
      </c>
      <c r="E1820" s="25" t="s">
        <v>3972</v>
      </c>
      <c r="F1820" s="25" t="s">
        <v>3965</v>
      </c>
      <c r="G1820" s="25" t="s">
        <v>37</v>
      </c>
      <c r="H1820" s="25" t="s">
        <v>67</v>
      </c>
      <c r="I1820" s="25" t="s">
        <v>3039</v>
      </c>
      <c r="J1820" s="25" t="s">
        <v>3002</v>
      </c>
      <c r="K1820" s="25" t="s">
        <v>298</v>
      </c>
      <c r="L1820" s="25"/>
      <c r="M1820" s="25"/>
      <c r="N1820" s="25"/>
      <c r="O1820" s="25"/>
      <c r="P1820" s="33" t="n">
        <v>1190</v>
      </c>
      <c r="Q1820" s="27" t="n">
        <f aca="false">INDEX(Markup_Vals,MATCH("Railing &amp; Screening Systems",MarkupCat_Keys,0))</f>
        <v>0.42</v>
      </c>
      <c r="R1820" s="28" t="n">
        <f aca="false">P1820*(1+Q1820)</f>
        <v>1689.8</v>
      </c>
      <c r="S1820" s="28" t="n">
        <f aca="false">R1820*(1-TradeDiscount)</f>
        <v>1487.024</v>
      </c>
      <c r="T1820" s="28" t="n">
        <f aca="false">R1820*(1-VolumeDiscount)</f>
        <v>1351.84</v>
      </c>
    </row>
    <row r="1821" customFormat="false" ht="15" hidden="false" customHeight="false" outlineLevel="0" collapsed="false">
      <c r="A1821" s="29" t="s">
        <v>3977</v>
      </c>
      <c r="B1821" s="29" t="s">
        <v>122</v>
      </c>
      <c r="C1821" s="29" t="s">
        <v>3962</v>
      </c>
      <c r="D1821" s="29" t="s">
        <v>3978</v>
      </c>
      <c r="E1821" s="29" t="s">
        <v>3979</v>
      </c>
      <c r="F1821" s="29" t="s">
        <v>3965</v>
      </c>
      <c r="G1821" s="29" t="s">
        <v>35</v>
      </c>
      <c r="H1821" s="29" t="s">
        <v>67</v>
      </c>
      <c r="I1821" s="29" t="s">
        <v>190</v>
      </c>
      <c r="J1821" s="29" t="s">
        <v>3002</v>
      </c>
      <c r="K1821" s="29" t="s">
        <v>298</v>
      </c>
      <c r="L1821" s="29"/>
      <c r="M1821" s="29"/>
      <c r="N1821" s="29"/>
      <c r="O1821" s="29"/>
      <c r="P1821" s="34" t="n">
        <v>4580</v>
      </c>
      <c r="Q1821" s="31" t="n">
        <f aca="false">INDEX(Markup_Vals,MATCH("Railing &amp; Screening Systems",MarkupCat_Keys,0))</f>
        <v>0.42</v>
      </c>
      <c r="R1821" s="32" t="n">
        <f aca="false">P1821*(1+Q1821)</f>
        <v>6503.6</v>
      </c>
      <c r="S1821" s="32" t="n">
        <f aca="false">R1821*(1-TradeDiscount)</f>
        <v>5723.168</v>
      </c>
      <c r="T1821" s="32" t="n">
        <f aca="false">R1821*(1-VolumeDiscount)</f>
        <v>5202.88</v>
      </c>
    </row>
    <row r="1822" customFormat="false" ht="15" hidden="false" customHeight="false" outlineLevel="0" collapsed="false">
      <c r="A1822" s="25" t="s">
        <v>3980</v>
      </c>
      <c r="B1822" s="25" t="s">
        <v>122</v>
      </c>
      <c r="C1822" s="25" t="s">
        <v>3962</v>
      </c>
      <c r="D1822" s="25" t="s">
        <v>3981</v>
      </c>
      <c r="E1822" s="25" t="s">
        <v>3979</v>
      </c>
      <c r="F1822" s="25" t="s">
        <v>3965</v>
      </c>
      <c r="G1822" s="25" t="s">
        <v>36</v>
      </c>
      <c r="H1822" s="25" t="s">
        <v>67</v>
      </c>
      <c r="I1822" s="25" t="s">
        <v>190</v>
      </c>
      <c r="J1822" s="25" t="s">
        <v>3002</v>
      </c>
      <c r="K1822" s="25" t="s">
        <v>298</v>
      </c>
      <c r="L1822" s="25"/>
      <c r="M1822" s="25"/>
      <c r="N1822" s="25"/>
      <c r="O1822" s="25"/>
      <c r="P1822" s="33" t="n">
        <v>4580</v>
      </c>
      <c r="Q1822" s="27" t="n">
        <f aca="false">INDEX(Markup_Vals,MATCH("Railing &amp; Screening Systems",MarkupCat_Keys,0))</f>
        <v>0.42</v>
      </c>
      <c r="R1822" s="28" t="n">
        <f aca="false">P1822*(1+Q1822)</f>
        <v>6503.6</v>
      </c>
      <c r="S1822" s="28" t="n">
        <f aca="false">R1822*(1-TradeDiscount)</f>
        <v>5723.168</v>
      </c>
      <c r="T1822" s="28" t="n">
        <f aca="false">R1822*(1-VolumeDiscount)</f>
        <v>5202.88</v>
      </c>
    </row>
    <row r="1823" customFormat="false" ht="15" hidden="false" customHeight="false" outlineLevel="0" collapsed="false">
      <c r="A1823" s="29" t="s">
        <v>3982</v>
      </c>
      <c r="B1823" s="29" t="s">
        <v>122</v>
      </c>
      <c r="C1823" s="29" t="s">
        <v>3962</v>
      </c>
      <c r="D1823" s="29" t="s">
        <v>3983</v>
      </c>
      <c r="E1823" s="29" t="s">
        <v>3979</v>
      </c>
      <c r="F1823" s="29" t="s">
        <v>3965</v>
      </c>
      <c r="G1823" s="29" t="s">
        <v>37</v>
      </c>
      <c r="H1823" s="29" t="s">
        <v>67</v>
      </c>
      <c r="I1823" s="29" t="s">
        <v>190</v>
      </c>
      <c r="J1823" s="29" t="s">
        <v>3002</v>
      </c>
      <c r="K1823" s="29" t="s">
        <v>298</v>
      </c>
      <c r="L1823" s="29"/>
      <c r="M1823" s="29"/>
      <c r="N1823" s="29"/>
      <c r="O1823" s="29"/>
      <c r="P1823" s="34" t="n">
        <v>4580</v>
      </c>
      <c r="Q1823" s="31" t="n">
        <f aca="false">INDEX(Markup_Vals,MATCH("Railing &amp; Screening Systems",MarkupCat_Keys,0))</f>
        <v>0.42</v>
      </c>
      <c r="R1823" s="32" t="n">
        <f aca="false">P1823*(1+Q1823)</f>
        <v>6503.6</v>
      </c>
      <c r="S1823" s="32" t="n">
        <f aca="false">R1823*(1-TradeDiscount)</f>
        <v>5723.168</v>
      </c>
      <c r="T1823" s="32" t="n">
        <f aca="false">R1823*(1-VolumeDiscount)</f>
        <v>5202.88</v>
      </c>
    </row>
    <row r="1824" customFormat="false" ht="15" hidden="false" customHeight="false" outlineLevel="0" collapsed="false">
      <c r="A1824" s="25" t="s">
        <v>3984</v>
      </c>
      <c r="B1824" s="25" t="s">
        <v>122</v>
      </c>
      <c r="C1824" s="25" t="s">
        <v>3962</v>
      </c>
      <c r="D1824" s="25" t="s">
        <v>3985</v>
      </c>
      <c r="E1824" s="25" t="s">
        <v>3986</v>
      </c>
      <c r="F1824" s="25" t="s">
        <v>3965</v>
      </c>
      <c r="G1824" s="25" t="s">
        <v>35</v>
      </c>
      <c r="H1824" s="25" t="s">
        <v>67</v>
      </c>
      <c r="I1824" s="25" t="s">
        <v>190</v>
      </c>
      <c r="J1824" s="25" t="s">
        <v>3002</v>
      </c>
      <c r="K1824" s="25" t="s">
        <v>298</v>
      </c>
      <c r="L1824" s="25"/>
      <c r="M1824" s="25"/>
      <c r="N1824" s="25"/>
      <c r="O1824" s="25"/>
      <c r="P1824" s="33" t="n">
        <v>5618</v>
      </c>
      <c r="Q1824" s="27" t="n">
        <f aca="false">INDEX(Markup_Vals,MATCH("Railing &amp; Screening Systems",MarkupCat_Keys,0))</f>
        <v>0.42</v>
      </c>
      <c r="R1824" s="28" t="n">
        <f aca="false">P1824*(1+Q1824)</f>
        <v>7977.56</v>
      </c>
      <c r="S1824" s="28" t="n">
        <f aca="false">R1824*(1-TradeDiscount)</f>
        <v>7020.2528</v>
      </c>
      <c r="T1824" s="28" t="n">
        <f aca="false">R1824*(1-VolumeDiscount)</f>
        <v>6382.048</v>
      </c>
    </row>
    <row r="1825" customFormat="false" ht="15" hidden="false" customHeight="false" outlineLevel="0" collapsed="false">
      <c r="A1825" s="29" t="s">
        <v>3987</v>
      </c>
      <c r="B1825" s="29" t="s">
        <v>122</v>
      </c>
      <c r="C1825" s="29" t="s">
        <v>3962</v>
      </c>
      <c r="D1825" s="29" t="s">
        <v>3988</v>
      </c>
      <c r="E1825" s="29" t="s">
        <v>3986</v>
      </c>
      <c r="F1825" s="29" t="s">
        <v>3965</v>
      </c>
      <c r="G1825" s="29" t="s">
        <v>36</v>
      </c>
      <c r="H1825" s="29" t="s">
        <v>67</v>
      </c>
      <c r="I1825" s="29" t="s">
        <v>190</v>
      </c>
      <c r="J1825" s="29" t="s">
        <v>3002</v>
      </c>
      <c r="K1825" s="29" t="s">
        <v>298</v>
      </c>
      <c r="L1825" s="29"/>
      <c r="M1825" s="29"/>
      <c r="N1825" s="29"/>
      <c r="O1825" s="29"/>
      <c r="P1825" s="34" t="n">
        <v>5618</v>
      </c>
      <c r="Q1825" s="31" t="n">
        <f aca="false">INDEX(Markup_Vals,MATCH("Railing &amp; Screening Systems",MarkupCat_Keys,0))</f>
        <v>0.42</v>
      </c>
      <c r="R1825" s="32" t="n">
        <f aca="false">P1825*(1+Q1825)</f>
        <v>7977.56</v>
      </c>
      <c r="S1825" s="32" t="n">
        <f aca="false">R1825*(1-TradeDiscount)</f>
        <v>7020.2528</v>
      </c>
      <c r="T1825" s="32" t="n">
        <f aca="false">R1825*(1-VolumeDiscount)</f>
        <v>6382.048</v>
      </c>
    </row>
    <row r="1826" customFormat="false" ht="15" hidden="false" customHeight="false" outlineLevel="0" collapsed="false">
      <c r="A1826" s="25" t="s">
        <v>3989</v>
      </c>
      <c r="B1826" s="25" t="s">
        <v>122</v>
      </c>
      <c r="C1826" s="25" t="s">
        <v>3962</v>
      </c>
      <c r="D1826" s="25" t="s">
        <v>3990</v>
      </c>
      <c r="E1826" s="25" t="s">
        <v>3986</v>
      </c>
      <c r="F1826" s="25" t="s">
        <v>3965</v>
      </c>
      <c r="G1826" s="25" t="s">
        <v>37</v>
      </c>
      <c r="H1826" s="25" t="s">
        <v>67</v>
      </c>
      <c r="I1826" s="25" t="s">
        <v>190</v>
      </c>
      <c r="J1826" s="25" t="s">
        <v>3002</v>
      </c>
      <c r="K1826" s="25" t="s">
        <v>298</v>
      </c>
      <c r="L1826" s="25"/>
      <c r="M1826" s="25"/>
      <c r="N1826" s="25"/>
      <c r="O1826" s="25"/>
      <c r="P1826" s="33" t="n">
        <v>5618</v>
      </c>
      <c r="Q1826" s="27" t="n">
        <f aca="false">INDEX(Markup_Vals,MATCH("Railing &amp; Screening Systems",MarkupCat_Keys,0))</f>
        <v>0.42</v>
      </c>
      <c r="R1826" s="28" t="n">
        <f aca="false">P1826*(1+Q1826)</f>
        <v>7977.56</v>
      </c>
      <c r="S1826" s="28" t="n">
        <f aca="false">R1826*(1-TradeDiscount)</f>
        <v>7020.2528</v>
      </c>
      <c r="T1826" s="28" t="n">
        <f aca="false">R1826*(1-VolumeDiscount)</f>
        <v>6382.048</v>
      </c>
    </row>
    <row r="1827" customFormat="false" ht="15" hidden="false" customHeight="false" outlineLevel="0" collapsed="false">
      <c r="A1827" s="29" t="s">
        <v>3991</v>
      </c>
      <c r="B1827" s="29" t="s">
        <v>123</v>
      </c>
      <c r="C1827" s="29" t="s">
        <v>59</v>
      </c>
      <c r="D1827" s="29" t="s">
        <v>3992</v>
      </c>
      <c r="E1827" s="29" t="s">
        <v>3993</v>
      </c>
      <c r="F1827" s="29" t="s">
        <v>3994</v>
      </c>
      <c r="G1827" s="29" t="s">
        <v>35</v>
      </c>
      <c r="H1827" s="29" t="s">
        <v>65</v>
      </c>
      <c r="I1827" s="29" t="s">
        <v>190</v>
      </c>
      <c r="J1827" s="29" t="s">
        <v>3529</v>
      </c>
      <c r="K1827" s="29" t="s">
        <v>298</v>
      </c>
      <c r="L1827" s="29" t="s">
        <v>29</v>
      </c>
      <c r="M1827" s="29" t="n">
        <v>600</v>
      </c>
      <c r="N1827" s="29" t="n">
        <v>600</v>
      </c>
      <c r="O1827" s="29"/>
      <c r="P1827" s="30" t="n">
        <f aca="false">(M1827*N1827/1000000)*(INDEX(AreaRate_Vals,MATCH(C1827,AreaRate_Keys,0))+IFERROR(INDEX(GlazingUpg_Vals,MATCH(H1827,GlazingUpg_Keys,0)),0))+INDEX(Hardware_Vals,MATCH("Skylights &amp; Roof Glazing",Hardware_Keys,0))</f>
        <v>1116</v>
      </c>
      <c r="Q1827" s="31" t="n">
        <f aca="false">INDEX(Markup_Vals,MATCH("Roofing Glazing &amp; Garage Doors",MarkupCat_Keys,0))</f>
        <v>0.38</v>
      </c>
      <c r="R1827" s="32" t="n">
        <f aca="false">P1827*(1+Q1827)</f>
        <v>1540.08</v>
      </c>
      <c r="S1827" s="32" t="n">
        <f aca="false">R1827*(1-TradeDiscount)</f>
        <v>1355.2704</v>
      </c>
      <c r="T1827" s="32" t="n">
        <f aca="false">R1827*(1-VolumeDiscount)</f>
        <v>1232.064</v>
      </c>
    </row>
    <row r="1828" customFormat="false" ht="15" hidden="false" customHeight="false" outlineLevel="0" collapsed="false">
      <c r="A1828" s="25" t="s">
        <v>3995</v>
      </c>
      <c r="B1828" s="25" t="s">
        <v>123</v>
      </c>
      <c r="C1828" s="25" t="s">
        <v>59</v>
      </c>
      <c r="D1828" s="25" t="s">
        <v>3996</v>
      </c>
      <c r="E1828" s="25" t="s">
        <v>3993</v>
      </c>
      <c r="F1828" s="25" t="s">
        <v>3994</v>
      </c>
      <c r="G1828" s="25" t="s">
        <v>35</v>
      </c>
      <c r="H1828" s="25" t="s">
        <v>64</v>
      </c>
      <c r="I1828" s="25" t="s">
        <v>190</v>
      </c>
      <c r="J1828" s="25" t="s">
        <v>3529</v>
      </c>
      <c r="K1828" s="25" t="s">
        <v>298</v>
      </c>
      <c r="L1828" s="25" t="s">
        <v>29</v>
      </c>
      <c r="M1828" s="25" t="n">
        <v>600</v>
      </c>
      <c r="N1828" s="25" t="n">
        <v>600</v>
      </c>
      <c r="O1828" s="25"/>
      <c r="P1828" s="26" t="n">
        <f aca="false">(M1828*N1828/1000000)*(INDEX(AreaRate_Vals,MATCH(C1828,AreaRate_Keys,0))+IFERROR(INDEX(GlazingUpg_Vals,MATCH(H1828,GlazingUpg_Keys,0)),0))+INDEX(Hardware_Vals,MATCH("Skylights &amp; Roof Glazing",Hardware_Keys,0))</f>
        <v>1314</v>
      </c>
      <c r="Q1828" s="27" t="n">
        <f aca="false">INDEX(Markup_Vals,MATCH("Roofing Glazing &amp; Garage Doors",MarkupCat_Keys,0))</f>
        <v>0.38</v>
      </c>
      <c r="R1828" s="28" t="n">
        <f aca="false">P1828*(1+Q1828)</f>
        <v>1813.32</v>
      </c>
      <c r="S1828" s="28" t="n">
        <f aca="false">R1828*(1-TradeDiscount)</f>
        <v>1595.7216</v>
      </c>
      <c r="T1828" s="28" t="n">
        <f aca="false">R1828*(1-VolumeDiscount)</f>
        <v>1450.656</v>
      </c>
    </row>
    <row r="1829" customFormat="false" ht="15" hidden="false" customHeight="false" outlineLevel="0" collapsed="false">
      <c r="A1829" s="29" t="s">
        <v>3997</v>
      </c>
      <c r="B1829" s="29" t="s">
        <v>123</v>
      </c>
      <c r="C1829" s="29" t="s">
        <v>59</v>
      </c>
      <c r="D1829" s="29" t="s">
        <v>3998</v>
      </c>
      <c r="E1829" s="29" t="s">
        <v>3993</v>
      </c>
      <c r="F1829" s="29" t="s">
        <v>3999</v>
      </c>
      <c r="G1829" s="29" t="s">
        <v>35</v>
      </c>
      <c r="H1829" s="29" t="s">
        <v>65</v>
      </c>
      <c r="I1829" s="29" t="s">
        <v>190</v>
      </c>
      <c r="J1829" s="29" t="s">
        <v>3529</v>
      </c>
      <c r="K1829" s="29" t="s">
        <v>298</v>
      </c>
      <c r="L1829" s="29" t="s">
        <v>29</v>
      </c>
      <c r="M1829" s="29" t="n">
        <v>900</v>
      </c>
      <c r="N1829" s="29" t="n">
        <v>900</v>
      </c>
      <c r="O1829" s="29"/>
      <c r="P1829" s="30" t="n">
        <f aca="false">(M1829*N1829/1000000)*(INDEX(AreaRate_Vals,MATCH(C1829,AreaRate_Keys,0))+IFERROR(INDEX(GlazingUpg_Vals,MATCH(H1829,GlazingUpg_Keys,0)),0))+INDEX(Hardware_Vals,MATCH("Skylights &amp; Roof Glazing",Hardware_Keys,0))</f>
        <v>2286</v>
      </c>
      <c r="Q1829" s="31" t="n">
        <f aca="false">INDEX(Markup_Vals,MATCH("Roofing Glazing &amp; Garage Doors",MarkupCat_Keys,0))</f>
        <v>0.38</v>
      </c>
      <c r="R1829" s="32" t="n">
        <f aca="false">P1829*(1+Q1829)</f>
        <v>3154.68</v>
      </c>
      <c r="S1829" s="32" t="n">
        <f aca="false">R1829*(1-TradeDiscount)</f>
        <v>2776.1184</v>
      </c>
      <c r="T1829" s="32" t="n">
        <f aca="false">R1829*(1-VolumeDiscount)</f>
        <v>2523.744</v>
      </c>
    </row>
    <row r="1830" customFormat="false" ht="15" hidden="false" customHeight="false" outlineLevel="0" collapsed="false">
      <c r="A1830" s="25" t="s">
        <v>4000</v>
      </c>
      <c r="B1830" s="25" t="s">
        <v>123</v>
      </c>
      <c r="C1830" s="25" t="s">
        <v>59</v>
      </c>
      <c r="D1830" s="25" t="s">
        <v>4001</v>
      </c>
      <c r="E1830" s="25" t="s">
        <v>3993</v>
      </c>
      <c r="F1830" s="25" t="s">
        <v>3999</v>
      </c>
      <c r="G1830" s="25" t="s">
        <v>35</v>
      </c>
      <c r="H1830" s="25" t="s">
        <v>64</v>
      </c>
      <c r="I1830" s="25" t="s">
        <v>190</v>
      </c>
      <c r="J1830" s="25" t="s">
        <v>3529</v>
      </c>
      <c r="K1830" s="25" t="s">
        <v>298</v>
      </c>
      <c r="L1830" s="25" t="s">
        <v>29</v>
      </c>
      <c r="M1830" s="25" t="n">
        <v>900</v>
      </c>
      <c r="N1830" s="25" t="n">
        <v>900</v>
      </c>
      <c r="O1830" s="25"/>
      <c r="P1830" s="26" t="n">
        <f aca="false">(M1830*N1830/1000000)*(INDEX(AreaRate_Vals,MATCH(C1830,AreaRate_Keys,0))+IFERROR(INDEX(GlazingUpg_Vals,MATCH(H1830,GlazingUpg_Keys,0)),0))+INDEX(Hardware_Vals,MATCH("Skylights &amp; Roof Glazing",Hardware_Keys,0))</f>
        <v>2731.5</v>
      </c>
      <c r="Q1830" s="27" t="n">
        <f aca="false">INDEX(Markup_Vals,MATCH("Roofing Glazing &amp; Garage Doors",MarkupCat_Keys,0))</f>
        <v>0.38</v>
      </c>
      <c r="R1830" s="28" t="n">
        <f aca="false">P1830*(1+Q1830)</f>
        <v>3769.47</v>
      </c>
      <c r="S1830" s="28" t="n">
        <f aca="false">R1830*(1-TradeDiscount)</f>
        <v>3317.1336</v>
      </c>
      <c r="T1830" s="28" t="n">
        <f aca="false">R1830*(1-VolumeDiscount)</f>
        <v>3015.576</v>
      </c>
    </row>
    <row r="1831" customFormat="false" ht="15" hidden="false" customHeight="false" outlineLevel="0" collapsed="false">
      <c r="A1831" s="29" t="s">
        <v>4002</v>
      </c>
      <c r="B1831" s="29" t="s">
        <v>123</v>
      </c>
      <c r="C1831" s="29" t="s">
        <v>59</v>
      </c>
      <c r="D1831" s="29" t="s">
        <v>4003</v>
      </c>
      <c r="E1831" s="29" t="s">
        <v>3993</v>
      </c>
      <c r="F1831" s="29" t="s">
        <v>4004</v>
      </c>
      <c r="G1831" s="29" t="s">
        <v>35</v>
      </c>
      <c r="H1831" s="29" t="s">
        <v>65</v>
      </c>
      <c r="I1831" s="29" t="s">
        <v>190</v>
      </c>
      <c r="J1831" s="29" t="s">
        <v>3529</v>
      </c>
      <c r="K1831" s="29" t="s">
        <v>298</v>
      </c>
      <c r="L1831" s="29" t="s">
        <v>29</v>
      </c>
      <c r="M1831" s="29" t="n">
        <v>1200</v>
      </c>
      <c r="N1831" s="29" t="n">
        <v>900</v>
      </c>
      <c r="O1831" s="29"/>
      <c r="P1831" s="30" t="n">
        <f aca="false">(M1831*N1831/1000000)*(INDEX(AreaRate_Vals,MATCH(C1831,AreaRate_Keys,0))+IFERROR(INDEX(GlazingUpg_Vals,MATCH(H1831,GlazingUpg_Keys,0)),0))+INDEX(Hardware_Vals,MATCH("Skylights &amp; Roof Glazing",Hardware_Keys,0))</f>
        <v>2988</v>
      </c>
      <c r="Q1831" s="31" t="n">
        <f aca="false">INDEX(Markup_Vals,MATCH("Roofing Glazing &amp; Garage Doors",MarkupCat_Keys,0))</f>
        <v>0.38</v>
      </c>
      <c r="R1831" s="32" t="n">
        <f aca="false">P1831*(1+Q1831)</f>
        <v>4123.44</v>
      </c>
      <c r="S1831" s="32" t="n">
        <f aca="false">R1831*(1-TradeDiscount)</f>
        <v>3628.6272</v>
      </c>
      <c r="T1831" s="32" t="n">
        <f aca="false">R1831*(1-VolumeDiscount)</f>
        <v>3298.752</v>
      </c>
    </row>
    <row r="1832" customFormat="false" ht="15" hidden="false" customHeight="false" outlineLevel="0" collapsed="false">
      <c r="A1832" s="25" t="s">
        <v>4005</v>
      </c>
      <c r="B1832" s="25" t="s">
        <v>123</v>
      </c>
      <c r="C1832" s="25" t="s">
        <v>59</v>
      </c>
      <c r="D1832" s="25" t="s">
        <v>4006</v>
      </c>
      <c r="E1832" s="25" t="s">
        <v>3993</v>
      </c>
      <c r="F1832" s="25" t="s">
        <v>4004</v>
      </c>
      <c r="G1832" s="25" t="s">
        <v>35</v>
      </c>
      <c r="H1832" s="25" t="s">
        <v>64</v>
      </c>
      <c r="I1832" s="25" t="s">
        <v>190</v>
      </c>
      <c r="J1832" s="25" t="s">
        <v>3529</v>
      </c>
      <c r="K1832" s="25" t="s">
        <v>298</v>
      </c>
      <c r="L1832" s="25" t="s">
        <v>29</v>
      </c>
      <c r="M1832" s="25" t="n">
        <v>1200</v>
      </c>
      <c r="N1832" s="25" t="n">
        <v>900</v>
      </c>
      <c r="O1832" s="25"/>
      <c r="P1832" s="26" t="n">
        <f aca="false">(M1832*N1832/1000000)*(INDEX(AreaRate_Vals,MATCH(C1832,AreaRate_Keys,0))+IFERROR(INDEX(GlazingUpg_Vals,MATCH(H1832,GlazingUpg_Keys,0)),0))+INDEX(Hardware_Vals,MATCH("Skylights &amp; Roof Glazing",Hardware_Keys,0))</f>
        <v>3582</v>
      </c>
      <c r="Q1832" s="27" t="n">
        <f aca="false">INDEX(Markup_Vals,MATCH("Roofing Glazing &amp; Garage Doors",MarkupCat_Keys,0))</f>
        <v>0.38</v>
      </c>
      <c r="R1832" s="28" t="n">
        <f aca="false">P1832*(1+Q1832)</f>
        <v>4943.16</v>
      </c>
      <c r="S1832" s="28" t="n">
        <f aca="false">R1832*(1-TradeDiscount)</f>
        <v>4349.9808</v>
      </c>
      <c r="T1832" s="28" t="n">
        <f aca="false">R1832*(1-VolumeDiscount)</f>
        <v>3954.528</v>
      </c>
    </row>
    <row r="1833" customFormat="false" ht="15" hidden="false" customHeight="false" outlineLevel="0" collapsed="false">
      <c r="A1833" s="29" t="s">
        <v>4007</v>
      </c>
      <c r="B1833" s="29" t="s">
        <v>123</v>
      </c>
      <c r="C1833" s="29" t="s">
        <v>59</v>
      </c>
      <c r="D1833" s="29" t="s">
        <v>4008</v>
      </c>
      <c r="E1833" s="29" t="s">
        <v>3993</v>
      </c>
      <c r="F1833" s="29" t="s">
        <v>4009</v>
      </c>
      <c r="G1833" s="29" t="s">
        <v>35</v>
      </c>
      <c r="H1833" s="29" t="s">
        <v>65</v>
      </c>
      <c r="I1833" s="29" t="s">
        <v>190</v>
      </c>
      <c r="J1833" s="29" t="s">
        <v>3529</v>
      </c>
      <c r="K1833" s="29" t="s">
        <v>298</v>
      </c>
      <c r="L1833" s="29" t="s">
        <v>29</v>
      </c>
      <c r="M1833" s="29" t="n">
        <v>1200</v>
      </c>
      <c r="N1833" s="29" t="n">
        <v>1200</v>
      </c>
      <c r="O1833" s="29"/>
      <c r="P1833" s="30" t="n">
        <f aca="false">(M1833*N1833/1000000)*(INDEX(AreaRate_Vals,MATCH(C1833,AreaRate_Keys,0))+IFERROR(INDEX(GlazingUpg_Vals,MATCH(H1833,GlazingUpg_Keys,0)),0))+INDEX(Hardware_Vals,MATCH("Skylights &amp; Roof Glazing",Hardware_Keys,0))</f>
        <v>3924</v>
      </c>
      <c r="Q1833" s="31" t="n">
        <f aca="false">INDEX(Markup_Vals,MATCH("Roofing Glazing &amp; Garage Doors",MarkupCat_Keys,0))</f>
        <v>0.38</v>
      </c>
      <c r="R1833" s="32" t="n">
        <f aca="false">P1833*(1+Q1833)</f>
        <v>5415.12</v>
      </c>
      <c r="S1833" s="32" t="n">
        <f aca="false">R1833*(1-TradeDiscount)</f>
        <v>4765.3056</v>
      </c>
      <c r="T1833" s="32" t="n">
        <f aca="false">R1833*(1-VolumeDiscount)</f>
        <v>4332.096</v>
      </c>
    </row>
    <row r="1834" customFormat="false" ht="15" hidden="false" customHeight="false" outlineLevel="0" collapsed="false">
      <c r="A1834" s="25" t="s">
        <v>4010</v>
      </c>
      <c r="B1834" s="25" t="s">
        <v>123</v>
      </c>
      <c r="C1834" s="25" t="s">
        <v>59</v>
      </c>
      <c r="D1834" s="25" t="s">
        <v>4011</v>
      </c>
      <c r="E1834" s="25" t="s">
        <v>3993</v>
      </c>
      <c r="F1834" s="25" t="s">
        <v>4009</v>
      </c>
      <c r="G1834" s="25" t="s">
        <v>35</v>
      </c>
      <c r="H1834" s="25" t="s">
        <v>64</v>
      </c>
      <c r="I1834" s="25" t="s">
        <v>190</v>
      </c>
      <c r="J1834" s="25" t="s">
        <v>3529</v>
      </c>
      <c r="K1834" s="25" t="s">
        <v>298</v>
      </c>
      <c r="L1834" s="25" t="s">
        <v>29</v>
      </c>
      <c r="M1834" s="25" t="n">
        <v>1200</v>
      </c>
      <c r="N1834" s="25" t="n">
        <v>1200</v>
      </c>
      <c r="O1834" s="25"/>
      <c r="P1834" s="26" t="n">
        <f aca="false">(M1834*N1834/1000000)*(INDEX(AreaRate_Vals,MATCH(C1834,AreaRate_Keys,0))+IFERROR(INDEX(GlazingUpg_Vals,MATCH(H1834,GlazingUpg_Keys,0)),0))+INDEX(Hardware_Vals,MATCH("Skylights &amp; Roof Glazing",Hardware_Keys,0))</f>
        <v>4716</v>
      </c>
      <c r="Q1834" s="27" t="n">
        <f aca="false">INDEX(Markup_Vals,MATCH("Roofing Glazing &amp; Garage Doors",MarkupCat_Keys,0))</f>
        <v>0.38</v>
      </c>
      <c r="R1834" s="28" t="n">
        <f aca="false">P1834*(1+Q1834)</f>
        <v>6508.08</v>
      </c>
      <c r="S1834" s="28" t="n">
        <f aca="false">R1834*(1-TradeDiscount)</f>
        <v>5727.1104</v>
      </c>
      <c r="T1834" s="28" t="n">
        <f aca="false">R1834*(1-VolumeDiscount)</f>
        <v>5206.464</v>
      </c>
    </row>
    <row r="1835" customFormat="false" ht="15" hidden="false" customHeight="false" outlineLevel="0" collapsed="false">
      <c r="A1835" s="29" t="s">
        <v>4012</v>
      </c>
      <c r="B1835" s="29" t="s">
        <v>123</v>
      </c>
      <c r="C1835" s="29" t="s">
        <v>59</v>
      </c>
      <c r="D1835" s="29" t="s">
        <v>4013</v>
      </c>
      <c r="E1835" s="29" t="s">
        <v>3993</v>
      </c>
      <c r="F1835" s="29" t="s">
        <v>4014</v>
      </c>
      <c r="G1835" s="29" t="s">
        <v>35</v>
      </c>
      <c r="H1835" s="29" t="s">
        <v>65</v>
      </c>
      <c r="I1835" s="29" t="s">
        <v>190</v>
      </c>
      <c r="J1835" s="29" t="s">
        <v>3529</v>
      </c>
      <c r="K1835" s="29" t="s">
        <v>298</v>
      </c>
      <c r="L1835" s="29" t="s">
        <v>29</v>
      </c>
      <c r="M1835" s="29" t="n">
        <v>1800</v>
      </c>
      <c r="N1835" s="29" t="n">
        <v>1200</v>
      </c>
      <c r="O1835" s="29"/>
      <c r="P1835" s="30" t="n">
        <f aca="false">(M1835*N1835/1000000)*(INDEX(AreaRate_Vals,MATCH(C1835,AreaRate_Keys,0))+IFERROR(INDEX(GlazingUpg_Vals,MATCH(H1835,GlazingUpg_Keys,0)),0))+INDEX(Hardware_Vals,MATCH("Skylights &amp; Roof Glazing",Hardware_Keys,0))</f>
        <v>5796</v>
      </c>
      <c r="Q1835" s="31" t="n">
        <f aca="false">INDEX(Markup_Vals,MATCH("Roofing Glazing &amp; Garage Doors",MarkupCat_Keys,0))</f>
        <v>0.38</v>
      </c>
      <c r="R1835" s="32" t="n">
        <f aca="false">P1835*(1+Q1835)</f>
        <v>7998.48</v>
      </c>
      <c r="S1835" s="32" t="n">
        <f aca="false">R1835*(1-TradeDiscount)</f>
        <v>7038.6624</v>
      </c>
      <c r="T1835" s="32" t="n">
        <f aca="false">R1835*(1-VolumeDiscount)</f>
        <v>6398.784</v>
      </c>
    </row>
    <row r="1836" customFormat="false" ht="15" hidden="false" customHeight="false" outlineLevel="0" collapsed="false">
      <c r="A1836" s="25" t="s">
        <v>4015</v>
      </c>
      <c r="B1836" s="25" t="s">
        <v>123</v>
      </c>
      <c r="C1836" s="25" t="s">
        <v>59</v>
      </c>
      <c r="D1836" s="25" t="s">
        <v>4016</v>
      </c>
      <c r="E1836" s="25" t="s">
        <v>3993</v>
      </c>
      <c r="F1836" s="25" t="s">
        <v>4014</v>
      </c>
      <c r="G1836" s="25" t="s">
        <v>35</v>
      </c>
      <c r="H1836" s="25" t="s">
        <v>64</v>
      </c>
      <c r="I1836" s="25" t="s">
        <v>190</v>
      </c>
      <c r="J1836" s="25" t="s">
        <v>3529</v>
      </c>
      <c r="K1836" s="25" t="s">
        <v>298</v>
      </c>
      <c r="L1836" s="25" t="s">
        <v>29</v>
      </c>
      <c r="M1836" s="25" t="n">
        <v>1800</v>
      </c>
      <c r="N1836" s="25" t="n">
        <v>1200</v>
      </c>
      <c r="O1836" s="25"/>
      <c r="P1836" s="26" t="n">
        <f aca="false">(M1836*N1836/1000000)*(INDEX(AreaRate_Vals,MATCH(C1836,AreaRate_Keys,0))+IFERROR(INDEX(GlazingUpg_Vals,MATCH(H1836,GlazingUpg_Keys,0)),0))+INDEX(Hardware_Vals,MATCH("Skylights &amp; Roof Glazing",Hardware_Keys,0))</f>
        <v>6984</v>
      </c>
      <c r="Q1836" s="27" t="n">
        <f aca="false">INDEX(Markup_Vals,MATCH("Roofing Glazing &amp; Garage Doors",MarkupCat_Keys,0))</f>
        <v>0.38</v>
      </c>
      <c r="R1836" s="28" t="n">
        <f aca="false">P1836*(1+Q1836)</f>
        <v>9637.92</v>
      </c>
      <c r="S1836" s="28" t="n">
        <f aca="false">R1836*(1-TradeDiscount)</f>
        <v>8481.3696</v>
      </c>
      <c r="T1836" s="28" t="n">
        <f aca="false">R1836*(1-VolumeDiscount)</f>
        <v>7710.336</v>
      </c>
    </row>
    <row r="1837" customFormat="false" ht="15" hidden="false" customHeight="false" outlineLevel="0" collapsed="false">
      <c r="A1837" s="29" t="s">
        <v>4017</v>
      </c>
      <c r="B1837" s="29" t="s">
        <v>123</v>
      </c>
      <c r="C1837" s="29" t="s">
        <v>59</v>
      </c>
      <c r="D1837" s="29" t="s">
        <v>4018</v>
      </c>
      <c r="E1837" s="29" t="s">
        <v>3993</v>
      </c>
      <c r="F1837" s="29" t="s">
        <v>4019</v>
      </c>
      <c r="G1837" s="29" t="s">
        <v>35</v>
      </c>
      <c r="H1837" s="29" t="s">
        <v>65</v>
      </c>
      <c r="I1837" s="29" t="s">
        <v>190</v>
      </c>
      <c r="J1837" s="29" t="s">
        <v>3529</v>
      </c>
      <c r="K1837" s="29" t="s">
        <v>298</v>
      </c>
      <c r="L1837" s="29" t="s">
        <v>29</v>
      </c>
      <c r="M1837" s="29" t="n">
        <v>2400</v>
      </c>
      <c r="N1837" s="29" t="n">
        <v>1200</v>
      </c>
      <c r="O1837" s="29"/>
      <c r="P1837" s="30" t="n">
        <f aca="false">(M1837*N1837/1000000)*(INDEX(AreaRate_Vals,MATCH(C1837,AreaRate_Keys,0))+IFERROR(INDEX(GlazingUpg_Vals,MATCH(H1837,GlazingUpg_Keys,0)),0))+INDEX(Hardware_Vals,MATCH("Skylights &amp; Roof Glazing",Hardware_Keys,0))</f>
        <v>7668</v>
      </c>
      <c r="Q1837" s="31" t="n">
        <f aca="false">INDEX(Markup_Vals,MATCH("Roofing Glazing &amp; Garage Doors",MarkupCat_Keys,0))</f>
        <v>0.38</v>
      </c>
      <c r="R1837" s="32" t="n">
        <f aca="false">P1837*(1+Q1837)</f>
        <v>10581.84</v>
      </c>
      <c r="S1837" s="32" t="n">
        <f aca="false">R1837*(1-TradeDiscount)</f>
        <v>9312.0192</v>
      </c>
      <c r="T1837" s="32" t="n">
        <f aca="false">R1837*(1-VolumeDiscount)</f>
        <v>8465.472</v>
      </c>
    </row>
    <row r="1838" customFormat="false" ht="15" hidden="false" customHeight="false" outlineLevel="0" collapsed="false">
      <c r="A1838" s="25" t="s">
        <v>4020</v>
      </c>
      <c r="B1838" s="25" t="s">
        <v>123</v>
      </c>
      <c r="C1838" s="25" t="s">
        <v>59</v>
      </c>
      <c r="D1838" s="25" t="s">
        <v>4021</v>
      </c>
      <c r="E1838" s="25" t="s">
        <v>3993</v>
      </c>
      <c r="F1838" s="25" t="s">
        <v>4019</v>
      </c>
      <c r="G1838" s="25" t="s">
        <v>35</v>
      </c>
      <c r="H1838" s="25" t="s">
        <v>64</v>
      </c>
      <c r="I1838" s="25" t="s">
        <v>190</v>
      </c>
      <c r="J1838" s="25" t="s">
        <v>3529</v>
      </c>
      <c r="K1838" s="25" t="s">
        <v>298</v>
      </c>
      <c r="L1838" s="25" t="s">
        <v>29</v>
      </c>
      <c r="M1838" s="25" t="n">
        <v>2400</v>
      </c>
      <c r="N1838" s="25" t="n">
        <v>1200</v>
      </c>
      <c r="O1838" s="25"/>
      <c r="P1838" s="26" t="n">
        <f aca="false">(M1838*N1838/1000000)*(INDEX(AreaRate_Vals,MATCH(C1838,AreaRate_Keys,0))+IFERROR(INDEX(GlazingUpg_Vals,MATCH(H1838,GlazingUpg_Keys,0)),0))+INDEX(Hardware_Vals,MATCH("Skylights &amp; Roof Glazing",Hardware_Keys,0))</f>
        <v>9252</v>
      </c>
      <c r="Q1838" s="27" t="n">
        <f aca="false">INDEX(Markup_Vals,MATCH("Roofing Glazing &amp; Garage Doors",MarkupCat_Keys,0))</f>
        <v>0.38</v>
      </c>
      <c r="R1838" s="28" t="n">
        <f aca="false">P1838*(1+Q1838)</f>
        <v>12767.76</v>
      </c>
      <c r="S1838" s="28" t="n">
        <f aca="false">R1838*(1-TradeDiscount)</f>
        <v>11235.6288</v>
      </c>
      <c r="T1838" s="28" t="n">
        <f aca="false">R1838*(1-VolumeDiscount)</f>
        <v>10214.208</v>
      </c>
    </row>
    <row r="1839" customFormat="false" ht="15" hidden="false" customHeight="false" outlineLevel="0" collapsed="false">
      <c r="A1839" s="29" t="s">
        <v>4022</v>
      </c>
      <c r="B1839" s="29" t="s">
        <v>123</v>
      </c>
      <c r="C1839" s="29" t="s">
        <v>59</v>
      </c>
      <c r="D1839" s="29" t="s">
        <v>4023</v>
      </c>
      <c r="E1839" s="29" t="s">
        <v>4024</v>
      </c>
      <c r="F1839" s="29" t="s">
        <v>3994</v>
      </c>
      <c r="G1839" s="29" t="s">
        <v>35</v>
      </c>
      <c r="H1839" s="29" t="s">
        <v>65</v>
      </c>
      <c r="I1839" s="29" t="s">
        <v>190</v>
      </c>
      <c r="J1839" s="29" t="s">
        <v>3529</v>
      </c>
      <c r="K1839" s="29" t="s">
        <v>298</v>
      </c>
      <c r="L1839" s="29" t="s">
        <v>29</v>
      </c>
      <c r="M1839" s="29" t="n">
        <v>600</v>
      </c>
      <c r="N1839" s="29" t="n">
        <v>600</v>
      </c>
      <c r="O1839" s="29"/>
      <c r="P1839" s="30" t="n">
        <f aca="false">(M1839*N1839/1000000)*(INDEX(AreaRate_Vals,MATCH(C1839,AreaRate_Keys,0))+IFERROR(INDEX(GlazingUpg_Vals,MATCH(H1839,GlazingUpg_Keys,0)),0))+INDEX(Hardware_Vals,MATCH("Skylights &amp; Roof Glazing",Hardware_Keys,0))</f>
        <v>1116</v>
      </c>
      <c r="Q1839" s="31" t="n">
        <f aca="false">INDEX(Markup_Vals,MATCH("Roofing Glazing &amp; Garage Doors",MarkupCat_Keys,0))</f>
        <v>0.38</v>
      </c>
      <c r="R1839" s="32" t="n">
        <f aca="false">P1839*(1+Q1839)</f>
        <v>1540.08</v>
      </c>
      <c r="S1839" s="32" t="n">
        <f aca="false">R1839*(1-TradeDiscount)</f>
        <v>1355.2704</v>
      </c>
      <c r="T1839" s="32" t="n">
        <f aca="false">R1839*(1-VolumeDiscount)</f>
        <v>1232.064</v>
      </c>
    </row>
    <row r="1840" customFormat="false" ht="15" hidden="false" customHeight="false" outlineLevel="0" collapsed="false">
      <c r="A1840" s="25" t="s">
        <v>4025</v>
      </c>
      <c r="B1840" s="25" t="s">
        <v>123</v>
      </c>
      <c r="C1840" s="25" t="s">
        <v>59</v>
      </c>
      <c r="D1840" s="25" t="s">
        <v>4026</v>
      </c>
      <c r="E1840" s="25" t="s">
        <v>4024</v>
      </c>
      <c r="F1840" s="25" t="s">
        <v>3994</v>
      </c>
      <c r="G1840" s="25" t="s">
        <v>35</v>
      </c>
      <c r="H1840" s="25" t="s">
        <v>64</v>
      </c>
      <c r="I1840" s="25" t="s">
        <v>190</v>
      </c>
      <c r="J1840" s="25" t="s">
        <v>3529</v>
      </c>
      <c r="K1840" s="25" t="s">
        <v>298</v>
      </c>
      <c r="L1840" s="25" t="s">
        <v>29</v>
      </c>
      <c r="M1840" s="25" t="n">
        <v>600</v>
      </c>
      <c r="N1840" s="25" t="n">
        <v>600</v>
      </c>
      <c r="O1840" s="25"/>
      <c r="P1840" s="26" t="n">
        <f aca="false">(M1840*N1840/1000000)*(INDEX(AreaRate_Vals,MATCH(C1840,AreaRate_Keys,0))+IFERROR(INDEX(GlazingUpg_Vals,MATCH(H1840,GlazingUpg_Keys,0)),0))+INDEX(Hardware_Vals,MATCH("Skylights &amp; Roof Glazing",Hardware_Keys,0))</f>
        <v>1314</v>
      </c>
      <c r="Q1840" s="27" t="n">
        <f aca="false">INDEX(Markup_Vals,MATCH("Roofing Glazing &amp; Garage Doors",MarkupCat_Keys,0))</f>
        <v>0.38</v>
      </c>
      <c r="R1840" s="28" t="n">
        <f aca="false">P1840*(1+Q1840)</f>
        <v>1813.32</v>
      </c>
      <c r="S1840" s="28" t="n">
        <f aca="false">R1840*(1-TradeDiscount)</f>
        <v>1595.7216</v>
      </c>
      <c r="T1840" s="28" t="n">
        <f aca="false">R1840*(1-VolumeDiscount)</f>
        <v>1450.656</v>
      </c>
    </row>
    <row r="1841" customFormat="false" ht="15" hidden="false" customHeight="false" outlineLevel="0" collapsed="false">
      <c r="A1841" s="29" t="s">
        <v>4027</v>
      </c>
      <c r="B1841" s="29" t="s">
        <v>123</v>
      </c>
      <c r="C1841" s="29" t="s">
        <v>59</v>
      </c>
      <c r="D1841" s="29" t="s">
        <v>4028</v>
      </c>
      <c r="E1841" s="29" t="s">
        <v>4024</v>
      </c>
      <c r="F1841" s="29" t="s">
        <v>3999</v>
      </c>
      <c r="G1841" s="29" t="s">
        <v>35</v>
      </c>
      <c r="H1841" s="29" t="s">
        <v>65</v>
      </c>
      <c r="I1841" s="29" t="s">
        <v>190</v>
      </c>
      <c r="J1841" s="29" t="s">
        <v>3529</v>
      </c>
      <c r="K1841" s="29" t="s">
        <v>298</v>
      </c>
      <c r="L1841" s="29" t="s">
        <v>29</v>
      </c>
      <c r="M1841" s="29" t="n">
        <v>900</v>
      </c>
      <c r="N1841" s="29" t="n">
        <v>900</v>
      </c>
      <c r="O1841" s="29"/>
      <c r="P1841" s="30" t="n">
        <f aca="false">(M1841*N1841/1000000)*(INDEX(AreaRate_Vals,MATCH(C1841,AreaRate_Keys,0))+IFERROR(INDEX(GlazingUpg_Vals,MATCH(H1841,GlazingUpg_Keys,0)),0))+INDEX(Hardware_Vals,MATCH("Skylights &amp; Roof Glazing",Hardware_Keys,0))</f>
        <v>2286</v>
      </c>
      <c r="Q1841" s="31" t="n">
        <f aca="false">INDEX(Markup_Vals,MATCH("Roofing Glazing &amp; Garage Doors",MarkupCat_Keys,0))</f>
        <v>0.38</v>
      </c>
      <c r="R1841" s="32" t="n">
        <f aca="false">P1841*(1+Q1841)</f>
        <v>3154.68</v>
      </c>
      <c r="S1841" s="32" t="n">
        <f aca="false">R1841*(1-TradeDiscount)</f>
        <v>2776.1184</v>
      </c>
      <c r="T1841" s="32" t="n">
        <f aca="false">R1841*(1-VolumeDiscount)</f>
        <v>2523.744</v>
      </c>
    </row>
    <row r="1842" customFormat="false" ht="15" hidden="false" customHeight="false" outlineLevel="0" collapsed="false">
      <c r="A1842" s="25" t="s">
        <v>4029</v>
      </c>
      <c r="B1842" s="25" t="s">
        <v>123</v>
      </c>
      <c r="C1842" s="25" t="s">
        <v>59</v>
      </c>
      <c r="D1842" s="25" t="s">
        <v>4030</v>
      </c>
      <c r="E1842" s="25" t="s">
        <v>4024</v>
      </c>
      <c r="F1842" s="25" t="s">
        <v>3999</v>
      </c>
      <c r="G1842" s="25" t="s">
        <v>35</v>
      </c>
      <c r="H1842" s="25" t="s">
        <v>64</v>
      </c>
      <c r="I1842" s="25" t="s">
        <v>190</v>
      </c>
      <c r="J1842" s="25" t="s">
        <v>3529</v>
      </c>
      <c r="K1842" s="25" t="s">
        <v>298</v>
      </c>
      <c r="L1842" s="25" t="s">
        <v>29</v>
      </c>
      <c r="M1842" s="25" t="n">
        <v>900</v>
      </c>
      <c r="N1842" s="25" t="n">
        <v>900</v>
      </c>
      <c r="O1842" s="25"/>
      <c r="P1842" s="26" t="n">
        <f aca="false">(M1842*N1842/1000000)*(INDEX(AreaRate_Vals,MATCH(C1842,AreaRate_Keys,0))+IFERROR(INDEX(GlazingUpg_Vals,MATCH(H1842,GlazingUpg_Keys,0)),0))+INDEX(Hardware_Vals,MATCH("Skylights &amp; Roof Glazing",Hardware_Keys,0))</f>
        <v>2731.5</v>
      </c>
      <c r="Q1842" s="27" t="n">
        <f aca="false">INDEX(Markup_Vals,MATCH("Roofing Glazing &amp; Garage Doors",MarkupCat_Keys,0))</f>
        <v>0.38</v>
      </c>
      <c r="R1842" s="28" t="n">
        <f aca="false">P1842*(1+Q1842)</f>
        <v>3769.47</v>
      </c>
      <c r="S1842" s="28" t="n">
        <f aca="false">R1842*(1-TradeDiscount)</f>
        <v>3317.1336</v>
      </c>
      <c r="T1842" s="28" t="n">
        <f aca="false">R1842*(1-VolumeDiscount)</f>
        <v>3015.576</v>
      </c>
    </row>
    <row r="1843" customFormat="false" ht="15" hidden="false" customHeight="false" outlineLevel="0" collapsed="false">
      <c r="A1843" s="29" t="s">
        <v>4031</v>
      </c>
      <c r="B1843" s="29" t="s">
        <v>123</v>
      </c>
      <c r="C1843" s="29" t="s">
        <v>59</v>
      </c>
      <c r="D1843" s="29" t="s">
        <v>4032</v>
      </c>
      <c r="E1843" s="29" t="s">
        <v>4024</v>
      </c>
      <c r="F1843" s="29" t="s">
        <v>4004</v>
      </c>
      <c r="G1843" s="29" t="s">
        <v>35</v>
      </c>
      <c r="H1843" s="29" t="s">
        <v>65</v>
      </c>
      <c r="I1843" s="29" t="s">
        <v>190</v>
      </c>
      <c r="J1843" s="29" t="s">
        <v>3529</v>
      </c>
      <c r="K1843" s="29" t="s">
        <v>298</v>
      </c>
      <c r="L1843" s="29" t="s">
        <v>29</v>
      </c>
      <c r="M1843" s="29" t="n">
        <v>1200</v>
      </c>
      <c r="N1843" s="29" t="n">
        <v>900</v>
      </c>
      <c r="O1843" s="29"/>
      <c r="P1843" s="30" t="n">
        <f aca="false">(M1843*N1843/1000000)*(INDEX(AreaRate_Vals,MATCH(C1843,AreaRate_Keys,0))+IFERROR(INDEX(GlazingUpg_Vals,MATCH(H1843,GlazingUpg_Keys,0)),0))+INDEX(Hardware_Vals,MATCH("Skylights &amp; Roof Glazing",Hardware_Keys,0))</f>
        <v>2988</v>
      </c>
      <c r="Q1843" s="31" t="n">
        <f aca="false">INDEX(Markup_Vals,MATCH("Roofing Glazing &amp; Garage Doors",MarkupCat_Keys,0))</f>
        <v>0.38</v>
      </c>
      <c r="R1843" s="32" t="n">
        <f aca="false">P1843*(1+Q1843)</f>
        <v>4123.44</v>
      </c>
      <c r="S1843" s="32" t="n">
        <f aca="false">R1843*(1-TradeDiscount)</f>
        <v>3628.6272</v>
      </c>
      <c r="T1843" s="32" t="n">
        <f aca="false">R1843*(1-VolumeDiscount)</f>
        <v>3298.752</v>
      </c>
    </row>
    <row r="1844" customFormat="false" ht="15" hidden="false" customHeight="false" outlineLevel="0" collapsed="false">
      <c r="A1844" s="25" t="s">
        <v>4033</v>
      </c>
      <c r="B1844" s="25" t="s">
        <v>123</v>
      </c>
      <c r="C1844" s="25" t="s">
        <v>59</v>
      </c>
      <c r="D1844" s="25" t="s">
        <v>4034</v>
      </c>
      <c r="E1844" s="25" t="s">
        <v>4024</v>
      </c>
      <c r="F1844" s="25" t="s">
        <v>4004</v>
      </c>
      <c r="G1844" s="25" t="s">
        <v>35</v>
      </c>
      <c r="H1844" s="25" t="s">
        <v>64</v>
      </c>
      <c r="I1844" s="25" t="s">
        <v>190</v>
      </c>
      <c r="J1844" s="25" t="s">
        <v>3529</v>
      </c>
      <c r="K1844" s="25" t="s">
        <v>298</v>
      </c>
      <c r="L1844" s="25" t="s">
        <v>29</v>
      </c>
      <c r="M1844" s="25" t="n">
        <v>1200</v>
      </c>
      <c r="N1844" s="25" t="n">
        <v>900</v>
      </c>
      <c r="O1844" s="25"/>
      <c r="P1844" s="26" t="n">
        <f aca="false">(M1844*N1844/1000000)*(INDEX(AreaRate_Vals,MATCH(C1844,AreaRate_Keys,0))+IFERROR(INDEX(GlazingUpg_Vals,MATCH(H1844,GlazingUpg_Keys,0)),0))+INDEX(Hardware_Vals,MATCH("Skylights &amp; Roof Glazing",Hardware_Keys,0))</f>
        <v>3582</v>
      </c>
      <c r="Q1844" s="27" t="n">
        <f aca="false">INDEX(Markup_Vals,MATCH("Roofing Glazing &amp; Garage Doors",MarkupCat_Keys,0))</f>
        <v>0.38</v>
      </c>
      <c r="R1844" s="28" t="n">
        <f aca="false">P1844*(1+Q1844)</f>
        <v>4943.16</v>
      </c>
      <c r="S1844" s="28" t="n">
        <f aca="false">R1844*(1-TradeDiscount)</f>
        <v>4349.9808</v>
      </c>
      <c r="T1844" s="28" t="n">
        <f aca="false">R1844*(1-VolumeDiscount)</f>
        <v>3954.528</v>
      </c>
    </row>
    <row r="1845" customFormat="false" ht="15" hidden="false" customHeight="false" outlineLevel="0" collapsed="false">
      <c r="A1845" s="29" t="s">
        <v>4035</v>
      </c>
      <c r="B1845" s="29" t="s">
        <v>123</v>
      </c>
      <c r="C1845" s="29" t="s">
        <v>59</v>
      </c>
      <c r="D1845" s="29" t="s">
        <v>4036</v>
      </c>
      <c r="E1845" s="29" t="s">
        <v>4024</v>
      </c>
      <c r="F1845" s="29" t="s">
        <v>4009</v>
      </c>
      <c r="G1845" s="29" t="s">
        <v>35</v>
      </c>
      <c r="H1845" s="29" t="s">
        <v>65</v>
      </c>
      <c r="I1845" s="29" t="s">
        <v>190</v>
      </c>
      <c r="J1845" s="29" t="s">
        <v>3529</v>
      </c>
      <c r="K1845" s="29" t="s">
        <v>298</v>
      </c>
      <c r="L1845" s="29" t="s">
        <v>29</v>
      </c>
      <c r="M1845" s="29" t="n">
        <v>1200</v>
      </c>
      <c r="N1845" s="29" t="n">
        <v>1200</v>
      </c>
      <c r="O1845" s="29"/>
      <c r="P1845" s="30" t="n">
        <f aca="false">(M1845*N1845/1000000)*(INDEX(AreaRate_Vals,MATCH(C1845,AreaRate_Keys,0))+IFERROR(INDEX(GlazingUpg_Vals,MATCH(H1845,GlazingUpg_Keys,0)),0))+INDEX(Hardware_Vals,MATCH("Skylights &amp; Roof Glazing",Hardware_Keys,0))</f>
        <v>3924</v>
      </c>
      <c r="Q1845" s="31" t="n">
        <f aca="false">INDEX(Markup_Vals,MATCH("Roofing Glazing &amp; Garage Doors",MarkupCat_Keys,0))</f>
        <v>0.38</v>
      </c>
      <c r="R1845" s="32" t="n">
        <f aca="false">P1845*(1+Q1845)</f>
        <v>5415.12</v>
      </c>
      <c r="S1845" s="32" t="n">
        <f aca="false">R1845*(1-TradeDiscount)</f>
        <v>4765.3056</v>
      </c>
      <c r="T1845" s="32" t="n">
        <f aca="false">R1845*(1-VolumeDiscount)</f>
        <v>4332.096</v>
      </c>
    </row>
    <row r="1846" customFormat="false" ht="15" hidden="false" customHeight="false" outlineLevel="0" collapsed="false">
      <c r="A1846" s="25" t="s">
        <v>4037</v>
      </c>
      <c r="B1846" s="25" t="s">
        <v>123</v>
      </c>
      <c r="C1846" s="25" t="s">
        <v>59</v>
      </c>
      <c r="D1846" s="25" t="s">
        <v>4038</v>
      </c>
      <c r="E1846" s="25" t="s">
        <v>4024</v>
      </c>
      <c r="F1846" s="25" t="s">
        <v>4009</v>
      </c>
      <c r="G1846" s="25" t="s">
        <v>35</v>
      </c>
      <c r="H1846" s="25" t="s">
        <v>64</v>
      </c>
      <c r="I1846" s="25" t="s">
        <v>190</v>
      </c>
      <c r="J1846" s="25" t="s">
        <v>3529</v>
      </c>
      <c r="K1846" s="25" t="s">
        <v>298</v>
      </c>
      <c r="L1846" s="25" t="s">
        <v>29</v>
      </c>
      <c r="M1846" s="25" t="n">
        <v>1200</v>
      </c>
      <c r="N1846" s="25" t="n">
        <v>1200</v>
      </c>
      <c r="O1846" s="25"/>
      <c r="P1846" s="26" t="n">
        <f aca="false">(M1846*N1846/1000000)*(INDEX(AreaRate_Vals,MATCH(C1846,AreaRate_Keys,0))+IFERROR(INDEX(GlazingUpg_Vals,MATCH(H1846,GlazingUpg_Keys,0)),0))+INDEX(Hardware_Vals,MATCH("Skylights &amp; Roof Glazing",Hardware_Keys,0))</f>
        <v>4716</v>
      </c>
      <c r="Q1846" s="27" t="n">
        <f aca="false">INDEX(Markup_Vals,MATCH("Roofing Glazing &amp; Garage Doors",MarkupCat_Keys,0))</f>
        <v>0.38</v>
      </c>
      <c r="R1846" s="28" t="n">
        <f aca="false">P1846*(1+Q1846)</f>
        <v>6508.08</v>
      </c>
      <c r="S1846" s="28" t="n">
        <f aca="false">R1846*(1-TradeDiscount)</f>
        <v>5727.1104</v>
      </c>
      <c r="T1846" s="28" t="n">
        <f aca="false">R1846*(1-VolumeDiscount)</f>
        <v>5206.464</v>
      </c>
    </row>
    <row r="1847" customFormat="false" ht="15" hidden="false" customHeight="false" outlineLevel="0" collapsed="false">
      <c r="A1847" s="29" t="s">
        <v>4039</v>
      </c>
      <c r="B1847" s="29" t="s">
        <v>123</v>
      </c>
      <c r="C1847" s="29" t="s">
        <v>59</v>
      </c>
      <c r="D1847" s="29" t="s">
        <v>4040</v>
      </c>
      <c r="E1847" s="29" t="s">
        <v>4024</v>
      </c>
      <c r="F1847" s="29" t="s">
        <v>4014</v>
      </c>
      <c r="G1847" s="29" t="s">
        <v>35</v>
      </c>
      <c r="H1847" s="29" t="s">
        <v>65</v>
      </c>
      <c r="I1847" s="29" t="s">
        <v>190</v>
      </c>
      <c r="J1847" s="29" t="s">
        <v>3529</v>
      </c>
      <c r="K1847" s="29" t="s">
        <v>298</v>
      </c>
      <c r="L1847" s="29" t="s">
        <v>29</v>
      </c>
      <c r="M1847" s="29" t="n">
        <v>1800</v>
      </c>
      <c r="N1847" s="29" t="n">
        <v>1200</v>
      </c>
      <c r="O1847" s="29"/>
      <c r="P1847" s="30" t="n">
        <f aca="false">(M1847*N1847/1000000)*(INDEX(AreaRate_Vals,MATCH(C1847,AreaRate_Keys,0))+IFERROR(INDEX(GlazingUpg_Vals,MATCH(H1847,GlazingUpg_Keys,0)),0))+INDEX(Hardware_Vals,MATCH("Skylights &amp; Roof Glazing",Hardware_Keys,0))</f>
        <v>5796</v>
      </c>
      <c r="Q1847" s="31" t="n">
        <f aca="false">INDEX(Markup_Vals,MATCH("Roofing Glazing &amp; Garage Doors",MarkupCat_Keys,0))</f>
        <v>0.38</v>
      </c>
      <c r="R1847" s="32" t="n">
        <f aca="false">P1847*(1+Q1847)</f>
        <v>7998.48</v>
      </c>
      <c r="S1847" s="32" t="n">
        <f aca="false">R1847*(1-TradeDiscount)</f>
        <v>7038.6624</v>
      </c>
      <c r="T1847" s="32" t="n">
        <f aca="false">R1847*(1-VolumeDiscount)</f>
        <v>6398.784</v>
      </c>
    </row>
    <row r="1848" customFormat="false" ht="15" hidden="false" customHeight="false" outlineLevel="0" collapsed="false">
      <c r="A1848" s="25" t="s">
        <v>4041</v>
      </c>
      <c r="B1848" s="25" t="s">
        <v>123</v>
      </c>
      <c r="C1848" s="25" t="s">
        <v>59</v>
      </c>
      <c r="D1848" s="25" t="s">
        <v>4042</v>
      </c>
      <c r="E1848" s="25" t="s">
        <v>4024</v>
      </c>
      <c r="F1848" s="25" t="s">
        <v>4014</v>
      </c>
      <c r="G1848" s="25" t="s">
        <v>35</v>
      </c>
      <c r="H1848" s="25" t="s">
        <v>64</v>
      </c>
      <c r="I1848" s="25" t="s">
        <v>190</v>
      </c>
      <c r="J1848" s="25" t="s">
        <v>3529</v>
      </c>
      <c r="K1848" s="25" t="s">
        <v>298</v>
      </c>
      <c r="L1848" s="25" t="s">
        <v>29</v>
      </c>
      <c r="M1848" s="25" t="n">
        <v>1800</v>
      </c>
      <c r="N1848" s="25" t="n">
        <v>1200</v>
      </c>
      <c r="O1848" s="25"/>
      <c r="P1848" s="26" t="n">
        <f aca="false">(M1848*N1848/1000000)*(INDEX(AreaRate_Vals,MATCH(C1848,AreaRate_Keys,0))+IFERROR(INDEX(GlazingUpg_Vals,MATCH(H1848,GlazingUpg_Keys,0)),0))+INDEX(Hardware_Vals,MATCH("Skylights &amp; Roof Glazing",Hardware_Keys,0))</f>
        <v>6984</v>
      </c>
      <c r="Q1848" s="27" t="n">
        <f aca="false">INDEX(Markup_Vals,MATCH("Roofing Glazing &amp; Garage Doors",MarkupCat_Keys,0))</f>
        <v>0.38</v>
      </c>
      <c r="R1848" s="28" t="n">
        <f aca="false">P1848*(1+Q1848)</f>
        <v>9637.92</v>
      </c>
      <c r="S1848" s="28" t="n">
        <f aca="false">R1848*(1-TradeDiscount)</f>
        <v>8481.3696</v>
      </c>
      <c r="T1848" s="28" t="n">
        <f aca="false">R1848*(1-VolumeDiscount)</f>
        <v>7710.336</v>
      </c>
    </row>
    <row r="1849" customFormat="false" ht="15" hidden="false" customHeight="false" outlineLevel="0" collapsed="false">
      <c r="A1849" s="29" t="s">
        <v>4043</v>
      </c>
      <c r="B1849" s="29" t="s">
        <v>123</v>
      </c>
      <c r="C1849" s="29" t="s">
        <v>59</v>
      </c>
      <c r="D1849" s="29" t="s">
        <v>4044</v>
      </c>
      <c r="E1849" s="29" t="s">
        <v>4024</v>
      </c>
      <c r="F1849" s="29" t="s">
        <v>4019</v>
      </c>
      <c r="G1849" s="29" t="s">
        <v>35</v>
      </c>
      <c r="H1849" s="29" t="s">
        <v>65</v>
      </c>
      <c r="I1849" s="29" t="s">
        <v>190</v>
      </c>
      <c r="J1849" s="29" t="s">
        <v>3529</v>
      </c>
      <c r="K1849" s="29" t="s">
        <v>298</v>
      </c>
      <c r="L1849" s="29" t="s">
        <v>29</v>
      </c>
      <c r="M1849" s="29" t="n">
        <v>2400</v>
      </c>
      <c r="N1849" s="29" t="n">
        <v>1200</v>
      </c>
      <c r="O1849" s="29"/>
      <c r="P1849" s="30" t="n">
        <f aca="false">(M1849*N1849/1000000)*(INDEX(AreaRate_Vals,MATCH(C1849,AreaRate_Keys,0))+IFERROR(INDEX(GlazingUpg_Vals,MATCH(H1849,GlazingUpg_Keys,0)),0))+INDEX(Hardware_Vals,MATCH("Skylights &amp; Roof Glazing",Hardware_Keys,0))</f>
        <v>7668</v>
      </c>
      <c r="Q1849" s="31" t="n">
        <f aca="false">INDEX(Markup_Vals,MATCH("Roofing Glazing &amp; Garage Doors",MarkupCat_Keys,0))</f>
        <v>0.38</v>
      </c>
      <c r="R1849" s="32" t="n">
        <f aca="false">P1849*(1+Q1849)</f>
        <v>10581.84</v>
      </c>
      <c r="S1849" s="32" t="n">
        <f aca="false">R1849*(1-TradeDiscount)</f>
        <v>9312.0192</v>
      </c>
      <c r="T1849" s="32" t="n">
        <f aca="false">R1849*(1-VolumeDiscount)</f>
        <v>8465.472</v>
      </c>
    </row>
    <row r="1850" customFormat="false" ht="15" hidden="false" customHeight="false" outlineLevel="0" collapsed="false">
      <c r="A1850" s="25" t="s">
        <v>4045</v>
      </c>
      <c r="B1850" s="25" t="s">
        <v>123</v>
      </c>
      <c r="C1850" s="25" t="s">
        <v>59</v>
      </c>
      <c r="D1850" s="25" t="s">
        <v>4046</v>
      </c>
      <c r="E1850" s="25" t="s">
        <v>4024</v>
      </c>
      <c r="F1850" s="25" t="s">
        <v>4019</v>
      </c>
      <c r="G1850" s="25" t="s">
        <v>35</v>
      </c>
      <c r="H1850" s="25" t="s">
        <v>64</v>
      </c>
      <c r="I1850" s="25" t="s">
        <v>190</v>
      </c>
      <c r="J1850" s="25" t="s">
        <v>3529</v>
      </c>
      <c r="K1850" s="25" t="s">
        <v>298</v>
      </c>
      <c r="L1850" s="25" t="s">
        <v>29</v>
      </c>
      <c r="M1850" s="25" t="n">
        <v>2400</v>
      </c>
      <c r="N1850" s="25" t="n">
        <v>1200</v>
      </c>
      <c r="O1850" s="25"/>
      <c r="P1850" s="26" t="n">
        <f aca="false">(M1850*N1850/1000000)*(INDEX(AreaRate_Vals,MATCH(C1850,AreaRate_Keys,0))+IFERROR(INDEX(GlazingUpg_Vals,MATCH(H1850,GlazingUpg_Keys,0)),0))+INDEX(Hardware_Vals,MATCH("Skylights &amp; Roof Glazing",Hardware_Keys,0))</f>
        <v>9252</v>
      </c>
      <c r="Q1850" s="27" t="n">
        <f aca="false">INDEX(Markup_Vals,MATCH("Roofing Glazing &amp; Garage Doors",MarkupCat_Keys,0))</f>
        <v>0.38</v>
      </c>
      <c r="R1850" s="28" t="n">
        <f aca="false">P1850*(1+Q1850)</f>
        <v>12767.76</v>
      </c>
      <c r="S1850" s="28" t="n">
        <f aca="false">R1850*(1-TradeDiscount)</f>
        <v>11235.6288</v>
      </c>
      <c r="T1850" s="28" t="n">
        <f aca="false">R1850*(1-VolumeDiscount)</f>
        <v>10214.208</v>
      </c>
    </row>
    <row r="1851" customFormat="false" ht="15" hidden="false" customHeight="false" outlineLevel="0" collapsed="false">
      <c r="A1851" s="29" t="s">
        <v>4047</v>
      </c>
      <c r="B1851" s="29" t="s">
        <v>123</v>
      </c>
      <c r="C1851" s="29" t="s">
        <v>59</v>
      </c>
      <c r="D1851" s="29" t="s">
        <v>4048</v>
      </c>
      <c r="E1851" s="29" t="s">
        <v>4049</v>
      </c>
      <c r="F1851" s="29" t="s">
        <v>3994</v>
      </c>
      <c r="G1851" s="29" t="s">
        <v>35</v>
      </c>
      <c r="H1851" s="29" t="s">
        <v>65</v>
      </c>
      <c r="I1851" s="29" t="s">
        <v>190</v>
      </c>
      <c r="J1851" s="29" t="s">
        <v>3529</v>
      </c>
      <c r="K1851" s="29" t="s">
        <v>298</v>
      </c>
      <c r="L1851" s="29" t="s">
        <v>29</v>
      </c>
      <c r="M1851" s="29" t="n">
        <v>600</v>
      </c>
      <c r="N1851" s="29" t="n">
        <v>600</v>
      </c>
      <c r="O1851" s="29"/>
      <c r="P1851" s="30" t="n">
        <f aca="false">(M1851*N1851/1000000)*(INDEX(AreaRate_Vals,MATCH(C1851,AreaRate_Keys,0))+IFERROR(INDEX(GlazingUpg_Vals,MATCH(H1851,GlazingUpg_Keys,0)),0))+INDEX(Hardware_Vals,MATCH("Skylights &amp; Roof Glazing",Hardware_Keys,0))</f>
        <v>1116</v>
      </c>
      <c r="Q1851" s="31" t="n">
        <f aca="false">INDEX(Markup_Vals,MATCH("Roofing Glazing &amp; Garage Doors",MarkupCat_Keys,0))</f>
        <v>0.38</v>
      </c>
      <c r="R1851" s="32" t="n">
        <f aca="false">P1851*(1+Q1851)</f>
        <v>1540.08</v>
      </c>
      <c r="S1851" s="32" t="n">
        <f aca="false">R1851*(1-TradeDiscount)</f>
        <v>1355.2704</v>
      </c>
      <c r="T1851" s="32" t="n">
        <f aca="false">R1851*(1-VolumeDiscount)</f>
        <v>1232.064</v>
      </c>
    </row>
    <row r="1852" customFormat="false" ht="15" hidden="false" customHeight="false" outlineLevel="0" collapsed="false">
      <c r="A1852" s="25" t="s">
        <v>4050</v>
      </c>
      <c r="B1852" s="25" t="s">
        <v>123</v>
      </c>
      <c r="C1852" s="25" t="s">
        <v>59</v>
      </c>
      <c r="D1852" s="25" t="s">
        <v>4051</v>
      </c>
      <c r="E1852" s="25" t="s">
        <v>4049</v>
      </c>
      <c r="F1852" s="25" t="s">
        <v>3994</v>
      </c>
      <c r="G1852" s="25" t="s">
        <v>35</v>
      </c>
      <c r="H1852" s="25" t="s">
        <v>64</v>
      </c>
      <c r="I1852" s="25" t="s">
        <v>190</v>
      </c>
      <c r="J1852" s="25" t="s">
        <v>3529</v>
      </c>
      <c r="K1852" s="25" t="s">
        <v>298</v>
      </c>
      <c r="L1852" s="25" t="s">
        <v>29</v>
      </c>
      <c r="M1852" s="25" t="n">
        <v>600</v>
      </c>
      <c r="N1852" s="25" t="n">
        <v>600</v>
      </c>
      <c r="O1852" s="25"/>
      <c r="P1852" s="26" t="n">
        <f aca="false">(M1852*N1852/1000000)*(INDEX(AreaRate_Vals,MATCH(C1852,AreaRate_Keys,0))+IFERROR(INDEX(GlazingUpg_Vals,MATCH(H1852,GlazingUpg_Keys,0)),0))+INDEX(Hardware_Vals,MATCH("Skylights &amp; Roof Glazing",Hardware_Keys,0))</f>
        <v>1314</v>
      </c>
      <c r="Q1852" s="27" t="n">
        <f aca="false">INDEX(Markup_Vals,MATCH("Roofing Glazing &amp; Garage Doors",MarkupCat_Keys,0))</f>
        <v>0.38</v>
      </c>
      <c r="R1852" s="28" t="n">
        <f aca="false">P1852*(1+Q1852)</f>
        <v>1813.32</v>
      </c>
      <c r="S1852" s="28" t="n">
        <f aca="false">R1852*(1-TradeDiscount)</f>
        <v>1595.7216</v>
      </c>
      <c r="T1852" s="28" t="n">
        <f aca="false">R1852*(1-VolumeDiscount)</f>
        <v>1450.656</v>
      </c>
    </row>
    <row r="1853" customFormat="false" ht="15" hidden="false" customHeight="false" outlineLevel="0" collapsed="false">
      <c r="A1853" s="29" t="s">
        <v>4052</v>
      </c>
      <c r="B1853" s="29" t="s">
        <v>123</v>
      </c>
      <c r="C1853" s="29" t="s">
        <v>59</v>
      </c>
      <c r="D1853" s="29" t="s">
        <v>4053</v>
      </c>
      <c r="E1853" s="29" t="s">
        <v>4049</v>
      </c>
      <c r="F1853" s="29" t="s">
        <v>3999</v>
      </c>
      <c r="G1853" s="29" t="s">
        <v>35</v>
      </c>
      <c r="H1853" s="29" t="s">
        <v>65</v>
      </c>
      <c r="I1853" s="29" t="s">
        <v>190</v>
      </c>
      <c r="J1853" s="29" t="s">
        <v>3529</v>
      </c>
      <c r="K1853" s="29" t="s">
        <v>298</v>
      </c>
      <c r="L1853" s="29" t="s">
        <v>29</v>
      </c>
      <c r="M1853" s="29" t="n">
        <v>900</v>
      </c>
      <c r="N1853" s="29" t="n">
        <v>900</v>
      </c>
      <c r="O1853" s="29"/>
      <c r="P1853" s="30" t="n">
        <f aca="false">(M1853*N1853/1000000)*(INDEX(AreaRate_Vals,MATCH(C1853,AreaRate_Keys,0))+IFERROR(INDEX(GlazingUpg_Vals,MATCH(H1853,GlazingUpg_Keys,0)),0))+INDEX(Hardware_Vals,MATCH("Skylights &amp; Roof Glazing",Hardware_Keys,0))</f>
        <v>2286</v>
      </c>
      <c r="Q1853" s="31" t="n">
        <f aca="false">INDEX(Markup_Vals,MATCH("Roofing Glazing &amp; Garage Doors",MarkupCat_Keys,0))</f>
        <v>0.38</v>
      </c>
      <c r="R1853" s="32" t="n">
        <f aca="false">P1853*(1+Q1853)</f>
        <v>3154.68</v>
      </c>
      <c r="S1853" s="32" t="n">
        <f aca="false">R1853*(1-TradeDiscount)</f>
        <v>2776.1184</v>
      </c>
      <c r="T1853" s="32" t="n">
        <f aca="false">R1853*(1-VolumeDiscount)</f>
        <v>2523.744</v>
      </c>
    </row>
    <row r="1854" customFormat="false" ht="15" hidden="false" customHeight="false" outlineLevel="0" collapsed="false">
      <c r="A1854" s="25" t="s">
        <v>4054</v>
      </c>
      <c r="B1854" s="25" t="s">
        <v>123</v>
      </c>
      <c r="C1854" s="25" t="s">
        <v>59</v>
      </c>
      <c r="D1854" s="25" t="s">
        <v>4055</v>
      </c>
      <c r="E1854" s="25" t="s">
        <v>4049</v>
      </c>
      <c r="F1854" s="25" t="s">
        <v>3999</v>
      </c>
      <c r="G1854" s="25" t="s">
        <v>35</v>
      </c>
      <c r="H1854" s="25" t="s">
        <v>64</v>
      </c>
      <c r="I1854" s="25" t="s">
        <v>190</v>
      </c>
      <c r="J1854" s="25" t="s">
        <v>3529</v>
      </c>
      <c r="K1854" s="25" t="s">
        <v>298</v>
      </c>
      <c r="L1854" s="25" t="s">
        <v>29</v>
      </c>
      <c r="M1854" s="25" t="n">
        <v>900</v>
      </c>
      <c r="N1854" s="25" t="n">
        <v>900</v>
      </c>
      <c r="O1854" s="25"/>
      <c r="P1854" s="26" t="n">
        <f aca="false">(M1854*N1854/1000000)*(INDEX(AreaRate_Vals,MATCH(C1854,AreaRate_Keys,0))+IFERROR(INDEX(GlazingUpg_Vals,MATCH(H1854,GlazingUpg_Keys,0)),0))+INDEX(Hardware_Vals,MATCH("Skylights &amp; Roof Glazing",Hardware_Keys,0))</f>
        <v>2731.5</v>
      </c>
      <c r="Q1854" s="27" t="n">
        <f aca="false">INDEX(Markup_Vals,MATCH("Roofing Glazing &amp; Garage Doors",MarkupCat_Keys,0))</f>
        <v>0.38</v>
      </c>
      <c r="R1854" s="28" t="n">
        <f aca="false">P1854*(1+Q1854)</f>
        <v>3769.47</v>
      </c>
      <c r="S1854" s="28" t="n">
        <f aca="false">R1854*(1-TradeDiscount)</f>
        <v>3317.1336</v>
      </c>
      <c r="T1854" s="28" t="n">
        <f aca="false">R1854*(1-VolumeDiscount)</f>
        <v>3015.576</v>
      </c>
    </row>
    <row r="1855" customFormat="false" ht="15" hidden="false" customHeight="false" outlineLevel="0" collapsed="false">
      <c r="A1855" s="29" t="s">
        <v>4056</v>
      </c>
      <c r="B1855" s="29" t="s">
        <v>123</v>
      </c>
      <c r="C1855" s="29" t="s">
        <v>59</v>
      </c>
      <c r="D1855" s="29" t="s">
        <v>4057</v>
      </c>
      <c r="E1855" s="29" t="s">
        <v>4049</v>
      </c>
      <c r="F1855" s="29" t="s">
        <v>4004</v>
      </c>
      <c r="G1855" s="29" t="s">
        <v>35</v>
      </c>
      <c r="H1855" s="29" t="s">
        <v>65</v>
      </c>
      <c r="I1855" s="29" t="s">
        <v>190</v>
      </c>
      <c r="J1855" s="29" t="s">
        <v>3529</v>
      </c>
      <c r="K1855" s="29" t="s">
        <v>298</v>
      </c>
      <c r="L1855" s="29" t="s">
        <v>29</v>
      </c>
      <c r="M1855" s="29" t="n">
        <v>1200</v>
      </c>
      <c r="N1855" s="29" t="n">
        <v>900</v>
      </c>
      <c r="O1855" s="29"/>
      <c r="P1855" s="30" t="n">
        <f aca="false">(M1855*N1855/1000000)*(INDEX(AreaRate_Vals,MATCH(C1855,AreaRate_Keys,0))+IFERROR(INDEX(GlazingUpg_Vals,MATCH(H1855,GlazingUpg_Keys,0)),0))+INDEX(Hardware_Vals,MATCH("Skylights &amp; Roof Glazing",Hardware_Keys,0))</f>
        <v>2988</v>
      </c>
      <c r="Q1855" s="31" t="n">
        <f aca="false">INDEX(Markup_Vals,MATCH("Roofing Glazing &amp; Garage Doors",MarkupCat_Keys,0))</f>
        <v>0.38</v>
      </c>
      <c r="R1855" s="32" t="n">
        <f aca="false">P1855*(1+Q1855)</f>
        <v>4123.44</v>
      </c>
      <c r="S1855" s="32" t="n">
        <f aca="false">R1855*(1-TradeDiscount)</f>
        <v>3628.6272</v>
      </c>
      <c r="T1855" s="32" t="n">
        <f aca="false">R1855*(1-VolumeDiscount)</f>
        <v>3298.752</v>
      </c>
    </row>
    <row r="1856" customFormat="false" ht="15" hidden="false" customHeight="false" outlineLevel="0" collapsed="false">
      <c r="A1856" s="25" t="s">
        <v>4058</v>
      </c>
      <c r="B1856" s="25" t="s">
        <v>123</v>
      </c>
      <c r="C1856" s="25" t="s">
        <v>59</v>
      </c>
      <c r="D1856" s="25" t="s">
        <v>4059</v>
      </c>
      <c r="E1856" s="25" t="s">
        <v>4049</v>
      </c>
      <c r="F1856" s="25" t="s">
        <v>4004</v>
      </c>
      <c r="G1856" s="25" t="s">
        <v>35</v>
      </c>
      <c r="H1856" s="25" t="s">
        <v>64</v>
      </c>
      <c r="I1856" s="25" t="s">
        <v>190</v>
      </c>
      <c r="J1856" s="25" t="s">
        <v>3529</v>
      </c>
      <c r="K1856" s="25" t="s">
        <v>298</v>
      </c>
      <c r="L1856" s="25" t="s">
        <v>29</v>
      </c>
      <c r="M1856" s="25" t="n">
        <v>1200</v>
      </c>
      <c r="N1856" s="25" t="n">
        <v>900</v>
      </c>
      <c r="O1856" s="25"/>
      <c r="P1856" s="26" t="n">
        <f aca="false">(M1856*N1856/1000000)*(INDEX(AreaRate_Vals,MATCH(C1856,AreaRate_Keys,0))+IFERROR(INDEX(GlazingUpg_Vals,MATCH(H1856,GlazingUpg_Keys,0)),0))+INDEX(Hardware_Vals,MATCH("Skylights &amp; Roof Glazing",Hardware_Keys,0))</f>
        <v>3582</v>
      </c>
      <c r="Q1856" s="27" t="n">
        <f aca="false">INDEX(Markup_Vals,MATCH("Roofing Glazing &amp; Garage Doors",MarkupCat_Keys,0))</f>
        <v>0.38</v>
      </c>
      <c r="R1856" s="28" t="n">
        <f aca="false">P1856*(1+Q1856)</f>
        <v>4943.16</v>
      </c>
      <c r="S1856" s="28" t="n">
        <f aca="false">R1856*(1-TradeDiscount)</f>
        <v>4349.9808</v>
      </c>
      <c r="T1856" s="28" t="n">
        <f aca="false">R1856*(1-VolumeDiscount)</f>
        <v>3954.528</v>
      </c>
    </row>
    <row r="1857" customFormat="false" ht="15" hidden="false" customHeight="false" outlineLevel="0" collapsed="false">
      <c r="A1857" s="29" t="s">
        <v>4060</v>
      </c>
      <c r="B1857" s="29" t="s">
        <v>123</v>
      </c>
      <c r="C1857" s="29" t="s">
        <v>59</v>
      </c>
      <c r="D1857" s="29" t="s">
        <v>4061</v>
      </c>
      <c r="E1857" s="29" t="s">
        <v>4049</v>
      </c>
      <c r="F1857" s="29" t="s">
        <v>4009</v>
      </c>
      <c r="G1857" s="29" t="s">
        <v>35</v>
      </c>
      <c r="H1857" s="29" t="s">
        <v>65</v>
      </c>
      <c r="I1857" s="29" t="s">
        <v>190</v>
      </c>
      <c r="J1857" s="29" t="s">
        <v>3529</v>
      </c>
      <c r="K1857" s="29" t="s">
        <v>298</v>
      </c>
      <c r="L1857" s="29" t="s">
        <v>29</v>
      </c>
      <c r="M1857" s="29" t="n">
        <v>1200</v>
      </c>
      <c r="N1857" s="29" t="n">
        <v>1200</v>
      </c>
      <c r="O1857" s="29"/>
      <c r="P1857" s="30" t="n">
        <f aca="false">(M1857*N1857/1000000)*(INDEX(AreaRate_Vals,MATCH(C1857,AreaRate_Keys,0))+IFERROR(INDEX(GlazingUpg_Vals,MATCH(H1857,GlazingUpg_Keys,0)),0))+INDEX(Hardware_Vals,MATCH("Skylights &amp; Roof Glazing",Hardware_Keys,0))</f>
        <v>3924</v>
      </c>
      <c r="Q1857" s="31" t="n">
        <f aca="false">INDEX(Markup_Vals,MATCH("Roofing Glazing &amp; Garage Doors",MarkupCat_Keys,0))</f>
        <v>0.38</v>
      </c>
      <c r="R1857" s="32" t="n">
        <f aca="false">P1857*(1+Q1857)</f>
        <v>5415.12</v>
      </c>
      <c r="S1857" s="32" t="n">
        <f aca="false">R1857*(1-TradeDiscount)</f>
        <v>4765.3056</v>
      </c>
      <c r="T1857" s="32" t="n">
        <f aca="false">R1857*(1-VolumeDiscount)</f>
        <v>4332.096</v>
      </c>
    </row>
    <row r="1858" customFormat="false" ht="15" hidden="false" customHeight="false" outlineLevel="0" collapsed="false">
      <c r="A1858" s="25" t="s">
        <v>4062</v>
      </c>
      <c r="B1858" s="25" t="s">
        <v>123</v>
      </c>
      <c r="C1858" s="25" t="s">
        <v>59</v>
      </c>
      <c r="D1858" s="25" t="s">
        <v>4063</v>
      </c>
      <c r="E1858" s="25" t="s">
        <v>4049</v>
      </c>
      <c r="F1858" s="25" t="s">
        <v>4009</v>
      </c>
      <c r="G1858" s="25" t="s">
        <v>35</v>
      </c>
      <c r="H1858" s="25" t="s">
        <v>64</v>
      </c>
      <c r="I1858" s="25" t="s">
        <v>190</v>
      </c>
      <c r="J1858" s="25" t="s">
        <v>3529</v>
      </c>
      <c r="K1858" s="25" t="s">
        <v>298</v>
      </c>
      <c r="L1858" s="25" t="s">
        <v>29</v>
      </c>
      <c r="M1858" s="25" t="n">
        <v>1200</v>
      </c>
      <c r="N1858" s="25" t="n">
        <v>1200</v>
      </c>
      <c r="O1858" s="25"/>
      <c r="P1858" s="26" t="n">
        <f aca="false">(M1858*N1858/1000000)*(INDEX(AreaRate_Vals,MATCH(C1858,AreaRate_Keys,0))+IFERROR(INDEX(GlazingUpg_Vals,MATCH(H1858,GlazingUpg_Keys,0)),0))+INDEX(Hardware_Vals,MATCH("Skylights &amp; Roof Glazing",Hardware_Keys,0))</f>
        <v>4716</v>
      </c>
      <c r="Q1858" s="27" t="n">
        <f aca="false">INDEX(Markup_Vals,MATCH("Roofing Glazing &amp; Garage Doors",MarkupCat_Keys,0))</f>
        <v>0.38</v>
      </c>
      <c r="R1858" s="28" t="n">
        <f aca="false">P1858*(1+Q1858)</f>
        <v>6508.08</v>
      </c>
      <c r="S1858" s="28" t="n">
        <f aca="false">R1858*(1-TradeDiscount)</f>
        <v>5727.1104</v>
      </c>
      <c r="T1858" s="28" t="n">
        <f aca="false">R1858*(1-VolumeDiscount)</f>
        <v>5206.464</v>
      </c>
    </row>
    <row r="1859" customFormat="false" ht="15" hidden="false" customHeight="false" outlineLevel="0" collapsed="false">
      <c r="A1859" s="29" t="s">
        <v>4064</v>
      </c>
      <c r="B1859" s="29" t="s">
        <v>123</v>
      </c>
      <c r="C1859" s="29" t="s">
        <v>59</v>
      </c>
      <c r="D1859" s="29" t="s">
        <v>4065</v>
      </c>
      <c r="E1859" s="29" t="s">
        <v>4049</v>
      </c>
      <c r="F1859" s="29" t="s">
        <v>4014</v>
      </c>
      <c r="G1859" s="29" t="s">
        <v>35</v>
      </c>
      <c r="H1859" s="29" t="s">
        <v>65</v>
      </c>
      <c r="I1859" s="29" t="s">
        <v>190</v>
      </c>
      <c r="J1859" s="29" t="s">
        <v>3529</v>
      </c>
      <c r="K1859" s="29" t="s">
        <v>298</v>
      </c>
      <c r="L1859" s="29" t="s">
        <v>29</v>
      </c>
      <c r="M1859" s="29" t="n">
        <v>1800</v>
      </c>
      <c r="N1859" s="29" t="n">
        <v>1200</v>
      </c>
      <c r="O1859" s="29"/>
      <c r="P1859" s="30" t="n">
        <f aca="false">(M1859*N1859/1000000)*(INDEX(AreaRate_Vals,MATCH(C1859,AreaRate_Keys,0))+IFERROR(INDEX(GlazingUpg_Vals,MATCH(H1859,GlazingUpg_Keys,0)),0))+INDEX(Hardware_Vals,MATCH("Skylights &amp; Roof Glazing",Hardware_Keys,0))</f>
        <v>5796</v>
      </c>
      <c r="Q1859" s="31" t="n">
        <f aca="false">INDEX(Markup_Vals,MATCH("Roofing Glazing &amp; Garage Doors",MarkupCat_Keys,0))</f>
        <v>0.38</v>
      </c>
      <c r="R1859" s="32" t="n">
        <f aca="false">P1859*(1+Q1859)</f>
        <v>7998.48</v>
      </c>
      <c r="S1859" s="32" t="n">
        <f aca="false">R1859*(1-TradeDiscount)</f>
        <v>7038.6624</v>
      </c>
      <c r="T1859" s="32" t="n">
        <f aca="false">R1859*(1-VolumeDiscount)</f>
        <v>6398.784</v>
      </c>
    </row>
    <row r="1860" customFormat="false" ht="15" hidden="false" customHeight="false" outlineLevel="0" collapsed="false">
      <c r="A1860" s="25" t="s">
        <v>4066</v>
      </c>
      <c r="B1860" s="25" t="s">
        <v>123</v>
      </c>
      <c r="C1860" s="25" t="s">
        <v>59</v>
      </c>
      <c r="D1860" s="25" t="s">
        <v>4067</v>
      </c>
      <c r="E1860" s="25" t="s">
        <v>4049</v>
      </c>
      <c r="F1860" s="25" t="s">
        <v>4014</v>
      </c>
      <c r="G1860" s="25" t="s">
        <v>35</v>
      </c>
      <c r="H1860" s="25" t="s">
        <v>64</v>
      </c>
      <c r="I1860" s="25" t="s">
        <v>190</v>
      </c>
      <c r="J1860" s="25" t="s">
        <v>3529</v>
      </c>
      <c r="K1860" s="25" t="s">
        <v>298</v>
      </c>
      <c r="L1860" s="25" t="s">
        <v>29</v>
      </c>
      <c r="M1860" s="25" t="n">
        <v>1800</v>
      </c>
      <c r="N1860" s="25" t="n">
        <v>1200</v>
      </c>
      <c r="O1860" s="25"/>
      <c r="P1860" s="26" t="n">
        <f aca="false">(M1860*N1860/1000000)*(INDEX(AreaRate_Vals,MATCH(C1860,AreaRate_Keys,0))+IFERROR(INDEX(GlazingUpg_Vals,MATCH(H1860,GlazingUpg_Keys,0)),0))+INDEX(Hardware_Vals,MATCH("Skylights &amp; Roof Glazing",Hardware_Keys,0))</f>
        <v>6984</v>
      </c>
      <c r="Q1860" s="27" t="n">
        <f aca="false">INDEX(Markup_Vals,MATCH("Roofing Glazing &amp; Garage Doors",MarkupCat_Keys,0))</f>
        <v>0.38</v>
      </c>
      <c r="R1860" s="28" t="n">
        <f aca="false">P1860*(1+Q1860)</f>
        <v>9637.92</v>
      </c>
      <c r="S1860" s="28" t="n">
        <f aca="false">R1860*(1-TradeDiscount)</f>
        <v>8481.3696</v>
      </c>
      <c r="T1860" s="28" t="n">
        <f aca="false">R1860*(1-VolumeDiscount)</f>
        <v>7710.336</v>
      </c>
    </row>
    <row r="1861" customFormat="false" ht="15" hidden="false" customHeight="false" outlineLevel="0" collapsed="false">
      <c r="A1861" s="29" t="s">
        <v>4068</v>
      </c>
      <c r="B1861" s="29" t="s">
        <v>123</v>
      </c>
      <c r="C1861" s="29" t="s">
        <v>59</v>
      </c>
      <c r="D1861" s="29" t="s">
        <v>4069</v>
      </c>
      <c r="E1861" s="29" t="s">
        <v>4049</v>
      </c>
      <c r="F1861" s="29" t="s">
        <v>4019</v>
      </c>
      <c r="G1861" s="29" t="s">
        <v>35</v>
      </c>
      <c r="H1861" s="29" t="s">
        <v>65</v>
      </c>
      <c r="I1861" s="29" t="s">
        <v>190</v>
      </c>
      <c r="J1861" s="29" t="s">
        <v>3529</v>
      </c>
      <c r="K1861" s="29" t="s">
        <v>298</v>
      </c>
      <c r="L1861" s="29" t="s">
        <v>29</v>
      </c>
      <c r="M1861" s="29" t="n">
        <v>2400</v>
      </c>
      <c r="N1861" s="29" t="n">
        <v>1200</v>
      </c>
      <c r="O1861" s="29"/>
      <c r="P1861" s="30" t="n">
        <f aca="false">(M1861*N1861/1000000)*(INDEX(AreaRate_Vals,MATCH(C1861,AreaRate_Keys,0))+IFERROR(INDEX(GlazingUpg_Vals,MATCH(H1861,GlazingUpg_Keys,0)),0))+INDEX(Hardware_Vals,MATCH("Skylights &amp; Roof Glazing",Hardware_Keys,0))</f>
        <v>7668</v>
      </c>
      <c r="Q1861" s="31" t="n">
        <f aca="false">INDEX(Markup_Vals,MATCH("Roofing Glazing &amp; Garage Doors",MarkupCat_Keys,0))</f>
        <v>0.38</v>
      </c>
      <c r="R1861" s="32" t="n">
        <f aca="false">P1861*(1+Q1861)</f>
        <v>10581.84</v>
      </c>
      <c r="S1861" s="32" t="n">
        <f aca="false">R1861*(1-TradeDiscount)</f>
        <v>9312.0192</v>
      </c>
      <c r="T1861" s="32" t="n">
        <f aca="false">R1861*(1-VolumeDiscount)</f>
        <v>8465.472</v>
      </c>
    </row>
    <row r="1862" customFormat="false" ht="15" hidden="false" customHeight="false" outlineLevel="0" collapsed="false">
      <c r="A1862" s="25" t="s">
        <v>4070</v>
      </c>
      <c r="B1862" s="25" t="s">
        <v>123</v>
      </c>
      <c r="C1862" s="25" t="s">
        <v>59</v>
      </c>
      <c r="D1862" s="25" t="s">
        <v>4071</v>
      </c>
      <c r="E1862" s="25" t="s">
        <v>4049</v>
      </c>
      <c r="F1862" s="25" t="s">
        <v>4019</v>
      </c>
      <c r="G1862" s="25" t="s">
        <v>35</v>
      </c>
      <c r="H1862" s="25" t="s">
        <v>64</v>
      </c>
      <c r="I1862" s="25" t="s">
        <v>190</v>
      </c>
      <c r="J1862" s="25" t="s">
        <v>3529</v>
      </c>
      <c r="K1862" s="25" t="s">
        <v>298</v>
      </c>
      <c r="L1862" s="25" t="s">
        <v>29</v>
      </c>
      <c r="M1862" s="25" t="n">
        <v>2400</v>
      </c>
      <c r="N1862" s="25" t="n">
        <v>1200</v>
      </c>
      <c r="O1862" s="25"/>
      <c r="P1862" s="26" t="n">
        <f aca="false">(M1862*N1862/1000000)*(INDEX(AreaRate_Vals,MATCH(C1862,AreaRate_Keys,0))+IFERROR(INDEX(GlazingUpg_Vals,MATCH(H1862,GlazingUpg_Keys,0)),0))+INDEX(Hardware_Vals,MATCH("Skylights &amp; Roof Glazing",Hardware_Keys,0))</f>
        <v>9252</v>
      </c>
      <c r="Q1862" s="27" t="n">
        <f aca="false">INDEX(Markup_Vals,MATCH("Roofing Glazing &amp; Garage Doors",MarkupCat_Keys,0))</f>
        <v>0.38</v>
      </c>
      <c r="R1862" s="28" t="n">
        <f aca="false">P1862*(1+Q1862)</f>
        <v>12767.76</v>
      </c>
      <c r="S1862" s="28" t="n">
        <f aca="false">R1862*(1-TradeDiscount)</f>
        <v>11235.6288</v>
      </c>
      <c r="T1862" s="28" t="n">
        <f aca="false">R1862*(1-VolumeDiscount)</f>
        <v>10214.208</v>
      </c>
    </row>
    <row r="1863" customFormat="false" ht="15" hidden="false" customHeight="false" outlineLevel="0" collapsed="false">
      <c r="A1863" s="29" t="s">
        <v>4072</v>
      </c>
      <c r="B1863" s="29" t="s">
        <v>123</v>
      </c>
      <c r="C1863" s="29" t="s">
        <v>60</v>
      </c>
      <c r="D1863" s="29" t="s">
        <v>4073</v>
      </c>
      <c r="E1863" s="29" t="s">
        <v>4074</v>
      </c>
      <c r="F1863" s="29" t="s">
        <v>4075</v>
      </c>
      <c r="G1863" s="29" t="s">
        <v>35</v>
      </c>
      <c r="H1863" s="29" t="s">
        <v>3148</v>
      </c>
      <c r="I1863" s="29" t="s">
        <v>190</v>
      </c>
      <c r="J1863" s="29" t="s">
        <v>1654</v>
      </c>
      <c r="K1863" s="29" t="s">
        <v>192</v>
      </c>
      <c r="L1863" s="29" t="s">
        <v>30</v>
      </c>
      <c r="M1863" s="29" t="n">
        <v>2400</v>
      </c>
      <c r="N1863" s="29" t="n">
        <v>2100</v>
      </c>
      <c r="O1863" s="29"/>
      <c r="P1863" s="30" t="n">
        <f aca="false">(M1863*N1863/1000000)*INDEX(AreaRate_Vals,MATCH(C1863,AreaRate_Keys,0))+INDEX(Hardware_Vals,MATCH("Garage Doors",Hardware_Keys,0))</f>
        <v>9266</v>
      </c>
      <c r="Q1863" s="31" t="n">
        <f aca="false">INDEX(Markup_Vals,MATCH("Roofing Glazing &amp; Garage Doors",MarkupCat_Keys,0))</f>
        <v>0.38</v>
      </c>
      <c r="R1863" s="32" t="n">
        <f aca="false">P1863*(1+Q1863)</f>
        <v>12787.08</v>
      </c>
      <c r="S1863" s="32" t="n">
        <f aca="false">R1863*(1-TradeDiscount)</f>
        <v>11252.6304</v>
      </c>
      <c r="T1863" s="32" t="n">
        <f aca="false">R1863*(1-VolumeDiscount)</f>
        <v>10229.664</v>
      </c>
    </row>
    <row r="1864" customFormat="false" ht="15" hidden="false" customHeight="false" outlineLevel="0" collapsed="false">
      <c r="A1864" s="25" t="s">
        <v>4076</v>
      </c>
      <c r="B1864" s="25" t="s">
        <v>123</v>
      </c>
      <c r="C1864" s="25" t="s">
        <v>60</v>
      </c>
      <c r="D1864" s="25" t="s">
        <v>4077</v>
      </c>
      <c r="E1864" s="25" t="s">
        <v>4074</v>
      </c>
      <c r="F1864" s="25" t="s">
        <v>4075</v>
      </c>
      <c r="G1864" s="25" t="s">
        <v>36</v>
      </c>
      <c r="H1864" s="25" t="s">
        <v>3148</v>
      </c>
      <c r="I1864" s="25" t="s">
        <v>190</v>
      </c>
      <c r="J1864" s="25" t="s">
        <v>1654</v>
      </c>
      <c r="K1864" s="25" t="s">
        <v>192</v>
      </c>
      <c r="L1864" s="25" t="s">
        <v>30</v>
      </c>
      <c r="M1864" s="25" t="n">
        <v>2400</v>
      </c>
      <c r="N1864" s="25" t="n">
        <v>2100</v>
      </c>
      <c r="O1864" s="25"/>
      <c r="P1864" s="26" t="n">
        <f aca="false">(M1864*N1864/1000000)*INDEX(AreaRate_Vals,MATCH(C1864,AreaRate_Keys,0))+INDEX(Hardware_Vals,MATCH("Garage Doors",Hardware_Keys,0))</f>
        <v>9266</v>
      </c>
      <c r="Q1864" s="27" t="n">
        <f aca="false">INDEX(Markup_Vals,MATCH("Roofing Glazing &amp; Garage Doors",MarkupCat_Keys,0))</f>
        <v>0.38</v>
      </c>
      <c r="R1864" s="28" t="n">
        <f aca="false">P1864*(1+Q1864)</f>
        <v>12787.08</v>
      </c>
      <c r="S1864" s="28" t="n">
        <f aca="false">R1864*(1-TradeDiscount)</f>
        <v>11252.6304</v>
      </c>
      <c r="T1864" s="28" t="n">
        <f aca="false">R1864*(1-VolumeDiscount)</f>
        <v>10229.664</v>
      </c>
    </row>
    <row r="1865" customFormat="false" ht="15" hidden="false" customHeight="false" outlineLevel="0" collapsed="false">
      <c r="A1865" s="29" t="s">
        <v>4078</v>
      </c>
      <c r="B1865" s="29" t="s">
        <v>123</v>
      </c>
      <c r="C1865" s="29" t="s">
        <v>60</v>
      </c>
      <c r="D1865" s="29" t="s">
        <v>4079</v>
      </c>
      <c r="E1865" s="29" t="s">
        <v>4074</v>
      </c>
      <c r="F1865" s="29" t="s">
        <v>4075</v>
      </c>
      <c r="G1865" s="29" t="s">
        <v>37</v>
      </c>
      <c r="H1865" s="29" t="s">
        <v>3148</v>
      </c>
      <c r="I1865" s="29" t="s">
        <v>190</v>
      </c>
      <c r="J1865" s="29" t="s">
        <v>1654</v>
      </c>
      <c r="K1865" s="29" t="s">
        <v>192</v>
      </c>
      <c r="L1865" s="29" t="s">
        <v>30</v>
      </c>
      <c r="M1865" s="29" t="n">
        <v>2400</v>
      </c>
      <c r="N1865" s="29" t="n">
        <v>2100</v>
      </c>
      <c r="O1865" s="29"/>
      <c r="P1865" s="30" t="n">
        <f aca="false">(M1865*N1865/1000000)*INDEX(AreaRate_Vals,MATCH(C1865,AreaRate_Keys,0))+INDEX(Hardware_Vals,MATCH("Garage Doors",Hardware_Keys,0))</f>
        <v>9266</v>
      </c>
      <c r="Q1865" s="31" t="n">
        <f aca="false">INDEX(Markup_Vals,MATCH("Roofing Glazing &amp; Garage Doors",MarkupCat_Keys,0))</f>
        <v>0.38</v>
      </c>
      <c r="R1865" s="32" t="n">
        <f aca="false">P1865*(1+Q1865)</f>
        <v>12787.08</v>
      </c>
      <c r="S1865" s="32" t="n">
        <f aca="false">R1865*(1-TradeDiscount)</f>
        <v>11252.6304</v>
      </c>
      <c r="T1865" s="32" t="n">
        <f aca="false">R1865*(1-VolumeDiscount)</f>
        <v>10229.664</v>
      </c>
    </row>
    <row r="1866" customFormat="false" ht="15" hidden="false" customHeight="false" outlineLevel="0" collapsed="false">
      <c r="A1866" s="25" t="s">
        <v>4080</v>
      </c>
      <c r="B1866" s="25" t="s">
        <v>123</v>
      </c>
      <c r="C1866" s="25" t="s">
        <v>60</v>
      </c>
      <c r="D1866" s="25" t="s">
        <v>4081</v>
      </c>
      <c r="E1866" s="25" t="s">
        <v>4074</v>
      </c>
      <c r="F1866" s="25" t="s">
        <v>4075</v>
      </c>
      <c r="G1866" s="25" t="s">
        <v>39</v>
      </c>
      <c r="H1866" s="25" t="s">
        <v>3148</v>
      </c>
      <c r="I1866" s="25" t="s">
        <v>190</v>
      </c>
      <c r="J1866" s="25" t="s">
        <v>1654</v>
      </c>
      <c r="K1866" s="25" t="s">
        <v>192</v>
      </c>
      <c r="L1866" s="25" t="s">
        <v>30</v>
      </c>
      <c r="M1866" s="25" t="n">
        <v>2400</v>
      </c>
      <c r="N1866" s="25" t="n">
        <v>2100</v>
      </c>
      <c r="O1866" s="25"/>
      <c r="P1866" s="26" t="n">
        <f aca="false">(M1866*N1866/1000000)*INDEX(AreaRate_Vals,MATCH(C1866,AreaRate_Keys,0))+INDEX(Hardware_Vals,MATCH("Garage Doors",Hardware_Keys,0))</f>
        <v>9266</v>
      </c>
      <c r="Q1866" s="27" t="n">
        <f aca="false">INDEX(Markup_Vals,MATCH("Roofing Glazing &amp; Garage Doors",MarkupCat_Keys,0))</f>
        <v>0.38</v>
      </c>
      <c r="R1866" s="28" t="n">
        <f aca="false">P1866*(1+Q1866)</f>
        <v>12787.08</v>
      </c>
      <c r="S1866" s="28" t="n">
        <f aca="false">R1866*(1-TradeDiscount)</f>
        <v>11252.6304</v>
      </c>
      <c r="T1866" s="28" t="n">
        <f aca="false">R1866*(1-VolumeDiscount)</f>
        <v>10229.664</v>
      </c>
    </row>
    <row r="1867" customFormat="false" ht="15" hidden="false" customHeight="false" outlineLevel="0" collapsed="false">
      <c r="A1867" s="29" t="s">
        <v>4082</v>
      </c>
      <c r="B1867" s="29" t="s">
        <v>123</v>
      </c>
      <c r="C1867" s="29" t="s">
        <v>60</v>
      </c>
      <c r="D1867" s="29" t="s">
        <v>4083</v>
      </c>
      <c r="E1867" s="29" t="s">
        <v>4074</v>
      </c>
      <c r="F1867" s="29" t="s">
        <v>4075</v>
      </c>
      <c r="G1867" s="29" t="s">
        <v>38</v>
      </c>
      <c r="H1867" s="29" t="s">
        <v>3148</v>
      </c>
      <c r="I1867" s="29" t="s">
        <v>190</v>
      </c>
      <c r="J1867" s="29" t="s">
        <v>1654</v>
      </c>
      <c r="K1867" s="29" t="s">
        <v>192</v>
      </c>
      <c r="L1867" s="29" t="s">
        <v>30</v>
      </c>
      <c r="M1867" s="29" t="n">
        <v>2400</v>
      </c>
      <c r="N1867" s="29" t="n">
        <v>2100</v>
      </c>
      <c r="O1867" s="29"/>
      <c r="P1867" s="30" t="n">
        <f aca="false">(M1867*N1867/1000000)*INDEX(AreaRate_Vals,MATCH(C1867,AreaRate_Keys,0))+INDEX(Hardware_Vals,MATCH("Garage Doors",Hardware_Keys,0))</f>
        <v>9266</v>
      </c>
      <c r="Q1867" s="31" t="n">
        <f aca="false">INDEX(Markup_Vals,MATCH("Roofing Glazing &amp; Garage Doors",MarkupCat_Keys,0))</f>
        <v>0.38</v>
      </c>
      <c r="R1867" s="32" t="n">
        <f aca="false">P1867*(1+Q1867)</f>
        <v>12787.08</v>
      </c>
      <c r="S1867" s="32" t="n">
        <f aca="false">R1867*(1-TradeDiscount)</f>
        <v>11252.6304</v>
      </c>
      <c r="T1867" s="32" t="n">
        <f aca="false">R1867*(1-VolumeDiscount)</f>
        <v>10229.664</v>
      </c>
    </row>
    <row r="1868" customFormat="false" ht="15" hidden="false" customHeight="false" outlineLevel="0" collapsed="false">
      <c r="A1868" s="25" t="s">
        <v>4084</v>
      </c>
      <c r="B1868" s="25" t="s">
        <v>123</v>
      </c>
      <c r="C1868" s="25" t="s">
        <v>60</v>
      </c>
      <c r="D1868" s="25" t="s">
        <v>4085</v>
      </c>
      <c r="E1868" s="25" t="s">
        <v>4074</v>
      </c>
      <c r="F1868" s="25" t="s">
        <v>4086</v>
      </c>
      <c r="G1868" s="25" t="s">
        <v>35</v>
      </c>
      <c r="H1868" s="25" t="s">
        <v>3148</v>
      </c>
      <c r="I1868" s="25" t="s">
        <v>190</v>
      </c>
      <c r="J1868" s="25" t="s">
        <v>1654</v>
      </c>
      <c r="K1868" s="25" t="s">
        <v>192</v>
      </c>
      <c r="L1868" s="25" t="s">
        <v>30</v>
      </c>
      <c r="M1868" s="25" t="n">
        <v>2700</v>
      </c>
      <c r="N1868" s="25" t="n">
        <v>2100</v>
      </c>
      <c r="O1868" s="25"/>
      <c r="P1868" s="26" t="n">
        <f aca="false">(M1868*N1868/1000000)*INDEX(AreaRate_Vals,MATCH(C1868,AreaRate_Keys,0))+INDEX(Hardware_Vals,MATCH("Garage Doors",Hardware_Keys,0))</f>
        <v>10305.5</v>
      </c>
      <c r="Q1868" s="27" t="n">
        <f aca="false">INDEX(Markup_Vals,MATCH("Roofing Glazing &amp; Garage Doors",MarkupCat_Keys,0))</f>
        <v>0.38</v>
      </c>
      <c r="R1868" s="28" t="n">
        <f aca="false">P1868*(1+Q1868)</f>
        <v>14221.59</v>
      </c>
      <c r="S1868" s="28" t="n">
        <f aca="false">R1868*(1-TradeDiscount)</f>
        <v>12514.9992</v>
      </c>
      <c r="T1868" s="28" t="n">
        <f aca="false">R1868*(1-VolumeDiscount)</f>
        <v>11377.272</v>
      </c>
    </row>
    <row r="1869" customFormat="false" ht="15" hidden="false" customHeight="false" outlineLevel="0" collapsed="false">
      <c r="A1869" s="29" t="s">
        <v>4087</v>
      </c>
      <c r="B1869" s="29" t="s">
        <v>123</v>
      </c>
      <c r="C1869" s="29" t="s">
        <v>60</v>
      </c>
      <c r="D1869" s="29" t="s">
        <v>4088</v>
      </c>
      <c r="E1869" s="29" t="s">
        <v>4074</v>
      </c>
      <c r="F1869" s="29" t="s">
        <v>4086</v>
      </c>
      <c r="G1869" s="29" t="s">
        <v>36</v>
      </c>
      <c r="H1869" s="29" t="s">
        <v>3148</v>
      </c>
      <c r="I1869" s="29" t="s">
        <v>190</v>
      </c>
      <c r="J1869" s="29" t="s">
        <v>1654</v>
      </c>
      <c r="K1869" s="29" t="s">
        <v>192</v>
      </c>
      <c r="L1869" s="29" t="s">
        <v>30</v>
      </c>
      <c r="M1869" s="29" t="n">
        <v>2700</v>
      </c>
      <c r="N1869" s="29" t="n">
        <v>2100</v>
      </c>
      <c r="O1869" s="29"/>
      <c r="P1869" s="30" t="n">
        <f aca="false">(M1869*N1869/1000000)*INDEX(AreaRate_Vals,MATCH(C1869,AreaRate_Keys,0))+INDEX(Hardware_Vals,MATCH("Garage Doors",Hardware_Keys,0))</f>
        <v>10305.5</v>
      </c>
      <c r="Q1869" s="31" t="n">
        <f aca="false">INDEX(Markup_Vals,MATCH("Roofing Glazing &amp; Garage Doors",MarkupCat_Keys,0))</f>
        <v>0.38</v>
      </c>
      <c r="R1869" s="32" t="n">
        <f aca="false">P1869*(1+Q1869)</f>
        <v>14221.59</v>
      </c>
      <c r="S1869" s="32" t="n">
        <f aca="false">R1869*(1-TradeDiscount)</f>
        <v>12514.9992</v>
      </c>
      <c r="T1869" s="32" t="n">
        <f aca="false">R1869*(1-VolumeDiscount)</f>
        <v>11377.272</v>
      </c>
    </row>
    <row r="1870" customFormat="false" ht="15" hidden="false" customHeight="false" outlineLevel="0" collapsed="false">
      <c r="A1870" s="25" t="s">
        <v>4089</v>
      </c>
      <c r="B1870" s="25" t="s">
        <v>123</v>
      </c>
      <c r="C1870" s="25" t="s">
        <v>60</v>
      </c>
      <c r="D1870" s="25" t="s">
        <v>4090</v>
      </c>
      <c r="E1870" s="25" t="s">
        <v>4074</v>
      </c>
      <c r="F1870" s="25" t="s">
        <v>4086</v>
      </c>
      <c r="G1870" s="25" t="s">
        <v>37</v>
      </c>
      <c r="H1870" s="25" t="s">
        <v>3148</v>
      </c>
      <c r="I1870" s="25" t="s">
        <v>190</v>
      </c>
      <c r="J1870" s="25" t="s">
        <v>1654</v>
      </c>
      <c r="K1870" s="25" t="s">
        <v>192</v>
      </c>
      <c r="L1870" s="25" t="s">
        <v>30</v>
      </c>
      <c r="M1870" s="25" t="n">
        <v>2700</v>
      </c>
      <c r="N1870" s="25" t="n">
        <v>2100</v>
      </c>
      <c r="O1870" s="25"/>
      <c r="P1870" s="26" t="n">
        <f aca="false">(M1870*N1870/1000000)*INDEX(AreaRate_Vals,MATCH(C1870,AreaRate_Keys,0))+INDEX(Hardware_Vals,MATCH("Garage Doors",Hardware_Keys,0))</f>
        <v>10305.5</v>
      </c>
      <c r="Q1870" s="27" t="n">
        <f aca="false">INDEX(Markup_Vals,MATCH("Roofing Glazing &amp; Garage Doors",MarkupCat_Keys,0))</f>
        <v>0.38</v>
      </c>
      <c r="R1870" s="28" t="n">
        <f aca="false">P1870*(1+Q1870)</f>
        <v>14221.59</v>
      </c>
      <c r="S1870" s="28" t="n">
        <f aca="false">R1870*(1-TradeDiscount)</f>
        <v>12514.9992</v>
      </c>
      <c r="T1870" s="28" t="n">
        <f aca="false">R1870*(1-VolumeDiscount)</f>
        <v>11377.272</v>
      </c>
    </row>
    <row r="1871" customFormat="false" ht="15" hidden="false" customHeight="false" outlineLevel="0" collapsed="false">
      <c r="A1871" s="29" t="s">
        <v>4091</v>
      </c>
      <c r="B1871" s="29" t="s">
        <v>123</v>
      </c>
      <c r="C1871" s="29" t="s">
        <v>60</v>
      </c>
      <c r="D1871" s="29" t="s">
        <v>4092</v>
      </c>
      <c r="E1871" s="29" t="s">
        <v>4074</v>
      </c>
      <c r="F1871" s="29" t="s">
        <v>4086</v>
      </c>
      <c r="G1871" s="29" t="s">
        <v>39</v>
      </c>
      <c r="H1871" s="29" t="s">
        <v>3148</v>
      </c>
      <c r="I1871" s="29" t="s">
        <v>190</v>
      </c>
      <c r="J1871" s="29" t="s">
        <v>1654</v>
      </c>
      <c r="K1871" s="29" t="s">
        <v>192</v>
      </c>
      <c r="L1871" s="29" t="s">
        <v>30</v>
      </c>
      <c r="M1871" s="29" t="n">
        <v>2700</v>
      </c>
      <c r="N1871" s="29" t="n">
        <v>2100</v>
      </c>
      <c r="O1871" s="29"/>
      <c r="P1871" s="30" t="n">
        <f aca="false">(M1871*N1871/1000000)*INDEX(AreaRate_Vals,MATCH(C1871,AreaRate_Keys,0))+INDEX(Hardware_Vals,MATCH("Garage Doors",Hardware_Keys,0))</f>
        <v>10305.5</v>
      </c>
      <c r="Q1871" s="31" t="n">
        <f aca="false">INDEX(Markup_Vals,MATCH("Roofing Glazing &amp; Garage Doors",MarkupCat_Keys,0))</f>
        <v>0.38</v>
      </c>
      <c r="R1871" s="32" t="n">
        <f aca="false">P1871*(1+Q1871)</f>
        <v>14221.59</v>
      </c>
      <c r="S1871" s="32" t="n">
        <f aca="false">R1871*(1-TradeDiscount)</f>
        <v>12514.9992</v>
      </c>
      <c r="T1871" s="32" t="n">
        <f aca="false">R1871*(1-VolumeDiscount)</f>
        <v>11377.272</v>
      </c>
    </row>
    <row r="1872" customFormat="false" ht="15" hidden="false" customHeight="false" outlineLevel="0" collapsed="false">
      <c r="A1872" s="25" t="s">
        <v>4093</v>
      </c>
      <c r="B1872" s="25" t="s">
        <v>123</v>
      </c>
      <c r="C1872" s="25" t="s">
        <v>60</v>
      </c>
      <c r="D1872" s="25" t="s">
        <v>4094</v>
      </c>
      <c r="E1872" s="25" t="s">
        <v>4074</v>
      </c>
      <c r="F1872" s="25" t="s">
        <v>4086</v>
      </c>
      <c r="G1872" s="25" t="s">
        <v>38</v>
      </c>
      <c r="H1872" s="25" t="s">
        <v>3148</v>
      </c>
      <c r="I1872" s="25" t="s">
        <v>190</v>
      </c>
      <c r="J1872" s="25" t="s">
        <v>1654</v>
      </c>
      <c r="K1872" s="25" t="s">
        <v>192</v>
      </c>
      <c r="L1872" s="25" t="s">
        <v>30</v>
      </c>
      <c r="M1872" s="25" t="n">
        <v>2700</v>
      </c>
      <c r="N1872" s="25" t="n">
        <v>2100</v>
      </c>
      <c r="O1872" s="25"/>
      <c r="P1872" s="26" t="n">
        <f aca="false">(M1872*N1872/1000000)*INDEX(AreaRate_Vals,MATCH(C1872,AreaRate_Keys,0))+INDEX(Hardware_Vals,MATCH("Garage Doors",Hardware_Keys,0))</f>
        <v>10305.5</v>
      </c>
      <c r="Q1872" s="27" t="n">
        <f aca="false">INDEX(Markup_Vals,MATCH("Roofing Glazing &amp; Garage Doors",MarkupCat_Keys,0))</f>
        <v>0.38</v>
      </c>
      <c r="R1872" s="28" t="n">
        <f aca="false">P1872*(1+Q1872)</f>
        <v>14221.59</v>
      </c>
      <c r="S1872" s="28" t="n">
        <f aca="false">R1872*(1-TradeDiscount)</f>
        <v>12514.9992</v>
      </c>
      <c r="T1872" s="28" t="n">
        <f aca="false">R1872*(1-VolumeDiscount)</f>
        <v>11377.272</v>
      </c>
    </row>
    <row r="1873" customFormat="false" ht="15" hidden="false" customHeight="false" outlineLevel="0" collapsed="false">
      <c r="A1873" s="29" t="s">
        <v>4095</v>
      </c>
      <c r="B1873" s="29" t="s">
        <v>123</v>
      </c>
      <c r="C1873" s="29" t="s">
        <v>60</v>
      </c>
      <c r="D1873" s="29" t="s">
        <v>4096</v>
      </c>
      <c r="E1873" s="29" t="s">
        <v>4074</v>
      </c>
      <c r="F1873" s="29" t="s">
        <v>4097</v>
      </c>
      <c r="G1873" s="29" t="s">
        <v>35</v>
      </c>
      <c r="H1873" s="29" t="s">
        <v>3148</v>
      </c>
      <c r="I1873" s="29" t="s">
        <v>190</v>
      </c>
      <c r="J1873" s="29" t="s">
        <v>1654</v>
      </c>
      <c r="K1873" s="29" t="s">
        <v>298</v>
      </c>
      <c r="L1873" s="29" t="s">
        <v>30</v>
      </c>
      <c r="M1873" s="29" t="n">
        <v>3000</v>
      </c>
      <c r="N1873" s="29" t="n">
        <v>2100</v>
      </c>
      <c r="O1873" s="29"/>
      <c r="P1873" s="30" t="n">
        <f aca="false">(M1873*N1873/1000000)*INDEX(AreaRate_Vals,MATCH(C1873,AreaRate_Keys,0))+INDEX(Hardware_Vals,MATCH("Garage Doors",Hardware_Keys,0))</f>
        <v>11345</v>
      </c>
      <c r="Q1873" s="31" t="n">
        <f aca="false">INDEX(Markup_Vals,MATCH("Roofing Glazing &amp; Garage Doors",MarkupCat_Keys,0))</f>
        <v>0.38</v>
      </c>
      <c r="R1873" s="32" t="n">
        <f aca="false">P1873*(1+Q1873)</f>
        <v>15656.1</v>
      </c>
      <c r="S1873" s="32" t="n">
        <f aca="false">R1873*(1-TradeDiscount)</f>
        <v>13777.368</v>
      </c>
      <c r="T1873" s="32" t="n">
        <f aca="false">R1873*(1-VolumeDiscount)</f>
        <v>12524.88</v>
      </c>
    </row>
    <row r="1874" customFormat="false" ht="15" hidden="false" customHeight="false" outlineLevel="0" collapsed="false">
      <c r="A1874" s="25" t="s">
        <v>4098</v>
      </c>
      <c r="B1874" s="25" t="s">
        <v>123</v>
      </c>
      <c r="C1874" s="25" t="s">
        <v>60</v>
      </c>
      <c r="D1874" s="25" t="s">
        <v>4099</v>
      </c>
      <c r="E1874" s="25" t="s">
        <v>4074</v>
      </c>
      <c r="F1874" s="25" t="s">
        <v>4097</v>
      </c>
      <c r="G1874" s="25" t="s">
        <v>36</v>
      </c>
      <c r="H1874" s="25" t="s">
        <v>3148</v>
      </c>
      <c r="I1874" s="25" t="s">
        <v>190</v>
      </c>
      <c r="J1874" s="25" t="s">
        <v>1654</v>
      </c>
      <c r="K1874" s="25" t="s">
        <v>298</v>
      </c>
      <c r="L1874" s="25" t="s">
        <v>30</v>
      </c>
      <c r="M1874" s="25" t="n">
        <v>3000</v>
      </c>
      <c r="N1874" s="25" t="n">
        <v>2100</v>
      </c>
      <c r="O1874" s="25"/>
      <c r="P1874" s="26" t="n">
        <f aca="false">(M1874*N1874/1000000)*INDEX(AreaRate_Vals,MATCH(C1874,AreaRate_Keys,0))+INDEX(Hardware_Vals,MATCH("Garage Doors",Hardware_Keys,0))</f>
        <v>11345</v>
      </c>
      <c r="Q1874" s="27" t="n">
        <f aca="false">INDEX(Markup_Vals,MATCH("Roofing Glazing &amp; Garage Doors",MarkupCat_Keys,0))</f>
        <v>0.38</v>
      </c>
      <c r="R1874" s="28" t="n">
        <f aca="false">P1874*(1+Q1874)</f>
        <v>15656.1</v>
      </c>
      <c r="S1874" s="28" t="n">
        <f aca="false">R1874*(1-TradeDiscount)</f>
        <v>13777.368</v>
      </c>
      <c r="T1874" s="28" t="n">
        <f aca="false">R1874*(1-VolumeDiscount)</f>
        <v>12524.88</v>
      </c>
    </row>
    <row r="1875" customFormat="false" ht="15" hidden="false" customHeight="false" outlineLevel="0" collapsed="false">
      <c r="A1875" s="29" t="s">
        <v>4100</v>
      </c>
      <c r="B1875" s="29" t="s">
        <v>123</v>
      </c>
      <c r="C1875" s="29" t="s">
        <v>60</v>
      </c>
      <c r="D1875" s="29" t="s">
        <v>4101</v>
      </c>
      <c r="E1875" s="29" t="s">
        <v>4074</v>
      </c>
      <c r="F1875" s="29" t="s">
        <v>4097</v>
      </c>
      <c r="G1875" s="29" t="s">
        <v>37</v>
      </c>
      <c r="H1875" s="29" t="s">
        <v>3148</v>
      </c>
      <c r="I1875" s="29" t="s">
        <v>190</v>
      </c>
      <c r="J1875" s="29" t="s">
        <v>1654</v>
      </c>
      <c r="K1875" s="29" t="s">
        <v>298</v>
      </c>
      <c r="L1875" s="29" t="s">
        <v>30</v>
      </c>
      <c r="M1875" s="29" t="n">
        <v>3000</v>
      </c>
      <c r="N1875" s="29" t="n">
        <v>2100</v>
      </c>
      <c r="O1875" s="29"/>
      <c r="P1875" s="30" t="n">
        <f aca="false">(M1875*N1875/1000000)*INDEX(AreaRate_Vals,MATCH(C1875,AreaRate_Keys,0))+INDEX(Hardware_Vals,MATCH("Garage Doors",Hardware_Keys,0))</f>
        <v>11345</v>
      </c>
      <c r="Q1875" s="31" t="n">
        <f aca="false">INDEX(Markup_Vals,MATCH("Roofing Glazing &amp; Garage Doors",MarkupCat_Keys,0))</f>
        <v>0.38</v>
      </c>
      <c r="R1875" s="32" t="n">
        <f aca="false">P1875*(1+Q1875)</f>
        <v>15656.1</v>
      </c>
      <c r="S1875" s="32" t="n">
        <f aca="false">R1875*(1-TradeDiscount)</f>
        <v>13777.368</v>
      </c>
      <c r="T1875" s="32" t="n">
        <f aca="false">R1875*(1-VolumeDiscount)</f>
        <v>12524.88</v>
      </c>
    </row>
    <row r="1876" customFormat="false" ht="15" hidden="false" customHeight="false" outlineLevel="0" collapsed="false">
      <c r="A1876" s="25" t="s">
        <v>4102</v>
      </c>
      <c r="B1876" s="25" t="s">
        <v>123</v>
      </c>
      <c r="C1876" s="25" t="s">
        <v>60</v>
      </c>
      <c r="D1876" s="25" t="s">
        <v>4103</v>
      </c>
      <c r="E1876" s="25" t="s">
        <v>4074</v>
      </c>
      <c r="F1876" s="25" t="s">
        <v>4097</v>
      </c>
      <c r="G1876" s="25" t="s">
        <v>39</v>
      </c>
      <c r="H1876" s="25" t="s">
        <v>3148</v>
      </c>
      <c r="I1876" s="25" t="s">
        <v>190</v>
      </c>
      <c r="J1876" s="25" t="s">
        <v>1654</v>
      </c>
      <c r="K1876" s="25" t="s">
        <v>298</v>
      </c>
      <c r="L1876" s="25" t="s">
        <v>30</v>
      </c>
      <c r="M1876" s="25" t="n">
        <v>3000</v>
      </c>
      <c r="N1876" s="25" t="n">
        <v>2100</v>
      </c>
      <c r="O1876" s="25"/>
      <c r="P1876" s="26" t="n">
        <f aca="false">(M1876*N1876/1000000)*INDEX(AreaRate_Vals,MATCH(C1876,AreaRate_Keys,0))+INDEX(Hardware_Vals,MATCH("Garage Doors",Hardware_Keys,0))</f>
        <v>11345</v>
      </c>
      <c r="Q1876" s="27" t="n">
        <f aca="false">INDEX(Markup_Vals,MATCH("Roofing Glazing &amp; Garage Doors",MarkupCat_Keys,0))</f>
        <v>0.38</v>
      </c>
      <c r="R1876" s="28" t="n">
        <f aca="false">P1876*(1+Q1876)</f>
        <v>15656.1</v>
      </c>
      <c r="S1876" s="28" t="n">
        <f aca="false">R1876*(1-TradeDiscount)</f>
        <v>13777.368</v>
      </c>
      <c r="T1876" s="28" t="n">
        <f aca="false">R1876*(1-VolumeDiscount)</f>
        <v>12524.88</v>
      </c>
    </row>
    <row r="1877" customFormat="false" ht="15" hidden="false" customHeight="false" outlineLevel="0" collapsed="false">
      <c r="A1877" s="29" t="s">
        <v>4104</v>
      </c>
      <c r="B1877" s="29" t="s">
        <v>123</v>
      </c>
      <c r="C1877" s="29" t="s">
        <v>60</v>
      </c>
      <c r="D1877" s="29" t="s">
        <v>4105</v>
      </c>
      <c r="E1877" s="29" t="s">
        <v>4074</v>
      </c>
      <c r="F1877" s="29" t="s">
        <v>4097</v>
      </c>
      <c r="G1877" s="29" t="s">
        <v>38</v>
      </c>
      <c r="H1877" s="29" t="s">
        <v>3148</v>
      </c>
      <c r="I1877" s="29" t="s">
        <v>190</v>
      </c>
      <c r="J1877" s="29" t="s">
        <v>1654</v>
      </c>
      <c r="K1877" s="29" t="s">
        <v>298</v>
      </c>
      <c r="L1877" s="29" t="s">
        <v>30</v>
      </c>
      <c r="M1877" s="29" t="n">
        <v>3000</v>
      </c>
      <c r="N1877" s="29" t="n">
        <v>2100</v>
      </c>
      <c r="O1877" s="29"/>
      <c r="P1877" s="30" t="n">
        <f aca="false">(M1877*N1877/1000000)*INDEX(AreaRate_Vals,MATCH(C1877,AreaRate_Keys,0))+INDEX(Hardware_Vals,MATCH("Garage Doors",Hardware_Keys,0))</f>
        <v>11345</v>
      </c>
      <c r="Q1877" s="31" t="n">
        <f aca="false">INDEX(Markup_Vals,MATCH("Roofing Glazing &amp; Garage Doors",MarkupCat_Keys,0))</f>
        <v>0.38</v>
      </c>
      <c r="R1877" s="32" t="n">
        <f aca="false">P1877*(1+Q1877)</f>
        <v>15656.1</v>
      </c>
      <c r="S1877" s="32" t="n">
        <f aca="false">R1877*(1-TradeDiscount)</f>
        <v>13777.368</v>
      </c>
      <c r="T1877" s="32" t="n">
        <f aca="false">R1877*(1-VolumeDiscount)</f>
        <v>12524.88</v>
      </c>
    </row>
    <row r="1878" customFormat="false" ht="15" hidden="false" customHeight="false" outlineLevel="0" collapsed="false">
      <c r="A1878" s="25" t="s">
        <v>4106</v>
      </c>
      <c r="B1878" s="25" t="s">
        <v>123</v>
      </c>
      <c r="C1878" s="25" t="s">
        <v>60</v>
      </c>
      <c r="D1878" s="25" t="s">
        <v>4107</v>
      </c>
      <c r="E1878" s="25" t="s">
        <v>4074</v>
      </c>
      <c r="F1878" s="25" t="s">
        <v>4108</v>
      </c>
      <c r="G1878" s="25" t="s">
        <v>35</v>
      </c>
      <c r="H1878" s="25" t="s">
        <v>3148</v>
      </c>
      <c r="I1878" s="25" t="s">
        <v>190</v>
      </c>
      <c r="J1878" s="25" t="s">
        <v>1654</v>
      </c>
      <c r="K1878" s="25" t="s">
        <v>298</v>
      </c>
      <c r="L1878" s="25" t="s">
        <v>30</v>
      </c>
      <c r="M1878" s="25" t="n">
        <v>4800</v>
      </c>
      <c r="N1878" s="25" t="n">
        <v>2100</v>
      </c>
      <c r="O1878" s="25"/>
      <c r="P1878" s="26" t="n">
        <f aca="false">(M1878*N1878/1000000)*INDEX(AreaRate_Vals,MATCH(C1878,AreaRate_Keys,0))+INDEX(Hardware_Vals,MATCH("Garage Doors",Hardware_Keys,0))</f>
        <v>17582</v>
      </c>
      <c r="Q1878" s="27" t="n">
        <f aca="false">INDEX(Markup_Vals,MATCH("Roofing Glazing &amp; Garage Doors",MarkupCat_Keys,0))</f>
        <v>0.38</v>
      </c>
      <c r="R1878" s="28" t="n">
        <f aca="false">P1878*(1+Q1878)</f>
        <v>24263.16</v>
      </c>
      <c r="S1878" s="28" t="n">
        <f aca="false">R1878*(1-TradeDiscount)</f>
        <v>21351.5808</v>
      </c>
      <c r="T1878" s="28" t="n">
        <f aca="false">R1878*(1-VolumeDiscount)</f>
        <v>19410.528</v>
      </c>
    </row>
    <row r="1879" customFormat="false" ht="15" hidden="false" customHeight="false" outlineLevel="0" collapsed="false">
      <c r="A1879" s="29" t="s">
        <v>4109</v>
      </c>
      <c r="B1879" s="29" t="s">
        <v>123</v>
      </c>
      <c r="C1879" s="29" t="s">
        <v>60</v>
      </c>
      <c r="D1879" s="29" t="s">
        <v>4110</v>
      </c>
      <c r="E1879" s="29" t="s">
        <v>4074</v>
      </c>
      <c r="F1879" s="29" t="s">
        <v>4108</v>
      </c>
      <c r="G1879" s="29" t="s">
        <v>36</v>
      </c>
      <c r="H1879" s="29" t="s">
        <v>3148</v>
      </c>
      <c r="I1879" s="29" t="s">
        <v>190</v>
      </c>
      <c r="J1879" s="29" t="s">
        <v>1654</v>
      </c>
      <c r="K1879" s="29" t="s">
        <v>298</v>
      </c>
      <c r="L1879" s="29" t="s">
        <v>30</v>
      </c>
      <c r="M1879" s="29" t="n">
        <v>4800</v>
      </c>
      <c r="N1879" s="29" t="n">
        <v>2100</v>
      </c>
      <c r="O1879" s="29"/>
      <c r="P1879" s="30" t="n">
        <f aca="false">(M1879*N1879/1000000)*INDEX(AreaRate_Vals,MATCH(C1879,AreaRate_Keys,0))+INDEX(Hardware_Vals,MATCH("Garage Doors",Hardware_Keys,0))</f>
        <v>17582</v>
      </c>
      <c r="Q1879" s="31" t="n">
        <f aca="false">INDEX(Markup_Vals,MATCH("Roofing Glazing &amp; Garage Doors",MarkupCat_Keys,0))</f>
        <v>0.38</v>
      </c>
      <c r="R1879" s="32" t="n">
        <f aca="false">P1879*(1+Q1879)</f>
        <v>24263.16</v>
      </c>
      <c r="S1879" s="32" t="n">
        <f aca="false">R1879*(1-TradeDiscount)</f>
        <v>21351.5808</v>
      </c>
      <c r="T1879" s="32" t="n">
        <f aca="false">R1879*(1-VolumeDiscount)</f>
        <v>19410.528</v>
      </c>
    </row>
    <row r="1880" customFormat="false" ht="15" hidden="false" customHeight="false" outlineLevel="0" collapsed="false">
      <c r="A1880" s="25" t="s">
        <v>4111</v>
      </c>
      <c r="B1880" s="25" t="s">
        <v>123</v>
      </c>
      <c r="C1880" s="25" t="s">
        <v>60</v>
      </c>
      <c r="D1880" s="25" t="s">
        <v>4112</v>
      </c>
      <c r="E1880" s="25" t="s">
        <v>4074</v>
      </c>
      <c r="F1880" s="25" t="s">
        <v>4108</v>
      </c>
      <c r="G1880" s="25" t="s">
        <v>37</v>
      </c>
      <c r="H1880" s="25" t="s">
        <v>3148</v>
      </c>
      <c r="I1880" s="25" t="s">
        <v>190</v>
      </c>
      <c r="J1880" s="25" t="s">
        <v>1654</v>
      </c>
      <c r="K1880" s="25" t="s">
        <v>298</v>
      </c>
      <c r="L1880" s="25" t="s">
        <v>30</v>
      </c>
      <c r="M1880" s="25" t="n">
        <v>4800</v>
      </c>
      <c r="N1880" s="25" t="n">
        <v>2100</v>
      </c>
      <c r="O1880" s="25"/>
      <c r="P1880" s="26" t="n">
        <f aca="false">(M1880*N1880/1000000)*INDEX(AreaRate_Vals,MATCH(C1880,AreaRate_Keys,0))+INDEX(Hardware_Vals,MATCH("Garage Doors",Hardware_Keys,0))</f>
        <v>17582</v>
      </c>
      <c r="Q1880" s="27" t="n">
        <f aca="false">INDEX(Markup_Vals,MATCH("Roofing Glazing &amp; Garage Doors",MarkupCat_Keys,0))</f>
        <v>0.38</v>
      </c>
      <c r="R1880" s="28" t="n">
        <f aca="false">P1880*(1+Q1880)</f>
        <v>24263.16</v>
      </c>
      <c r="S1880" s="28" t="n">
        <f aca="false">R1880*(1-TradeDiscount)</f>
        <v>21351.5808</v>
      </c>
      <c r="T1880" s="28" t="n">
        <f aca="false">R1880*(1-VolumeDiscount)</f>
        <v>19410.528</v>
      </c>
    </row>
    <row r="1881" customFormat="false" ht="15" hidden="false" customHeight="false" outlineLevel="0" collapsed="false">
      <c r="A1881" s="29" t="s">
        <v>4113</v>
      </c>
      <c r="B1881" s="29" t="s">
        <v>123</v>
      </c>
      <c r="C1881" s="29" t="s">
        <v>60</v>
      </c>
      <c r="D1881" s="29" t="s">
        <v>4114</v>
      </c>
      <c r="E1881" s="29" t="s">
        <v>4074</v>
      </c>
      <c r="F1881" s="29" t="s">
        <v>4108</v>
      </c>
      <c r="G1881" s="29" t="s">
        <v>39</v>
      </c>
      <c r="H1881" s="29" t="s">
        <v>3148</v>
      </c>
      <c r="I1881" s="29" t="s">
        <v>190</v>
      </c>
      <c r="J1881" s="29" t="s">
        <v>1654</v>
      </c>
      <c r="K1881" s="29" t="s">
        <v>298</v>
      </c>
      <c r="L1881" s="29" t="s">
        <v>30</v>
      </c>
      <c r="M1881" s="29" t="n">
        <v>4800</v>
      </c>
      <c r="N1881" s="29" t="n">
        <v>2100</v>
      </c>
      <c r="O1881" s="29"/>
      <c r="P1881" s="30" t="n">
        <f aca="false">(M1881*N1881/1000000)*INDEX(AreaRate_Vals,MATCH(C1881,AreaRate_Keys,0))+INDEX(Hardware_Vals,MATCH("Garage Doors",Hardware_Keys,0))</f>
        <v>17582</v>
      </c>
      <c r="Q1881" s="31" t="n">
        <f aca="false">INDEX(Markup_Vals,MATCH("Roofing Glazing &amp; Garage Doors",MarkupCat_Keys,0))</f>
        <v>0.38</v>
      </c>
      <c r="R1881" s="32" t="n">
        <f aca="false">P1881*(1+Q1881)</f>
        <v>24263.16</v>
      </c>
      <c r="S1881" s="32" t="n">
        <f aca="false">R1881*(1-TradeDiscount)</f>
        <v>21351.5808</v>
      </c>
      <c r="T1881" s="32" t="n">
        <f aca="false">R1881*(1-VolumeDiscount)</f>
        <v>19410.528</v>
      </c>
    </row>
    <row r="1882" customFormat="false" ht="15" hidden="false" customHeight="false" outlineLevel="0" collapsed="false">
      <c r="A1882" s="25" t="s">
        <v>4115</v>
      </c>
      <c r="B1882" s="25" t="s">
        <v>123</v>
      </c>
      <c r="C1882" s="25" t="s">
        <v>60</v>
      </c>
      <c r="D1882" s="25" t="s">
        <v>4116</v>
      </c>
      <c r="E1882" s="25" t="s">
        <v>4074</v>
      </c>
      <c r="F1882" s="25" t="s">
        <v>4108</v>
      </c>
      <c r="G1882" s="25" t="s">
        <v>38</v>
      </c>
      <c r="H1882" s="25" t="s">
        <v>3148</v>
      </c>
      <c r="I1882" s="25" t="s">
        <v>190</v>
      </c>
      <c r="J1882" s="25" t="s">
        <v>1654</v>
      </c>
      <c r="K1882" s="25" t="s">
        <v>298</v>
      </c>
      <c r="L1882" s="25" t="s">
        <v>30</v>
      </c>
      <c r="M1882" s="25" t="n">
        <v>4800</v>
      </c>
      <c r="N1882" s="25" t="n">
        <v>2100</v>
      </c>
      <c r="O1882" s="25"/>
      <c r="P1882" s="26" t="n">
        <f aca="false">(M1882*N1882/1000000)*INDEX(AreaRate_Vals,MATCH(C1882,AreaRate_Keys,0))+INDEX(Hardware_Vals,MATCH("Garage Doors",Hardware_Keys,0))</f>
        <v>17582</v>
      </c>
      <c r="Q1882" s="27" t="n">
        <f aca="false">INDEX(Markup_Vals,MATCH("Roofing Glazing &amp; Garage Doors",MarkupCat_Keys,0))</f>
        <v>0.38</v>
      </c>
      <c r="R1882" s="28" t="n">
        <f aca="false">P1882*(1+Q1882)</f>
        <v>24263.16</v>
      </c>
      <c r="S1882" s="28" t="n">
        <f aca="false">R1882*(1-TradeDiscount)</f>
        <v>21351.5808</v>
      </c>
      <c r="T1882" s="28" t="n">
        <f aca="false">R1882*(1-VolumeDiscount)</f>
        <v>19410.528</v>
      </c>
    </row>
    <row r="1883" customFormat="false" ht="15" hidden="false" customHeight="false" outlineLevel="0" collapsed="false">
      <c r="A1883" s="29" t="s">
        <v>4117</v>
      </c>
      <c r="B1883" s="29" t="s">
        <v>123</v>
      </c>
      <c r="C1883" s="29" t="s">
        <v>60</v>
      </c>
      <c r="D1883" s="29" t="s">
        <v>4118</v>
      </c>
      <c r="E1883" s="29" t="s">
        <v>4074</v>
      </c>
      <c r="F1883" s="29" t="s">
        <v>4119</v>
      </c>
      <c r="G1883" s="29" t="s">
        <v>35</v>
      </c>
      <c r="H1883" s="29" t="s">
        <v>3148</v>
      </c>
      <c r="I1883" s="29" t="s">
        <v>190</v>
      </c>
      <c r="J1883" s="29" t="s">
        <v>1654</v>
      </c>
      <c r="K1883" s="29" t="s">
        <v>298</v>
      </c>
      <c r="L1883" s="29" t="s">
        <v>30</v>
      </c>
      <c r="M1883" s="29" t="n">
        <v>5400</v>
      </c>
      <c r="N1883" s="29" t="n">
        <v>2100</v>
      </c>
      <c r="O1883" s="29"/>
      <c r="P1883" s="30" t="n">
        <f aca="false">(M1883*N1883/1000000)*INDEX(AreaRate_Vals,MATCH(C1883,AreaRate_Keys,0))+INDEX(Hardware_Vals,MATCH("Garage Doors",Hardware_Keys,0))</f>
        <v>19661</v>
      </c>
      <c r="Q1883" s="31" t="n">
        <f aca="false">INDEX(Markup_Vals,MATCH("Roofing Glazing &amp; Garage Doors",MarkupCat_Keys,0))</f>
        <v>0.38</v>
      </c>
      <c r="R1883" s="32" t="n">
        <f aca="false">P1883*(1+Q1883)</f>
        <v>27132.18</v>
      </c>
      <c r="S1883" s="32" t="n">
        <f aca="false">R1883*(1-TradeDiscount)</f>
        <v>23876.3184</v>
      </c>
      <c r="T1883" s="32" t="n">
        <f aca="false">R1883*(1-VolumeDiscount)</f>
        <v>21705.744</v>
      </c>
    </row>
    <row r="1884" customFormat="false" ht="15" hidden="false" customHeight="false" outlineLevel="0" collapsed="false">
      <c r="A1884" s="25" t="s">
        <v>4120</v>
      </c>
      <c r="B1884" s="25" t="s">
        <v>123</v>
      </c>
      <c r="C1884" s="25" t="s">
        <v>60</v>
      </c>
      <c r="D1884" s="25" t="s">
        <v>4121</v>
      </c>
      <c r="E1884" s="25" t="s">
        <v>4074</v>
      </c>
      <c r="F1884" s="25" t="s">
        <v>4119</v>
      </c>
      <c r="G1884" s="25" t="s">
        <v>36</v>
      </c>
      <c r="H1884" s="25" t="s">
        <v>3148</v>
      </c>
      <c r="I1884" s="25" t="s">
        <v>190</v>
      </c>
      <c r="J1884" s="25" t="s">
        <v>1654</v>
      </c>
      <c r="K1884" s="25" t="s">
        <v>298</v>
      </c>
      <c r="L1884" s="25" t="s">
        <v>30</v>
      </c>
      <c r="M1884" s="25" t="n">
        <v>5400</v>
      </c>
      <c r="N1884" s="25" t="n">
        <v>2100</v>
      </c>
      <c r="O1884" s="25"/>
      <c r="P1884" s="26" t="n">
        <f aca="false">(M1884*N1884/1000000)*INDEX(AreaRate_Vals,MATCH(C1884,AreaRate_Keys,0))+INDEX(Hardware_Vals,MATCH("Garage Doors",Hardware_Keys,0))</f>
        <v>19661</v>
      </c>
      <c r="Q1884" s="27" t="n">
        <f aca="false">INDEX(Markup_Vals,MATCH("Roofing Glazing &amp; Garage Doors",MarkupCat_Keys,0))</f>
        <v>0.38</v>
      </c>
      <c r="R1884" s="28" t="n">
        <f aca="false">P1884*(1+Q1884)</f>
        <v>27132.18</v>
      </c>
      <c r="S1884" s="28" t="n">
        <f aca="false">R1884*(1-TradeDiscount)</f>
        <v>23876.3184</v>
      </c>
      <c r="T1884" s="28" t="n">
        <f aca="false">R1884*(1-VolumeDiscount)</f>
        <v>21705.744</v>
      </c>
    </row>
    <row r="1885" customFormat="false" ht="15" hidden="false" customHeight="false" outlineLevel="0" collapsed="false">
      <c r="A1885" s="29" t="s">
        <v>4122</v>
      </c>
      <c r="B1885" s="29" t="s">
        <v>123</v>
      </c>
      <c r="C1885" s="29" t="s">
        <v>60</v>
      </c>
      <c r="D1885" s="29" t="s">
        <v>4123</v>
      </c>
      <c r="E1885" s="29" t="s">
        <v>4074</v>
      </c>
      <c r="F1885" s="29" t="s">
        <v>4119</v>
      </c>
      <c r="G1885" s="29" t="s">
        <v>37</v>
      </c>
      <c r="H1885" s="29" t="s">
        <v>3148</v>
      </c>
      <c r="I1885" s="29" t="s">
        <v>190</v>
      </c>
      <c r="J1885" s="29" t="s">
        <v>1654</v>
      </c>
      <c r="K1885" s="29" t="s">
        <v>298</v>
      </c>
      <c r="L1885" s="29" t="s">
        <v>30</v>
      </c>
      <c r="M1885" s="29" t="n">
        <v>5400</v>
      </c>
      <c r="N1885" s="29" t="n">
        <v>2100</v>
      </c>
      <c r="O1885" s="29"/>
      <c r="P1885" s="30" t="n">
        <f aca="false">(M1885*N1885/1000000)*INDEX(AreaRate_Vals,MATCH(C1885,AreaRate_Keys,0))+INDEX(Hardware_Vals,MATCH("Garage Doors",Hardware_Keys,0))</f>
        <v>19661</v>
      </c>
      <c r="Q1885" s="31" t="n">
        <f aca="false">INDEX(Markup_Vals,MATCH("Roofing Glazing &amp; Garage Doors",MarkupCat_Keys,0))</f>
        <v>0.38</v>
      </c>
      <c r="R1885" s="32" t="n">
        <f aca="false">P1885*(1+Q1885)</f>
        <v>27132.18</v>
      </c>
      <c r="S1885" s="32" t="n">
        <f aca="false">R1885*(1-TradeDiscount)</f>
        <v>23876.3184</v>
      </c>
      <c r="T1885" s="32" t="n">
        <f aca="false">R1885*(1-VolumeDiscount)</f>
        <v>21705.744</v>
      </c>
    </row>
    <row r="1886" customFormat="false" ht="15" hidden="false" customHeight="false" outlineLevel="0" collapsed="false">
      <c r="A1886" s="25" t="s">
        <v>4124</v>
      </c>
      <c r="B1886" s="25" t="s">
        <v>123</v>
      </c>
      <c r="C1886" s="25" t="s">
        <v>60</v>
      </c>
      <c r="D1886" s="25" t="s">
        <v>4125</v>
      </c>
      <c r="E1886" s="25" t="s">
        <v>4074</v>
      </c>
      <c r="F1886" s="25" t="s">
        <v>4119</v>
      </c>
      <c r="G1886" s="25" t="s">
        <v>39</v>
      </c>
      <c r="H1886" s="25" t="s">
        <v>3148</v>
      </c>
      <c r="I1886" s="25" t="s">
        <v>190</v>
      </c>
      <c r="J1886" s="25" t="s">
        <v>1654</v>
      </c>
      <c r="K1886" s="25" t="s">
        <v>298</v>
      </c>
      <c r="L1886" s="25" t="s">
        <v>30</v>
      </c>
      <c r="M1886" s="25" t="n">
        <v>5400</v>
      </c>
      <c r="N1886" s="25" t="n">
        <v>2100</v>
      </c>
      <c r="O1886" s="25"/>
      <c r="P1886" s="26" t="n">
        <f aca="false">(M1886*N1886/1000000)*INDEX(AreaRate_Vals,MATCH(C1886,AreaRate_Keys,0))+INDEX(Hardware_Vals,MATCH("Garage Doors",Hardware_Keys,0))</f>
        <v>19661</v>
      </c>
      <c r="Q1886" s="27" t="n">
        <f aca="false">INDEX(Markup_Vals,MATCH("Roofing Glazing &amp; Garage Doors",MarkupCat_Keys,0))</f>
        <v>0.38</v>
      </c>
      <c r="R1886" s="28" t="n">
        <f aca="false">P1886*(1+Q1886)</f>
        <v>27132.18</v>
      </c>
      <c r="S1886" s="28" t="n">
        <f aca="false">R1886*(1-TradeDiscount)</f>
        <v>23876.3184</v>
      </c>
      <c r="T1886" s="28" t="n">
        <f aca="false">R1886*(1-VolumeDiscount)</f>
        <v>21705.744</v>
      </c>
    </row>
    <row r="1887" customFormat="false" ht="15" hidden="false" customHeight="false" outlineLevel="0" collapsed="false">
      <c r="A1887" s="29" t="s">
        <v>4126</v>
      </c>
      <c r="B1887" s="29" t="s">
        <v>123</v>
      </c>
      <c r="C1887" s="29" t="s">
        <v>60</v>
      </c>
      <c r="D1887" s="29" t="s">
        <v>4127</v>
      </c>
      <c r="E1887" s="29" t="s">
        <v>4074</v>
      </c>
      <c r="F1887" s="29" t="s">
        <v>4119</v>
      </c>
      <c r="G1887" s="29" t="s">
        <v>38</v>
      </c>
      <c r="H1887" s="29" t="s">
        <v>3148</v>
      </c>
      <c r="I1887" s="29" t="s">
        <v>190</v>
      </c>
      <c r="J1887" s="29" t="s">
        <v>1654</v>
      </c>
      <c r="K1887" s="29" t="s">
        <v>298</v>
      </c>
      <c r="L1887" s="29" t="s">
        <v>30</v>
      </c>
      <c r="M1887" s="29" t="n">
        <v>5400</v>
      </c>
      <c r="N1887" s="29" t="n">
        <v>2100</v>
      </c>
      <c r="O1887" s="29"/>
      <c r="P1887" s="30" t="n">
        <f aca="false">(M1887*N1887/1000000)*INDEX(AreaRate_Vals,MATCH(C1887,AreaRate_Keys,0))+INDEX(Hardware_Vals,MATCH("Garage Doors",Hardware_Keys,0))</f>
        <v>19661</v>
      </c>
      <c r="Q1887" s="31" t="n">
        <f aca="false">INDEX(Markup_Vals,MATCH("Roofing Glazing &amp; Garage Doors",MarkupCat_Keys,0))</f>
        <v>0.38</v>
      </c>
      <c r="R1887" s="32" t="n">
        <f aca="false">P1887*(1+Q1887)</f>
        <v>27132.18</v>
      </c>
      <c r="S1887" s="32" t="n">
        <f aca="false">R1887*(1-TradeDiscount)</f>
        <v>23876.3184</v>
      </c>
      <c r="T1887" s="32" t="n">
        <f aca="false">R1887*(1-VolumeDiscount)</f>
        <v>21705.744</v>
      </c>
    </row>
    <row r="1888" customFormat="false" ht="15" hidden="false" customHeight="false" outlineLevel="0" collapsed="false">
      <c r="A1888" s="25" t="s">
        <v>4128</v>
      </c>
      <c r="B1888" s="25" t="s">
        <v>123</v>
      </c>
      <c r="C1888" s="25" t="s">
        <v>60</v>
      </c>
      <c r="D1888" s="25" t="s">
        <v>4129</v>
      </c>
      <c r="E1888" s="25" t="s">
        <v>4074</v>
      </c>
      <c r="F1888" s="25" t="s">
        <v>4130</v>
      </c>
      <c r="G1888" s="25" t="s">
        <v>35</v>
      </c>
      <c r="H1888" s="25" t="s">
        <v>3148</v>
      </c>
      <c r="I1888" s="25" t="s">
        <v>190</v>
      </c>
      <c r="J1888" s="25" t="s">
        <v>1654</v>
      </c>
      <c r="K1888" s="25" t="s">
        <v>298</v>
      </c>
      <c r="L1888" s="25" t="s">
        <v>30</v>
      </c>
      <c r="M1888" s="25" t="n">
        <v>5400</v>
      </c>
      <c r="N1888" s="25" t="n">
        <v>2400</v>
      </c>
      <c r="O1888" s="25"/>
      <c r="P1888" s="26" t="n">
        <f aca="false">(M1888*N1888/1000000)*INDEX(AreaRate_Vals,MATCH(C1888,AreaRate_Keys,0))+INDEX(Hardware_Vals,MATCH("Garage Doors",Hardware_Keys,0))</f>
        <v>22334</v>
      </c>
      <c r="Q1888" s="27" t="n">
        <f aca="false">INDEX(Markup_Vals,MATCH("Roofing Glazing &amp; Garage Doors",MarkupCat_Keys,0))</f>
        <v>0.38</v>
      </c>
      <c r="R1888" s="28" t="n">
        <f aca="false">P1888*(1+Q1888)</f>
        <v>30820.92</v>
      </c>
      <c r="S1888" s="28" t="n">
        <f aca="false">R1888*(1-TradeDiscount)</f>
        <v>27122.4096</v>
      </c>
      <c r="T1888" s="28" t="n">
        <f aca="false">R1888*(1-VolumeDiscount)</f>
        <v>24656.736</v>
      </c>
    </row>
    <row r="1889" customFormat="false" ht="15" hidden="false" customHeight="false" outlineLevel="0" collapsed="false">
      <c r="A1889" s="29" t="s">
        <v>4131</v>
      </c>
      <c r="B1889" s="29" t="s">
        <v>123</v>
      </c>
      <c r="C1889" s="29" t="s">
        <v>60</v>
      </c>
      <c r="D1889" s="29" t="s">
        <v>4132</v>
      </c>
      <c r="E1889" s="29" t="s">
        <v>4074</v>
      </c>
      <c r="F1889" s="29" t="s">
        <v>4130</v>
      </c>
      <c r="G1889" s="29" t="s">
        <v>36</v>
      </c>
      <c r="H1889" s="29" t="s">
        <v>3148</v>
      </c>
      <c r="I1889" s="29" t="s">
        <v>190</v>
      </c>
      <c r="J1889" s="29" t="s">
        <v>1654</v>
      </c>
      <c r="K1889" s="29" t="s">
        <v>298</v>
      </c>
      <c r="L1889" s="29" t="s">
        <v>30</v>
      </c>
      <c r="M1889" s="29" t="n">
        <v>5400</v>
      </c>
      <c r="N1889" s="29" t="n">
        <v>2400</v>
      </c>
      <c r="O1889" s="29"/>
      <c r="P1889" s="30" t="n">
        <f aca="false">(M1889*N1889/1000000)*INDEX(AreaRate_Vals,MATCH(C1889,AreaRate_Keys,0))+INDEX(Hardware_Vals,MATCH("Garage Doors",Hardware_Keys,0))</f>
        <v>22334</v>
      </c>
      <c r="Q1889" s="31" t="n">
        <f aca="false">INDEX(Markup_Vals,MATCH("Roofing Glazing &amp; Garage Doors",MarkupCat_Keys,0))</f>
        <v>0.38</v>
      </c>
      <c r="R1889" s="32" t="n">
        <f aca="false">P1889*(1+Q1889)</f>
        <v>30820.92</v>
      </c>
      <c r="S1889" s="32" t="n">
        <f aca="false">R1889*(1-TradeDiscount)</f>
        <v>27122.4096</v>
      </c>
      <c r="T1889" s="32" t="n">
        <f aca="false">R1889*(1-VolumeDiscount)</f>
        <v>24656.736</v>
      </c>
    </row>
    <row r="1890" customFormat="false" ht="15" hidden="false" customHeight="false" outlineLevel="0" collapsed="false">
      <c r="A1890" s="25" t="s">
        <v>4133</v>
      </c>
      <c r="B1890" s="25" t="s">
        <v>123</v>
      </c>
      <c r="C1890" s="25" t="s">
        <v>60</v>
      </c>
      <c r="D1890" s="25" t="s">
        <v>4134</v>
      </c>
      <c r="E1890" s="25" t="s">
        <v>4074</v>
      </c>
      <c r="F1890" s="25" t="s">
        <v>4130</v>
      </c>
      <c r="G1890" s="25" t="s">
        <v>37</v>
      </c>
      <c r="H1890" s="25" t="s">
        <v>3148</v>
      </c>
      <c r="I1890" s="25" t="s">
        <v>190</v>
      </c>
      <c r="J1890" s="25" t="s">
        <v>1654</v>
      </c>
      <c r="K1890" s="25" t="s">
        <v>298</v>
      </c>
      <c r="L1890" s="25" t="s">
        <v>30</v>
      </c>
      <c r="M1890" s="25" t="n">
        <v>5400</v>
      </c>
      <c r="N1890" s="25" t="n">
        <v>2400</v>
      </c>
      <c r="O1890" s="25"/>
      <c r="P1890" s="26" t="n">
        <f aca="false">(M1890*N1890/1000000)*INDEX(AreaRate_Vals,MATCH(C1890,AreaRate_Keys,0))+INDEX(Hardware_Vals,MATCH("Garage Doors",Hardware_Keys,0))</f>
        <v>22334</v>
      </c>
      <c r="Q1890" s="27" t="n">
        <f aca="false">INDEX(Markup_Vals,MATCH("Roofing Glazing &amp; Garage Doors",MarkupCat_Keys,0))</f>
        <v>0.38</v>
      </c>
      <c r="R1890" s="28" t="n">
        <f aca="false">P1890*(1+Q1890)</f>
        <v>30820.92</v>
      </c>
      <c r="S1890" s="28" t="n">
        <f aca="false">R1890*(1-TradeDiscount)</f>
        <v>27122.4096</v>
      </c>
      <c r="T1890" s="28" t="n">
        <f aca="false">R1890*(1-VolumeDiscount)</f>
        <v>24656.736</v>
      </c>
    </row>
    <row r="1891" customFormat="false" ht="15" hidden="false" customHeight="false" outlineLevel="0" collapsed="false">
      <c r="A1891" s="29" t="s">
        <v>4135</v>
      </c>
      <c r="B1891" s="29" t="s">
        <v>123</v>
      </c>
      <c r="C1891" s="29" t="s">
        <v>60</v>
      </c>
      <c r="D1891" s="29" t="s">
        <v>4136</v>
      </c>
      <c r="E1891" s="29" t="s">
        <v>4074</v>
      </c>
      <c r="F1891" s="29" t="s">
        <v>4130</v>
      </c>
      <c r="G1891" s="29" t="s">
        <v>39</v>
      </c>
      <c r="H1891" s="29" t="s">
        <v>3148</v>
      </c>
      <c r="I1891" s="29" t="s">
        <v>190</v>
      </c>
      <c r="J1891" s="29" t="s">
        <v>1654</v>
      </c>
      <c r="K1891" s="29" t="s">
        <v>298</v>
      </c>
      <c r="L1891" s="29" t="s">
        <v>30</v>
      </c>
      <c r="M1891" s="29" t="n">
        <v>5400</v>
      </c>
      <c r="N1891" s="29" t="n">
        <v>2400</v>
      </c>
      <c r="O1891" s="29"/>
      <c r="P1891" s="30" t="n">
        <f aca="false">(M1891*N1891/1000000)*INDEX(AreaRate_Vals,MATCH(C1891,AreaRate_Keys,0))+INDEX(Hardware_Vals,MATCH("Garage Doors",Hardware_Keys,0))</f>
        <v>22334</v>
      </c>
      <c r="Q1891" s="31" t="n">
        <f aca="false">INDEX(Markup_Vals,MATCH("Roofing Glazing &amp; Garage Doors",MarkupCat_Keys,0))</f>
        <v>0.38</v>
      </c>
      <c r="R1891" s="32" t="n">
        <f aca="false">P1891*(1+Q1891)</f>
        <v>30820.92</v>
      </c>
      <c r="S1891" s="32" t="n">
        <f aca="false">R1891*(1-TradeDiscount)</f>
        <v>27122.4096</v>
      </c>
      <c r="T1891" s="32" t="n">
        <f aca="false">R1891*(1-VolumeDiscount)</f>
        <v>24656.736</v>
      </c>
    </row>
    <row r="1892" customFormat="false" ht="15" hidden="false" customHeight="false" outlineLevel="0" collapsed="false">
      <c r="A1892" s="25" t="s">
        <v>4137</v>
      </c>
      <c r="B1892" s="25" t="s">
        <v>123</v>
      </c>
      <c r="C1892" s="25" t="s">
        <v>60</v>
      </c>
      <c r="D1892" s="25" t="s">
        <v>4138</v>
      </c>
      <c r="E1892" s="25" t="s">
        <v>4074</v>
      </c>
      <c r="F1892" s="25" t="s">
        <v>4130</v>
      </c>
      <c r="G1892" s="25" t="s">
        <v>38</v>
      </c>
      <c r="H1892" s="25" t="s">
        <v>3148</v>
      </c>
      <c r="I1892" s="25" t="s">
        <v>190</v>
      </c>
      <c r="J1892" s="25" t="s">
        <v>1654</v>
      </c>
      <c r="K1892" s="25" t="s">
        <v>298</v>
      </c>
      <c r="L1892" s="25" t="s">
        <v>30</v>
      </c>
      <c r="M1892" s="25" t="n">
        <v>5400</v>
      </c>
      <c r="N1892" s="25" t="n">
        <v>2400</v>
      </c>
      <c r="O1892" s="25"/>
      <c r="P1892" s="26" t="n">
        <f aca="false">(M1892*N1892/1000000)*INDEX(AreaRate_Vals,MATCH(C1892,AreaRate_Keys,0))+INDEX(Hardware_Vals,MATCH("Garage Doors",Hardware_Keys,0))</f>
        <v>22334</v>
      </c>
      <c r="Q1892" s="27" t="n">
        <f aca="false">INDEX(Markup_Vals,MATCH("Roofing Glazing &amp; Garage Doors",MarkupCat_Keys,0))</f>
        <v>0.38</v>
      </c>
      <c r="R1892" s="28" t="n">
        <f aca="false">P1892*(1+Q1892)</f>
        <v>30820.92</v>
      </c>
      <c r="S1892" s="28" t="n">
        <f aca="false">R1892*(1-TradeDiscount)</f>
        <v>27122.4096</v>
      </c>
      <c r="T1892" s="28" t="n">
        <f aca="false">R1892*(1-VolumeDiscount)</f>
        <v>24656.736</v>
      </c>
    </row>
    <row r="1893" customFormat="false" ht="15" hidden="false" customHeight="false" outlineLevel="0" collapsed="false">
      <c r="A1893" s="29" t="s">
        <v>4139</v>
      </c>
      <c r="B1893" s="29" t="s">
        <v>123</v>
      </c>
      <c r="C1893" s="29" t="s">
        <v>60</v>
      </c>
      <c r="D1893" s="29" t="s">
        <v>4140</v>
      </c>
      <c r="E1893" s="29" t="s">
        <v>4141</v>
      </c>
      <c r="F1893" s="29" t="s">
        <v>4075</v>
      </c>
      <c r="G1893" s="29" t="s">
        <v>35</v>
      </c>
      <c r="H1893" s="29" t="s">
        <v>3148</v>
      </c>
      <c r="I1893" s="29" t="s">
        <v>190</v>
      </c>
      <c r="J1893" s="29" t="s">
        <v>1654</v>
      </c>
      <c r="K1893" s="29" t="s">
        <v>192</v>
      </c>
      <c r="L1893" s="29" t="s">
        <v>30</v>
      </c>
      <c r="M1893" s="29" t="n">
        <v>2400</v>
      </c>
      <c r="N1893" s="29" t="n">
        <v>2100</v>
      </c>
      <c r="O1893" s="29"/>
      <c r="P1893" s="30" t="n">
        <f aca="false">(M1893*N1893/1000000)*INDEX(AreaRate_Vals,MATCH(C1893,AreaRate_Keys,0))+INDEX(Hardware_Vals,MATCH("Garage Doors",Hardware_Keys,0))</f>
        <v>9266</v>
      </c>
      <c r="Q1893" s="31" t="n">
        <f aca="false">INDEX(Markup_Vals,MATCH("Roofing Glazing &amp; Garage Doors",MarkupCat_Keys,0))</f>
        <v>0.38</v>
      </c>
      <c r="R1893" s="32" t="n">
        <f aca="false">P1893*(1+Q1893)</f>
        <v>12787.08</v>
      </c>
      <c r="S1893" s="32" t="n">
        <f aca="false">R1893*(1-TradeDiscount)</f>
        <v>11252.6304</v>
      </c>
      <c r="T1893" s="32" t="n">
        <f aca="false">R1893*(1-VolumeDiscount)</f>
        <v>10229.664</v>
      </c>
    </row>
    <row r="1894" customFormat="false" ht="15" hidden="false" customHeight="false" outlineLevel="0" collapsed="false">
      <c r="A1894" s="25" t="s">
        <v>4142</v>
      </c>
      <c r="B1894" s="25" t="s">
        <v>123</v>
      </c>
      <c r="C1894" s="25" t="s">
        <v>60</v>
      </c>
      <c r="D1894" s="25" t="s">
        <v>4143</v>
      </c>
      <c r="E1894" s="25" t="s">
        <v>4141</v>
      </c>
      <c r="F1894" s="25" t="s">
        <v>4075</v>
      </c>
      <c r="G1894" s="25" t="s">
        <v>36</v>
      </c>
      <c r="H1894" s="25" t="s">
        <v>3148</v>
      </c>
      <c r="I1894" s="25" t="s">
        <v>190</v>
      </c>
      <c r="J1894" s="25" t="s">
        <v>1654</v>
      </c>
      <c r="K1894" s="25" t="s">
        <v>192</v>
      </c>
      <c r="L1894" s="25" t="s">
        <v>30</v>
      </c>
      <c r="M1894" s="25" t="n">
        <v>2400</v>
      </c>
      <c r="N1894" s="25" t="n">
        <v>2100</v>
      </c>
      <c r="O1894" s="25"/>
      <c r="P1894" s="26" t="n">
        <f aca="false">(M1894*N1894/1000000)*INDEX(AreaRate_Vals,MATCH(C1894,AreaRate_Keys,0))+INDEX(Hardware_Vals,MATCH("Garage Doors",Hardware_Keys,0))</f>
        <v>9266</v>
      </c>
      <c r="Q1894" s="27" t="n">
        <f aca="false">INDEX(Markup_Vals,MATCH("Roofing Glazing &amp; Garage Doors",MarkupCat_Keys,0))</f>
        <v>0.38</v>
      </c>
      <c r="R1894" s="28" t="n">
        <f aca="false">P1894*(1+Q1894)</f>
        <v>12787.08</v>
      </c>
      <c r="S1894" s="28" t="n">
        <f aca="false">R1894*(1-TradeDiscount)</f>
        <v>11252.6304</v>
      </c>
      <c r="T1894" s="28" t="n">
        <f aca="false">R1894*(1-VolumeDiscount)</f>
        <v>10229.664</v>
      </c>
    </row>
    <row r="1895" customFormat="false" ht="15" hidden="false" customHeight="false" outlineLevel="0" collapsed="false">
      <c r="A1895" s="29" t="s">
        <v>4144</v>
      </c>
      <c r="B1895" s="29" t="s">
        <v>123</v>
      </c>
      <c r="C1895" s="29" t="s">
        <v>60</v>
      </c>
      <c r="D1895" s="29" t="s">
        <v>4145</v>
      </c>
      <c r="E1895" s="29" t="s">
        <v>4141</v>
      </c>
      <c r="F1895" s="29" t="s">
        <v>4075</v>
      </c>
      <c r="G1895" s="29" t="s">
        <v>37</v>
      </c>
      <c r="H1895" s="29" t="s">
        <v>3148</v>
      </c>
      <c r="I1895" s="29" t="s">
        <v>190</v>
      </c>
      <c r="J1895" s="29" t="s">
        <v>1654</v>
      </c>
      <c r="K1895" s="29" t="s">
        <v>192</v>
      </c>
      <c r="L1895" s="29" t="s">
        <v>30</v>
      </c>
      <c r="M1895" s="29" t="n">
        <v>2400</v>
      </c>
      <c r="N1895" s="29" t="n">
        <v>2100</v>
      </c>
      <c r="O1895" s="29"/>
      <c r="P1895" s="30" t="n">
        <f aca="false">(M1895*N1895/1000000)*INDEX(AreaRate_Vals,MATCH(C1895,AreaRate_Keys,0))+INDEX(Hardware_Vals,MATCH("Garage Doors",Hardware_Keys,0))</f>
        <v>9266</v>
      </c>
      <c r="Q1895" s="31" t="n">
        <f aca="false">INDEX(Markup_Vals,MATCH("Roofing Glazing &amp; Garage Doors",MarkupCat_Keys,0))</f>
        <v>0.38</v>
      </c>
      <c r="R1895" s="32" t="n">
        <f aca="false">P1895*(1+Q1895)</f>
        <v>12787.08</v>
      </c>
      <c r="S1895" s="32" t="n">
        <f aca="false">R1895*(1-TradeDiscount)</f>
        <v>11252.6304</v>
      </c>
      <c r="T1895" s="32" t="n">
        <f aca="false">R1895*(1-VolumeDiscount)</f>
        <v>10229.664</v>
      </c>
    </row>
    <row r="1896" customFormat="false" ht="15" hidden="false" customHeight="false" outlineLevel="0" collapsed="false">
      <c r="A1896" s="25" t="s">
        <v>4146</v>
      </c>
      <c r="B1896" s="25" t="s">
        <v>123</v>
      </c>
      <c r="C1896" s="25" t="s">
        <v>60</v>
      </c>
      <c r="D1896" s="25" t="s">
        <v>4147</v>
      </c>
      <c r="E1896" s="25" t="s">
        <v>4141</v>
      </c>
      <c r="F1896" s="25" t="s">
        <v>4075</v>
      </c>
      <c r="G1896" s="25" t="s">
        <v>39</v>
      </c>
      <c r="H1896" s="25" t="s">
        <v>3148</v>
      </c>
      <c r="I1896" s="25" t="s">
        <v>190</v>
      </c>
      <c r="J1896" s="25" t="s">
        <v>1654</v>
      </c>
      <c r="K1896" s="25" t="s">
        <v>192</v>
      </c>
      <c r="L1896" s="25" t="s">
        <v>30</v>
      </c>
      <c r="M1896" s="25" t="n">
        <v>2400</v>
      </c>
      <c r="N1896" s="25" t="n">
        <v>2100</v>
      </c>
      <c r="O1896" s="25"/>
      <c r="P1896" s="26" t="n">
        <f aca="false">(M1896*N1896/1000000)*INDEX(AreaRate_Vals,MATCH(C1896,AreaRate_Keys,0))+INDEX(Hardware_Vals,MATCH("Garage Doors",Hardware_Keys,0))</f>
        <v>9266</v>
      </c>
      <c r="Q1896" s="27" t="n">
        <f aca="false">INDEX(Markup_Vals,MATCH("Roofing Glazing &amp; Garage Doors",MarkupCat_Keys,0))</f>
        <v>0.38</v>
      </c>
      <c r="R1896" s="28" t="n">
        <f aca="false">P1896*(1+Q1896)</f>
        <v>12787.08</v>
      </c>
      <c r="S1896" s="28" t="n">
        <f aca="false">R1896*(1-TradeDiscount)</f>
        <v>11252.6304</v>
      </c>
      <c r="T1896" s="28" t="n">
        <f aca="false">R1896*(1-VolumeDiscount)</f>
        <v>10229.664</v>
      </c>
    </row>
    <row r="1897" customFormat="false" ht="15" hidden="false" customHeight="false" outlineLevel="0" collapsed="false">
      <c r="A1897" s="29" t="s">
        <v>4148</v>
      </c>
      <c r="B1897" s="29" t="s">
        <v>123</v>
      </c>
      <c r="C1897" s="29" t="s">
        <v>60</v>
      </c>
      <c r="D1897" s="29" t="s">
        <v>4149</v>
      </c>
      <c r="E1897" s="29" t="s">
        <v>4141</v>
      </c>
      <c r="F1897" s="29" t="s">
        <v>4075</v>
      </c>
      <c r="G1897" s="29" t="s">
        <v>38</v>
      </c>
      <c r="H1897" s="29" t="s">
        <v>3148</v>
      </c>
      <c r="I1897" s="29" t="s">
        <v>190</v>
      </c>
      <c r="J1897" s="29" t="s">
        <v>1654</v>
      </c>
      <c r="K1897" s="29" t="s">
        <v>192</v>
      </c>
      <c r="L1897" s="29" t="s">
        <v>30</v>
      </c>
      <c r="M1897" s="29" t="n">
        <v>2400</v>
      </c>
      <c r="N1897" s="29" t="n">
        <v>2100</v>
      </c>
      <c r="O1897" s="29"/>
      <c r="P1897" s="30" t="n">
        <f aca="false">(M1897*N1897/1000000)*INDEX(AreaRate_Vals,MATCH(C1897,AreaRate_Keys,0))+INDEX(Hardware_Vals,MATCH("Garage Doors",Hardware_Keys,0))</f>
        <v>9266</v>
      </c>
      <c r="Q1897" s="31" t="n">
        <f aca="false">INDEX(Markup_Vals,MATCH("Roofing Glazing &amp; Garage Doors",MarkupCat_Keys,0))</f>
        <v>0.38</v>
      </c>
      <c r="R1897" s="32" t="n">
        <f aca="false">P1897*(1+Q1897)</f>
        <v>12787.08</v>
      </c>
      <c r="S1897" s="32" t="n">
        <f aca="false">R1897*(1-TradeDiscount)</f>
        <v>11252.6304</v>
      </c>
      <c r="T1897" s="32" t="n">
        <f aca="false">R1897*(1-VolumeDiscount)</f>
        <v>10229.664</v>
      </c>
    </row>
    <row r="1898" customFormat="false" ht="15" hidden="false" customHeight="false" outlineLevel="0" collapsed="false">
      <c r="A1898" s="25" t="s">
        <v>4150</v>
      </c>
      <c r="B1898" s="25" t="s">
        <v>123</v>
      </c>
      <c r="C1898" s="25" t="s">
        <v>60</v>
      </c>
      <c r="D1898" s="25" t="s">
        <v>4151</v>
      </c>
      <c r="E1898" s="25" t="s">
        <v>4141</v>
      </c>
      <c r="F1898" s="25" t="s">
        <v>4086</v>
      </c>
      <c r="G1898" s="25" t="s">
        <v>35</v>
      </c>
      <c r="H1898" s="25" t="s">
        <v>3148</v>
      </c>
      <c r="I1898" s="25" t="s">
        <v>190</v>
      </c>
      <c r="J1898" s="25" t="s">
        <v>1654</v>
      </c>
      <c r="K1898" s="25" t="s">
        <v>192</v>
      </c>
      <c r="L1898" s="25" t="s">
        <v>30</v>
      </c>
      <c r="M1898" s="25" t="n">
        <v>2700</v>
      </c>
      <c r="N1898" s="25" t="n">
        <v>2100</v>
      </c>
      <c r="O1898" s="25"/>
      <c r="P1898" s="26" t="n">
        <f aca="false">(M1898*N1898/1000000)*INDEX(AreaRate_Vals,MATCH(C1898,AreaRate_Keys,0))+INDEX(Hardware_Vals,MATCH("Garage Doors",Hardware_Keys,0))</f>
        <v>10305.5</v>
      </c>
      <c r="Q1898" s="27" t="n">
        <f aca="false">INDEX(Markup_Vals,MATCH("Roofing Glazing &amp; Garage Doors",MarkupCat_Keys,0))</f>
        <v>0.38</v>
      </c>
      <c r="R1898" s="28" t="n">
        <f aca="false">P1898*(1+Q1898)</f>
        <v>14221.59</v>
      </c>
      <c r="S1898" s="28" t="n">
        <f aca="false">R1898*(1-TradeDiscount)</f>
        <v>12514.9992</v>
      </c>
      <c r="T1898" s="28" t="n">
        <f aca="false">R1898*(1-VolumeDiscount)</f>
        <v>11377.272</v>
      </c>
    </row>
    <row r="1899" customFormat="false" ht="15" hidden="false" customHeight="false" outlineLevel="0" collapsed="false">
      <c r="A1899" s="29" t="s">
        <v>4152</v>
      </c>
      <c r="B1899" s="29" t="s">
        <v>123</v>
      </c>
      <c r="C1899" s="29" t="s">
        <v>60</v>
      </c>
      <c r="D1899" s="29" t="s">
        <v>4153</v>
      </c>
      <c r="E1899" s="29" t="s">
        <v>4141</v>
      </c>
      <c r="F1899" s="29" t="s">
        <v>4086</v>
      </c>
      <c r="G1899" s="29" t="s">
        <v>36</v>
      </c>
      <c r="H1899" s="29" t="s">
        <v>3148</v>
      </c>
      <c r="I1899" s="29" t="s">
        <v>190</v>
      </c>
      <c r="J1899" s="29" t="s">
        <v>1654</v>
      </c>
      <c r="K1899" s="29" t="s">
        <v>192</v>
      </c>
      <c r="L1899" s="29" t="s">
        <v>30</v>
      </c>
      <c r="M1899" s="29" t="n">
        <v>2700</v>
      </c>
      <c r="N1899" s="29" t="n">
        <v>2100</v>
      </c>
      <c r="O1899" s="29"/>
      <c r="P1899" s="30" t="n">
        <f aca="false">(M1899*N1899/1000000)*INDEX(AreaRate_Vals,MATCH(C1899,AreaRate_Keys,0))+INDEX(Hardware_Vals,MATCH("Garage Doors",Hardware_Keys,0))</f>
        <v>10305.5</v>
      </c>
      <c r="Q1899" s="31" t="n">
        <f aca="false">INDEX(Markup_Vals,MATCH("Roofing Glazing &amp; Garage Doors",MarkupCat_Keys,0))</f>
        <v>0.38</v>
      </c>
      <c r="R1899" s="32" t="n">
        <f aca="false">P1899*(1+Q1899)</f>
        <v>14221.59</v>
      </c>
      <c r="S1899" s="32" t="n">
        <f aca="false">R1899*(1-TradeDiscount)</f>
        <v>12514.9992</v>
      </c>
      <c r="T1899" s="32" t="n">
        <f aca="false">R1899*(1-VolumeDiscount)</f>
        <v>11377.272</v>
      </c>
    </row>
    <row r="1900" customFormat="false" ht="15" hidden="false" customHeight="false" outlineLevel="0" collapsed="false">
      <c r="A1900" s="25" t="s">
        <v>4154</v>
      </c>
      <c r="B1900" s="25" t="s">
        <v>123</v>
      </c>
      <c r="C1900" s="25" t="s">
        <v>60</v>
      </c>
      <c r="D1900" s="25" t="s">
        <v>4155</v>
      </c>
      <c r="E1900" s="25" t="s">
        <v>4141</v>
      </c>
      <c r="F1900" s="25" t="s">
        <v>4086</v>
      </c>
      <c r="G1900" s="25" t="s">
        <v>37</v>
      </c>
      <c r="H1900" s="25" t="s">
        <v>3148</v>
      </c>
      <c r="I1900" s="25" t="s">
        <v>190</v>
      </c>
      <c r="J1900" s="25" t="s">
        <v>1654</v>
      </c>
      <c r="K1900" s="25" t="s">
        <v>192</v>
      </c>
      <c r="L1900" s="25" t="s">
        <v>30</v>
      </c>
      <c r="M1900" s="25" t="n">
        <v>2700</v>
      </c>
      <c r="N1900" s="25" t="n">
        <v>2100</v>
      </c>
      <c r="O1900" s="25"/>
      <c r="P1900" s="26" t="n">
        <f aca="false">(M1900*N1900/1000000)*INDEX(AreaRate_Vals,MATCH(C1900,AreaRate_Keys,0))+INDEX(Hardware_Vals,MATCH("Garage Doors",Hardware_Keys,0))</f>
        <v>10305.5</v>
      </c>
      <c r="Q1900" s="27" t="n">
        <f aca="false">INDEX(Markup_Vals,MATCH("Roofing Glazing &amp; Garage Doors",MarkupCat_Keys,0))</f>
        <v>0.38</v>
      </c>
      <c r="R1900" s="28" t="n">
        <f aca="false">P1900*(1+Q1900)</f>
        <v>14221.59</v>
      </c>
      <c r="S1900" s="28" t="n">
        <f aca="false">R1900*(1-TradeDiscount)</f>
        <v>12514.9992</v>
      </c>
      <c r="T1900" s="28" t="n">
        <f aca="false">R1900*(1-VolumeDiscount)</f>
        <v>11377.272</v>
      </c>
    </row>
    <row r="1901" customFormat="false" ht="15" hidden="false" customHeight="false" outlineLevel="0" collapsed="false">
      <c r="A1901" s="29" t="s">
        <v>4156</v>
      </c>
      <c r="B1901" s="29" t="s">
        <v>123</v>
      </c>
      <c r="C1901" s="29" t="s">
        <v>60</v>
      </c>
      <c r="D1901" s="29" t="s">
        <v>4157</v>
      </c>
      <c r="E1901" s="29" t="s">
        <v>4141</v>
      </c>
      <c r="F1901" s="29" t="s">
        <v>4086</v>
      </c>
      <c r="G1901" s="29" t="s">
        <v>39</v>
      </c>
      <c r="H1901" s="29" t="s">
        <v>3148</v>
      </c>
      <c r="I1901" s="29" t="s">
        <v>190</v>
      </c>
      <c r="J1901" s="29" t="s">
        <v>1654</v>
      </c>
      <c r="K1901" s="29" t="s">
        <v>192</v>
      </c>
      <c r="L1901" s="29" t="s">
        <v>30</v>
      </c>
      <c r="M1901" s="29" t="n">
        <v>2700</v>
      </c>
      <c r="N1901" s="29" t="n">
        <v>2100</v>
      </c>
      <c r="O1901" s="29"/>
      <c r="P1901" s="30" t="n">
        <f aca="false">(M1901*N1901/1000000)*INDEX(AreaRate_Vals,MATCH(C1901,AreaRate_Keys,0))+INDEX(Hardware_Vals,MATCH("Garage Doors",Hardware_Keys,0))</f>
        <v>10305.5</v>
      </c>
      <c r="Q1901" s="31" t="n">
        <f aca="false">INDEX(Markup_Vals,MATCH("Roofing Glazing &amp; Garage Doors",MarkupCat_Keys,0))</f>
        <v>0.38</v>
      </c>
      <c r="R1901" s="32" t="n">
        <f aca="false">P1901*(1+Q1901)</f>
        <v>14221.59</v>
      </c>
      <c r="S1901" s="32" t="n">
        <f aca="false">R1901*(1-TradeDiscount)</f>
        <v>12514.9992</v>
      </c>
      <c r="T1901" s="32" t="n">
        <f aca="false">R1901*(1-VolumeDiscount)</f>
        <v>11377.272</v>
      </c>
    </row>
    <row r="1902" customFormat="false" ht="15" hidden="false" customHeight="false" outlineLevel="0" collapsed="false">
      <c r="A1902" s="25" t="s">
        <v>4158</v>
      </c>
      <c r="B1902" s="25" t="s">
        <v>123</v>
      </c>
      <c r="C1902" s="25" t="s">
        <v>60</v>
      </c>
      <c r="D1902" s="25" t="s">
        <v>4159</v>
      </c>
      <c r="E1902" s="25" t="s">
        <v>4141</v>
      </c>
      <c r="F1902" s="25" t="s">
        <v>4086</v>
      </c>
      <c r="G1902" s="25" t="s">
        <v>38</v>
      </c>
      <c r="H1902" s="25" t="s">
        <v>3148</v>
      </c>
      <c r="I1902" s="25" t="s">
        <v>190</v>
      </c>
      <c r="J1902" s="25" t="s">
        <v>1654</v>
      </c>
      <c r="K1902" s="25" t="s">
        <v>192</v>
      </c>
      <c r="L1902" s="25" t="s">
        <v>30</v>
      </c>
      <c r="M1902" s="25" t="n">
        <v>2700</v>
      </c>
      <c r="N1902" s="25" t="n">
        <v>2100</v>
      </c>
      <c r="O1902" s="25"/>
      <c r="P1902" s="26" t="n">
        <f aca="false">(M1902*N1902/1000000)*INDEX(AreaRate_Vals,MATCH(C1902,AreaRate_Keys,0))+INDEX(Hardware_Vals,MATCH("Garage Doors",Hardware_Keys,0))</f>
        <v>10305.5</v>
      </c>
      <c r="Q1902" s="27" t="n">
        <f aca="false">INDEX(Markup_Vals,MATCH("Roofing Glazing &amp; Garage Doors",MarkupCat_Keys,0))</f>
        <v>0.38</v>
      </c>
      <c r="R1902" s="28" t="n">
        <f aca="false">P1902*(1+Q1902)</f>
        <v>14221.59</v>
      </c>
      <c r="S1902" s="28" t="n">
        <f aca="false">R1902*(1-TradeDiscount)</f>
        <v>12514.9992</v>
      </c>
      <c r="T1902" s="28" t="n">
        <f aca="false">R1902*(1-VolumeDiscount)</f>
        <v>11377.272</v>
      </c>
    </row>
    <row r="1903" customFormat="false" ht="15" hidden="false" customHeight="false" outlineLevel="0" collapsed="false">
      <c r="A1903" s="29" t="s">
        <v>4160</v>
      </c>
      <c r="B1903" s="29" t="s">
        <v>123</v>
      </c>
      <c r="C1903" s="29" t="s">
        <v>60</v>
      </c>
      <c r="D1903" s="29" t="s">
        <v>4161</v>
      </c>
      <c r="E1903" s="29" t="s">
        <v>4141</v>
      </c>
      <c r="F1903" s="29" t="s">
        <v>4097</v>
      </c>
      <c r="G1903" s="29" t="s">
        <v>35</v>
      </c>
      <c r="H1903" s="29" t="s">
        <v>3148</v>
      </c>
      <c r="I1903" s="29" t="s">
        <v>190</v>
      </c>
      <c r="J1903" s="29" t="s">
        <v>1654</v>
      </c>
      <c r="K1903" s="29" t="s">
        <v>298</v>
      </c>
      <c r="L1903" s="29" t="s">
        <v>30</v>
      </c>
      <c r="M1903" s="29" t="n">
        <v>3000</v>
      </c>
      <c r="N1903" s="29" t="n">
        <v>2100</v>
      </c>
      <c r="O1903" s="29"/>
      <c r="P1903" s="30" t="n">
        <f aca="false">(M1903*N1903/1000000)*INDEX(AreaRate_Vals,MATCH(C1903,AreaRate_Keys,0))+INDEX(Hardware_Vals,MATCH("Garage Doors",Hardware_Keys,0))</f>
        <v>11345</v>
      </c>
      <c r="Q1903" s="31" t="n">
        <f aca="false">INDEX(Markup_Vals,MATCH("Roofing Glazing &amp; Garage Doors",MarkupCat_Keys,0))</f>
        <v>0.38</v>
      </c>
      <c r="R1903" s="32" t="n">
        <f aca="false">P1903*(1+Q1903)</f>
        <v>15656.1</v>
      </c>
      <c r="S1903" s="32" t="n">
        <f aca="false">R1903*(1-TradeDiscount)</f>
        <v>13777.368</v>
      </c>
      <c r="T1903" s="32" t="n">
        <f aca="false">R1903*(1-VolumeDiscount)</f>
        <v>12524.88</v>
      </c>
    </row>
    <row r="1904" customFormat="false" ht="15" hidden="false" customHeight="false" outlineLevel="0" collapsed="false">
      <c r="A1904" s="25" t="s">
        <v>4162</v>
      </c>
      <c r="B1904" s="25" t="s">
        <v>123</v>
      </c>
      <c r="C1904" s="25" t="s">
        <v>60</v>
      </c>
      <c r="D1904" s="25" t="s">
        <v>4163</v>
      </c>
      <c r="E1904" s="25" t="s">
        <v>4141</v>
      </c>
      <c r="F1904" s="25" t="s">
        <v>4097</v>
      </c>
      <c r="G1904" s="25" t="s">
        <v>36</v>
      </c>
      <c r="H1904" s="25" t="s">
        <v>3148</v>
      </c>
      <c r="I1904" s="25" t="s">
        <v>190</v>
      </c>
      <c r="J1904" s="25" t="s">
        <v>1654</v>
      </c>
      <c r="K1904" s="25" t="s">
        <v>298</v>
      </c>
      <c r="L1904" s="25" t="s">
        <v>30</v>
      </c>
      <c r="M1904" s="25" t="n">
        <v>3000</v>
      </c>
      <c r="N1904" s="25" t="n">
        <v>2100</v>
      </c>
      <c r="O1904" s="25"/>
      <c r="P1904" s="26" t="n">
        <f aca="false">(M1904*N1904/1000000)*INDEX(AreaRate_Vals,MATCH(C1904,AreaRate_Keys,0))+INDEX(Hardware_Vals,MATCH("Garage Doors",Hardware_Keys,0))</f>
        <v>11345</v>
      </c>
      <c r="Q1904" s="27" t="n">
        <f aca="false">INDEX(Markup_Vals,MATCH("Roofing Glazing &amp; Garage Doors",MarkupCat_Keys,0))</f>
        <v>0.38</v>
      </c>
      <c r="R1904" s="28" t="n">
        <f aca="false">P1904*(1+Q1904)</f>
        <v>15656.1</v>
      </c>
      <c r="S1904" s="28" t="n">
        <f aca="false">R1904*(1-TradeDiscount)</f>
        <v>13777.368</v>
      </c>
      <c r="T1904" s="28" t="n">
        <f aca="false">R1904*(1-VolumeDiscount)</f>
        <v>12524.88</v>
      </c>
    </row>
    <row r="1905" customFormat="false" ht="15" hidden="false" customHeight="false" outlineLevel="0" collapsed="false">
      <c r="A1905" s="29" t="s">
        <v>4164</v>
      </c>
      <c r="B1905" s="29" t="s">
        <v>123</v>
      </c>
      <c r="C1905" s="29" t="s">
        <v>60</v>
      </c>
      <c r="D1905" s="29" t="s">
        <v>4165</v>
      </c>
      <c r="E1905" s="29" t="s">
        <v>4141</v>
      </c>
      <c r="F1905" s="29" t="s">
        <v>4097</v>
      </c>
      <c r="G1905" s="29" t="s">
        <v>37</v>
      </c>
      <c r="H1905" s="29" t="s">
        <v>3148</v>
      </c>
      <c r="I1905" s="29" t="s">
        <v>190</v>
      </c>
      <c r="J1905" s="29" t="s">
        <v>1654</v>
      </c>
      <c r="K1905" s="29" t="s">
        <v>298</v>
      </c>
      <c r="L1905" s="29" t="s">
        <v>30</v>
      </c>
      <c r="M1905" s="29" t="n">
        <v>3000</v>
      </c>
      <c r="N1905" s="29" t="n">
        <v>2100</v>
      </c>
      <c r="O1905" s="29"/>
      <c r="P1905" s="30" t="n">
        <f aca="false">(M1905*N1905/1000000)*INDEX(AreaRate_Vals,MATCH(C1905,AreaRate_Keys,0))+INDEX(Hardware_Vals,MATCH("Garage Doors",Hardware_Keys,0))</f>
        <v>11345</v>
      </c>
      <c r="Q1905" s="31" t="n">
        <f aca="false">INDEX(Markup_Vals,MATCH("Roofing Glazing &amp; Garage Doors",MarkupCat_Keys,0))</f>
        <v>0.38</v>
      </c>
      <c r="R1905" s="32" t="n">
        <f aca="false">P1905*(1+Q1905)</f>
        <v>15656.1</v>
      </c>
      <c r="S1905" s="32" t="n">
        <f aca="false">R1905*(1-TradeDiscount)</f>
        <v>13777.368</v>
      </c>
      <c r="T1905" s="32" t="n">
        <f aca="false">R1905*(1-VolumeDiscount)</f>
        <v>12524.88</v>
      </c>
    </row>
    <row r="1906" customFormat="false" ht="15" hidden="false" customHeight="false" outlineLevel="0" collapsed="false">
      <c r="A1906" s="25" t="s">
        <v>4166</v>
      </c>
      <c r="B1906" s="25" t="s">
        <v>123</v>
      </c>
      <c r="C1906" s="25" t="s">
        <v>60</v>
      </c>
      <c r="D1906" s="25" t="s">
        <v>4167</v>
      </c>
      <c r="E1906" s="25" t="s">
        <v>4141</v>
      </c>
      <c r="F1906" s="25" t="s">
        <v>4097</v>
      </c>
      <c r="G1906" s="25" t="s">
        <v>39</v>
      </c>
      <c r="H1906" s="25" t="s">
        <v>3148</v>
      </c>
      <c r="I1906" s="25" t="s">
        <v>190</v>
      </c>
      <c r="J1906" s="25" t="s">
        <v>1654</v>
      </c>
      <c r="K1906" s="25" t="s">
        <v>298</v>
      </c>
      <c r="L1906" s="25" t="s">
        <v>30</v>
      </c>
      <c r="M1906" s="25" t="n">
        <v>3000</v>
      </c>
      <c r="N1906" s="25" t="n">
        <v>2100</v>
      </c>
      <c r="O1906" s="25"/>
      <c r="P1906" s="26" t="n">
        <f aca="false">(M1906*N1906/1000000)*INDEX(AreaRate_Vals,MATCH(C1906,AreaRate_Keys,0))+INDEX(Hardware_Vals,MATCH("Garage Doors",Hardware_Keys,0))</f>
        <v>11345</v>
      </c>
      <c r="Q1906" s="27" t="n">
        <f aca="false">INDEX(Markup_Vals,MATCH("Roofing Glazing &amp; Garage Doors",MarkupCat_Keys,0))</f>
        <v>0.38</v>
      </c>
      <c r="R1906" s="28" t="n">
        <f aca="false">P1906*(1+Q1906)</f>
        <v>15656.1</v>
      </c>
      <c r="S1906" s="28" t="n">
        <f aca="false">R1906*(1-TradeDiscount)</f>
        <v>13777.368</v>
      </c>
      <c r="T1906" s="28" t="n">
        <f aca="false">R1906*(1-VolumeDiscount)</f>
        <v>12524.88</v>
      </c>
    </row>
    <row r="1907" customFormat="false" ht="15" hidden="false" customHeight="false" outlineLevel="0" collapsed="false">
      <c r="A1907" s="29" t="s">
        <v>4168</v>
      </c>
      <c r="B1907" s="29" t="s">
        <v>123</v>
      </c>
      <c r="C1907" s="29" t="s">
        <v>60</v>
      </c>
      <c r="D1907" s="29" t="s">
        <v>4169</v>
      </c>
      <c r="E1907" s="29" t="s">
        <v>4141</v>
      </c>
      <c r="F1907" s="29" t="s">
        <v>4097</v>
      </c>
      <c r="G1907" s="29" t="s">
        <v>38</v>
      </c>
      <c r="H1907" s="29" t="s">
        <v>3148</v>
      </c>
      <c r="I1907" s="29" t="s">
        <v>190</v>
      </c>
      <c r="J1907" s="29" t="s">
        <v>1654</v>
      </c>
      <c r="K1907" s="29" t="s">
        <v>298</v>
      </c>
      <c r="L1907" s="29" t="s">
        <v>30</v>
      </c>
      <c r="M1907" s="29" t="n">
        <v>3000</v>
      </c>
      <c r="N1907" s="29" t="n">
        <v>2100</v>
      </c>
      <c r="O1907" s="29"/>
      <c r="P1907" s="30" t="n">
        <f aca="false">(M1907*N1907/1000000)*INDEX(AreaRate_Vals,MATCH(C1907,AreaRate_Keys,0))+INDEX(Hardware_Vals,MATCH("Garage Doors",Hardware_Keys,0))</f>
        <v>11345</v>
      </c>
      <c r="Q1907" s="31" t="n">
        <f aca="false">INDEX(Markup_Vals,MATCH("Roofing Glazing &amp; Garage Doors",MarkupCat_Keys,0))</f>
        <v>0.38</v>
      </c>
      <c r="R1907" s="32" t="n">
        <f aca="false">P1907*(1+Q1907)</f>
        <v>15656.1</v>
      </c>
      <c r="S1907" s="32" t="n">
        <f aca="false">R1907*(1-TradeDiscount)</f>
        <v>13777.368</v>
      </c>
      <c r="T1907" s="32" t="n">
        <f aca="false">R1907*(1-VolumeDiscount)</f>
        <v>12524.88</v>
      </c>
    </row>
    <row r="1908" customFormat="false" ht="15" hidden="false" customHeight="false" outlineLevel="0" collapsed="false">
      <c r="A1908" s="25" t="s">
        <v>4170</v>
      </c>
      <c r="B1908" s="25" t="s">
        <v>123</v>
      </c>
      <c r="C1908" s="25" t="s">
        <v>60</v>
      </c>
      <c r="D1908" s="25" t="s">
        <v>4171</v>
      </c>
      <c r="E1908" s="25" t="s">
        <v>4141</v>
      </c>
      <c r="F1908" s="25" t="s">
        <v>4108</v>
      </c>
      <c r="G1908" s="25" t="s">
        <v>35</v>
      </c>
      <c r="H1908" s="25" t="s">
        <v>3148</v>
      </c>
      <c r="I1908" s="25" t="s">
        <v>190</v>
      </c>
      <c r="J1908" s="25" t="s">
        <v>1654</v>
      </c>
      <c r="K1908" s="25" t="s">
        <v>298</v>
      </c>
      <c r="L1908" s="25" t="s">
        <v>30</v>
      </c>
      <c r="M1908" s="25" t="n">
        <v>4800</v>
      </c>
      <c r="N1908" s="25" t="n">
        <v>2100</v>
      </c>
      <c r="O1908" s="25"/>
      <c r="P1908" s="26" t="n">
        <f aca="false">(M1908*N1908/1000000)*INDEX(AreaRate_Vals,MATCH(C1908,AreaRate_Keys,0))+INDEX(Hardware_Vals,MATCH("Garage Doors",Hardware_Keys,0))</f>
        <v>17582</v>
      </c>
      <c r="Q1908" s="27" t="n">
        <f aca="false">INDEX(Markup_Vals,MATCH("Roofing Glazing &amp; Garage Doors",MarkupCat_Keys,0))</f>
        <v>0.38</v>
      </c>
      <c r="R1908" s="28" t="n">
        <f aca="false">P1908*(1+Q1908)</f>
        <v>24263.16</v>
      </c>
      <c r="S1908" s="28" t="n">
        <f aca="false">R1908*(1-TradeDiscount)</f>
        <v>21351.5808</v>
      </c>
      <c r="T1908" s="28" t="n">
        <f aca="false">R1908*(1-VolumeDiscount)</f>
        <v>19410.528</v>
      </c>
    </row>
    <row r="1909" customFormat="false" ht="15" hidden="false" customHeight="false" outlineLevel="0" collapsed="false">
      <c r="A1909" s="29" t="s">
        <v>4172</v>
      </c>
      <c r="B1909" s="29" t="s">
        <v>123</v>
      </c>
      <c r="C1909" s="29" t="s">
        <v>60</v>
      </c>
      <c r="D1909" s="29" t="s">
        <v>4173</v>
      </c>
      <c r="E1909" s="29" t="s">
        <v>4141</v>
      </c>
      <c r="F1909" s="29" t="s">
        <v>4108</v>
      </c>
      <c r="G1909" s="29" t="s">
        <v>36</v>
      </c>
      <c r="H1909" s="29" t="s">
        <v>3148</v>
      </c>
      <c r="I1909" s="29" t="s">
        <v>190</v>
      </c>
      <c r="J1909" s="29" t="s">
        <v>1654</v>
      </c>
      <c r="K1909" s="29" t="s">
        <v>298</v>
      </c>
      <c r="L1909" s="29" t="s">
        <v>30</v>
      </c>
      <c r="M1909" s="29" t="n">
        <v>4800</v>
      </c>
      <c r="N1909" s="29" t="n">
        <v>2100</v>
      </c>
      <c r="O1909" s="29"/>
      <c r="P1909" s="30" t="n">
        <f aca="false">(M1909*N1909/1000000)*INDEX(AreaRate_Vals,MATCH(C1909,AreaRate_Keys,0))+INDEX(Hardware_Vals,MATCH("Garage Doors",Hardware_Keys,0))</f>
        <v>17582</v>
      </c>
      <c r="Q1909" s="31" t="n">
        <f aca="false">INDEX(Markup_Vals,MATCH("Roofing Glazing &amp; Garage Doors",MarkupCat_Keys,0))</f>
        <v>0.38</v>
      </c>
      <c r="R1909" s="32" t="n">
        <f aca="false">P1909*(1+Q1909)</f>
        <v>24263.16</v>
      </c>
      <c r="S1909" s="32" t="n">
        <f aca="false">R1909*(1-TradeDiscount)</f>
        <v>21351.5808</v>
      </c>
      <c r="T1909" s="32" t="n">
        <f aca="false">R1909*(1-VolumeDiscount)</f>
        <v>19410.528</v>
      </c>
    </row>
    <row r="1910" customFormat="false" ht="15" hidden="false" customHeight="false" outlineLevel="0" collapsed="false">
      <c r="A1910" s="25" t="s">
        <v>4174</v>
      </c>
      <c r="B1910" s="25" t="s">
        <v>123</v>
      </c>
      <c r="C1910" s="25" t="s">
        <v>60</v>
      </c>
      <c r="D1910" s="25" t="s">
        <v>4175</v>
      </c>
      <c r="E1910" s="25" t="s">
        <v>4141</v>
      </c>
      <c r="F1910" s="25" t="s">
        <v>4108</v>
      </c>
      <c r="G1910" s="25" t="s">
        <v>37</v>
      </c>
      <c r="H1910" s="25" t="s">
        <v>3148</v>
      </c>
      <c r="I1910" s="25" t="s">
        <v>190</v>
      </c>
      <c r="J1910" s="25" t="s">
        <v>1654</v>
      </c>
      <c r="K1910" s="25" t="s">
        <v>298</v>
      </c>
      <c r="L1910" s="25" t="s">
        <v>30</v>
      </c>
      <c r="M1910" s="25" t="n">
        <v>4800</v>
      </c>
      <c r="N1910" s="25" t="n">
        <v>2100</v>
      </c>
      <c r="O1910" s="25"/>
      <c r="P1910" s="26" t="n">
        <f aca="false">(M1910*N1910/1000000)*INDEX(AreaRate_Vals,MATCH(C1910,AreaRate_Keys,0))+INDEX(Hardware_Vals,MATCH("Garage Doors",Hardware_Keys,0))</f>
        <v>17582</v>
      </c>
      <c r="Q1910" s="27" t="n">
        <f aca="false">INDEX(Markup_Vals,MATCH("Roofing Glazing &amp; Garage Doors",MarkupCat_Keys,0))</f>
        <v>0.38</v>
      </c>
      <c r="R1910" s="28" t="n">
        <f aca="false">P1910*(1+Q1910)</f>
        <v>24263.16</v>
      </c>
      <c r="S1910" s="28" t="n">
        <f aca="false">R1910*(1-TradeDiscount)</f>
        <v>21351.5808</v>
      </c>
      <c r="T1910" s="28" t="n">
        <f aca="false">R1910*(1-VolumeDiscount)</f>
        <v>19410.528</v>
      </c>
    </row>
    <row r="1911" customFormat="false" ht="15" hidden="false" customHeight="false" outlineLevel="0" collapsed="false">
      <c r="A1911" s="29" t="s">
        <v>4176</v>
      </c>
      <c r="B1911" s="29" t="s">
        <v>123</v>
      </c>
      <c r="C1911" s="29" t="s">
        <v>60</v>
      </c>
      <c r="D1911" s="29" t="s">
        <v>4177</v>
      </c>
      <c r="E1911" s="29" t="s">
        <v>4141</v>
      </c>
      <c r="F1911" s="29" t="s">
        <v>4108</v>
      </c>
      <c r="G1911" s="29" t="s">
        <v>39</v>
      </c>
      <c r="H1911" s="29" t="s">
        <v>3148</v>
      </c>
      <c r="I1911" s="29" t="s">
        <v>190</v>
      </c>
      <c r="J1911" s="29" t="s">
        <v>1654</v>
      </c>
      <c r="K1911" s="29" t="s">
        <v>298</v>
      </c>
      <c r="L1911" s="29" t="s">
        <v>30</v>
      </c>
      <c r="M1911" s="29" t="n">
        <v>4800</v>
      </c>
      <c r="N1911" s="29" t="n">
        <v>2100</v>
      </c>
      <c r="O1911" s="29"/>
      <c r="P1911" s="30" t="n">
        <f aca="false">(M1911*N1911/1000000)*INDEX(AreaRate_Vals,MATCH(C1911,AreaRate_Keys,0))+INDEX(Hardware_Vals,MATCH("Garage Doors",Hardware_Keys,0))</f>
        <v>17582</v>
      </c>
      <c r="Q1911" s="31" t="n">
        <f aca="false">INDEX(Markup_Vals,MATCH("Roofing Glazing &amp; Garage Doors",MarkupCat_Keys,0))</f>
        <v>0.38</v>
      </c>
      <c r="R1911" s="32" t="n">
        <f aca="false">P1911*(1+Q1911)</f>
        <v>24263.16</v>
      </c>
      <c r="S1911" s="32" t="n">
        <f aca="false">R1911*(1-TradeDiscount)</f>
        <v>21351.5808</v>
      </c>
      <c r="T1911" s="32" t="n">
        <f aca="false">R1911*(1-VolumeDiscount)</f>
        <v>19410.528</v>
      </c>
    </row>
    <row r="1912" customFormat="false" ht="15" hidden="false" customHeight="false" outlineLevel="0" collapsed="false">
      <c r="A1912" s="25" t="s">
        <v>4178</v>
      </c>
      <c r="B1912" s="25" t="s">
        <v>123</v>
      </c>
      <c r="C1912" s="25" t="s">
        <v>60</v>
      </c>
      <c r="D1912" s="25" t="s">
        <v>4179</v>
      </c>
      <c r="E1912" s="25" t="s">
        <v>4141</v>
      </c>
      <c r="F1912" s="25" t="s">
        <v>4108</v>
      </c>
      <c r="G1912" s="25" t="s">
        <v>38</v>
      </c>
      <c r="H1912" s="25" t="s">
        <v>3148</v>
      </c>
      <c r="I1912" s="25" t="s">
        <v>190</v>
      </c>
      <c r="J1912" s="25" t="s">
        <v>1654</v>
      </c>
      <c r="K1912" s="25" t="s">
        <v>298</v>
      </c>
      <c r="L1912" s="25" t="s">
        <v>30</v>
      </c>
      <c r="M1912" s="25" t="n">
        <v>4800</v>
      </c>
      <c r="N1912" s="25" t="n">
        <v>2100</v>
      </c>
      <c r="O1912" s="25"/>
      <c r="P1912" s="26" t="n">
        <f aca="false">(M1912*N1912/1000000)*INDEX(AreaRate_Vals,MATCH(C1912,AreaRate_Keys,0))+INDEX(Hardware_Vals,MATCH("Garage Doors",Hardware_Keys,0))</f>
        <v>17582</v>
      </c>
      <c r="Q1912" s="27" t="n">
        <f aca="false">INDEX(Markup_Vals,MATCH("Roofing Glazing &amp; Garage Doors",MarkupCat_Keys,0))</f>
        <v>0.38</v>
      </c>
      <c r="R1912" s="28" t="n">
        <f aca="false">P1912*(1+Q1912)</f>
        <v>24263.16</v>
      </c>
      <c r="S1912" s="28" t="n">
        <f aca="false">R1912*(1-TradeDiscount)</f>
        <v>21351.5808</v>
      </c>
      <c r="T1912" s="28" t="n">
        <f aca="false">R1912*(1-VolumeDiscount)</f>
        <v>19410.528</v>
      </c>
    </row>
    <row r="1913" customFormat="false" ht="15" hidden="false" customHeight="false" outlineLevel="0" collapsed="false">
      <c r="A1913" s="29" t="s">
        <v>4180</v>
      </c>
      <c r="B1913" s="29" t="s">
        <v>123</v>
      </c>
      <c r="C1913" s="29" t="s">
        <v>60</v>
      </c>
      <c r="D1913" s="29" t="s">
        <v>4181</v>
      </c>
      <c r="E1913" s="29" t="s">
        <v>4141</v>
      </c>
      <c r="F1913" s="29" t="s">
        <v>4119</v>
      </c>
      <c r="G1913" s="29" t="s">
        <v>35</v>
      </c>
      <c r="H1913" s="29" t="s">
        <v>3148</v>
      </c>
      <c r="I1913" s="29" t="s">
        <v>190</v>
      </c>
      <c r="J1913" s="29" t="s">
        <v>1654</v>
      </c>
      <c r="K1913" s="29" t="s">
        <v>298</v>
      </c>
      <c r="L1913" s="29" t="s">
        <v>30</v>
      </c>
      <c r="M1913" s="29" t="n">
        <v>5400</v>
      </c>
      <c r="N1913" s="29" t="n">
        <v>2100</v>
      </c>
      <c r="O1913" s="29"/>
      <c r="P1913" s="30" t="n">
        <f aca="false">(M1913*N1913/1000000)*INDEX(AreaRate_Vals,MATCH(C1913,AreaRate_Keys,0))+INDEX(Hardware_Vals,MATCH("Garage Doors",Hardware_Keys,0))</f>
        <v>19661</v>
      </c>
      <c r="Q1913" s="31" t="n">
        <f aca="false">INDEX(Markup_Vals,MATCH("Roofing Glazing &amp; Garage Doors",MarkupCat_Keys,0))</f>
        <v>0.38</v>
      </c>
      <c r="R1913" s="32" t="n">
        <f aca="false">P1913*(1+Q1913)</f>
        <v>27132.18</v>
      </c>
      <c r="S1913" s="32" t="n">
        <f aca="false">R1913*(1-TradeDiscount)</f>
        <v>23876.3184</v>
      </c>
      <c r="T1913" s="32" t="n">
        <f aca="false">R1913*(1-VolumeDiscount)</f>
        <v>21705.744</v>
      </c>
    </row>
    <row r="1914" customFormat="false" ht="15" hidden="false" customHeight="false" outlineLevel="0" collapsed="false">
      <c r="A1914" s="25" t="s">
        <v>4182</v>
      </c>
      <c r="B1914" s="25" t="s">
        <v>123</v>
      </c>
      <c r="C1914" s="25" t="s">
        <v>60</v>
      </c>
      <c r="D1914" s="25" t="s">
        <v>4183</v>
      </c>
      <c r="E1914" s="25" t="s">
        <v>4141</v>
      </c>
      <c r="F1914" s="25" t="s">
        <v>4119</v>
      </c>
      <c r="G1914" s="25" t="s">
        <v>36</v>
      </c>
      <c r="H1914" s="25" t="s">
        <v>3148</v>
      </c>
      <c r="I1914" s="25" t="s">
        <v>190</v>
      </c>
      <c r="J1914" s="25" t="s">
        <v>1654</v>
      </c>
      <c r="K1914" s="25" t="s">
        <v>298</v>
      </c>
      <c r="L1914" s="25" t="s">
        <v>30</v>
      </c>
      <c r="M1914" s="25" t="n">
        <v>5400</v>
      </c>
      <c r="N1914" s="25" t="n">
        <v>2100</v>
      </c>
      <c r="O1914" s="25"/>
      <c r="P1914" s="26" t="n">
        <f aca="false">(M1914*N1914/1000000)*INDEX(AreaRate_Vals,MATCH(C1914,AreaRate_Keys,0))+INDEX(Hardware_Vals,MATCH("Garage Doors",Hardware_Keys,0))</f>
        <v>19661</v>
      </c>
      <c r="Q1914" s="27" t="n">
        <f aca="false">INDEX(Markup_Vals,MATCH("Roofing Glazing &amp; Garage Doors",MarkupCat_Keys,0))</f>
        <v>0.38</v>
      </c>
      <c r="R1914" s="28" t="n">
        <f aca="false">P1914*(1+Q1914)</f>
        <v>27132.18</v>
      </c>
      <c r="S1914" s="28" t="n">
        <f aca="false">R1914*(1-TradeDiscount)</f>
        <v>23876.3184</v>
      </c>
      <c r="T1914" s="28" t="n">
        <f aca="false">R1914*(1-VolumeDiscount)</f>
        <v>21705.744</v>
      </c>
    </row>
    <row r="1915" customFormat="false" ht="15" hidden="false" customHeight="false" outlineLevel="0" collapsed="false">
      <c r="A1915" s="29" t="s">
        <v>4184</v>
      </c>
      <c r="B1915" s="29" t="s">
        <v>123</v>
      </c>
      <c r="C1915" s="29" t="s">
        <v>60</v>
      </c>
      <c r="D1915" s="29" t="s">
        <v>4185</v>
      </c>
      <c r="E1915" s="29" t="s">
        <v>4141</v>
      </c>
      <c r="F1915" s="29" t="s">
        <v>4119</v>
      </c>
      <c r="G1915" s="29" t="s">
        <v>37</v>
      </c>
      <c r="H1915" s="29" t="s">
        <v>3148</v>
      </c>
      <c r="I1915" s="29" t="s">
        <v>190</v>
      </c>
      <c r="J1915" s="29" t="s">
        <v>1654</v>
      </c>
      <c r="K1915" s="29" t="s">
        <v>298</v>
      </c>
      <c r="L1915" s="29" t="s">
        <v>30</v>
      </c>
      <c r="M1915" s="29" t="n">
        <v>5400</v>
      </c>
      <c r="N1915" s="29" t="n">
        <v>2100</v>
      </c>
      <c r="O1915" s="29"/>
      <c r="P1915" s="30" t="n">
        <f aca="false">(M1915*N1915/1000000)*INDEX(AreaRate_Vals,MATCH(C1915,AreaRate_Keys,0))+INDEX(Hardware_Vals,MATCH("Garage Doors",Hardware_Keys,0))</f>
        <v>19661</v>
      </c>
      <c r="Q1915" s="31" t="n">
        <f aca="false">INDEX(Markup_Vals,MATCH("Roofing Glazing &amp; Garage Doors",MarkupCat_Keys,0))</f>
        <v>0.38</v>
      </c>
      <c r="R1915" s="32" t="n">
        <f aca="false">P1915*(1+Q1915)</f>
        <v>27132.18</v>
      </c>
      <c r="S1915" s="32" t="n">
        <f aca="false">R1915*(1-TradeDiscount)</f>
        <v>23876.3184</v>
      </c>
      <c r="T1915" s="32" t="n">
        <f aca="false">R1915*(1-VolumeDiscount)</f>
        <v>21705.744</v>
      </c>
    </row>
    <row r="1916" customFormat="false" ht="15" hidden="false" customHeight="false" outlineLevel="0" collapsed="false">
      <c r="A1916" s="25" t="s">
        <v>4186</v>
      </c>
      <c r="B1916" s="25" t="s">
        <v>123</v>
      </c>
      <c r="C1916" s="25" t="s">
        <v>60</v>
      </c>
      <c r="D1916" s="25" t="s">
        <v>4187</v>
      </c>
      <c r="E1916" s="25" t="s">
        <v>4141</v>
      </c>
      <c r="F1916" s="25" t="s">
        <v>4119</v>
      </c>
      <c r="G1916" s="25" t="s">
        <v>39</v>
      </c>
      <c r="H1916" s="25" t="s">
        <v>3148</v>
      </c>
      <c r="I1916" s="25" t="s">
        <v>190</v>
      </c>
      <c r="J1916" s="25" t="s">
        <v>1654</v>
      </c>
      <c r="K1916" s="25" t="s">
        <v>298</v>
      </c>
      <c r="L1916" s="25" t="s">
        <v>30</v>
      </c>
      <c r="M1916" s="25" t="n">
        <v>5400</v>
      </c>
      <c r="N1916" s="25" t="n">
        <v>2100</v>
      </c>
      <c r="O1916" s="25"/>
      <c r="P1916" s="26" t="n">
        <f aca="false">(M1916*N1916/1000000)*INDEX(AreaRate_Vals,MATCH(C1916,AreaRate_Keys,0))+INDEX(Hardware_Vals,MATCH("Garage Doors",Hardware_Keys,0))</f>
        <v>19661</v>
      </c>
      <c r="Q1916" s="27" t="n">
        <f aca="false">INDEX(Markup_Vals,MATCH("Roofing Glazing &amp; Garage Doors",MarkupCat_Keys,0))</f>
        <v>0.38</v>
      </c>
      <c r="R1916" s="28" t="n">
        <f aca="false">P1916*(1+Q1916)</f>
        <v>27132.18</v>
      </c>
      <c r="S1916" s="28" t="n">
        <f aca="false">R1916*(1-TradeDiscount)</f>
        <v>23876.3184</v>
      </c>
      <c r="T1916" s="28" t="n">
        <f aca="false">R1916*(1-VolumeDiscount)</f>
        <v>21705.744</v>
      </c>
    </row>
    <row r="1917" customFormat="false" ht="15" hidden="false" customHeight="false" outlineLevel="0" collapsed="false">
      <c r="A1917" s="29" t="s">
        <v>4188</v>
      </c>
      <c r="B1917" s="29" t="s">
        <v>123</v>
      </c>
      <c r="C1917" s="29" t="s">
        <v>60</v>
      </c>
      <c r="D1917" s="29" t="s">
        <v>4189</v>
      </c>
      <c r="E1917" s="29" t="s">
        <v>4141</v>
      </c>
      <c r="F1917" s="29" t="s">
        <v>4119</v>
      </c>
      <c r="G1917" s="29" t="s">
        <v>38</v>
      </c>
      <c r="H1917" s="29" t="s">
        <v>3148</v>
      </c>
      <c r="I1917" s="29" t="s">
        <v>190</v>
      </c>
      <c r="J1917" s="29" t="s">
        <v>1654</v>
      </c>
      <c r="K1917" s="29" t="s">
        <v>298</v>
      </c>
      <c r="L1917" s="29" t="s">
        <v>30</v>
      </c>
      <c r="M1917" s="29" t="n">
        <v>5400</v>
      </c>
      <c r="N1917" s="29" t="n">
        <v>2100</v>
      </c>
      <c r="O1917" s="29"/>
      <c r="P1917" s="30" t="n">
        <f aca="false">(M1917*N1917/1000000)*INDEX(AreaRate_Vals,MATCH(C1917,AreaRate_Keys,0))+INDEX(Hardware_Vals,MATCH("Garage Doors",Hardware_Keys,0))</f>
        <v>19661</v>
      </c>
      <c r="Q1917" s="31" t="n">
        <f aca="false">INDEX(Markup_Vals,MATCH("Roofing Glazing &amp; Garage Doors",MarkupCat_Keys,0))</f>
        <v>0.38</v>
      </c>
      <c r="R1917" s="32" t="n">
        <f aca="false">P1917*(1+Q1917)</f>
        <v>27132.18</v>
      </c>
      <c r="S1917" s="32" t="n">
        <f aca="false">R1917*(1-TradeDiscount)</f>
        <v>23876.3184</v>
      </c>
      <c r="T1917" s="32" t="n">
        <f aca="false">R1917*(1-VolumeDiscount)</f>
        <v>21705.744</v>
      </c>
    </row>
    <row r="1918" customFormat="false" ht="15" hidden="false" customHeight="false" outlineLevel="0" collapsed="false">
      <c r="A1918" s="25" t="s">
        <v>4190</v>
      </c>
      <c r="B1918" s="25" t="s">
        <v>123</v>
      </c>
      <c r="C1918" s="25" t="s">
        <v>60</v>
      </c>
      <c r="D1918" s="25" t="s">
        <v>4191</v>
      </c>
      <c r="E1918" s="25" t="s">
        <v>4141</v>
      </c>
      <c r="F1918" s="25" t="s">
        <v>4130</v>
      </c>
      <c r="G1918" s="25" t="s">
        <v>35</v>
      </c>
      <c r="H1918" s="25" t="s">
        <v>3148</v>
      </c>
      <c r="I1918" s="25" t="s">
        <v>190</v>
      </c>
      <c r="J1918" s="25" t="s">
        <v>1654</v>
      </c>
      <c r="K1918" s="25" t="s">
        <v>298</v>
      </c>
      <c r="L1918" s="25" t="s">
        <v>30</v>
      </c>
      <c r="M1918" s="25" t="n">
        <v>5400</v>
      </c>
      <c r="N1918" s="25" t="n">
        <v>2400</v>
      </c>
      <c r="O1918" s="25"/>
      <c r="P1918" s="26" t="n">
        <f aca="false">(M1918*N1918/1000000)*INDEX(AreaRate_Vals,MATCH(C1918,AreaRate_Keys,0))+INDEX(Hardware_Vals,MATCH("Garage Doors",Hardware_Keys,0))</f>
        <v>22334</v>
      </c>
      <c r="Q1918" s="27" t="n">
        <f aca="false">INDEX(Markup_Vals,MATCH("Roofing Glazing &amp; Garage Doors",MarkupCat_Keys,0))</f>
        <v>0.38</v>
      </c>
      <c r="R1918" s="28" t="n">
        <f aca="false">P1918*(1+Q1918)</f>
        <v>30820.92</v>
      </c>
      <c r="S1918" s="28" t="n">
        <f aca="false">R1918*(1-TradeDiscount)</f>
        <v>27122.4096</v>
      </c>
      <c r="T1918" s="28" t="n">
        <f aca="false">R1918*(1-VolumeDiscount)</f>
        <v>24656.736</v>
      </c>
    </row>
    <row r="1919" customFormat="false" ht="15" hidden="false" customHeight="false" outlineLevel="0" collapsed="false">
      <c r="A1919" s="29" t="s">
        <v>4192</v>
      </c>
      <c r="B1919" s="29" t="s">
        <v>123</v>
      </c>
      <c r="C1919" s="29" t="s">
        <v>60</v>
      </c>
      <c r="D1919" s="29" t="s">
        <v>4193</v>
      </c>
      <c r="E1919" s="29" t="s">
        <v>4141</v>
      </c>
      <c r="F1919" s="29" t="s">
        <v>4130</v>
      </c>
      <c r="G1919" s="29" t="s">
        <v>36</v>
      </c>
      <c r="H1919" s="29" t="s">
        <v>3148</v>
      </c>
      <c r="I1919" s="29" t="s">
        <v>190</v>
      </c>
      <c r="J1919" s="29" t="s">
        <v>1654</v>
      </c>
      <c r="K1919" s="29" t="s">
        <v>298</v>
      </c>
      <c r="L1919" s="29" t="s">
        <v>30</v>
      </c>
      <c r="M1919" s="29" t="n">
        <v>5400</v>
      </c>
      <c r="N1919" s="29" t="n">
        <v>2400</v>
      </c>
      <c r="O1919" s="29"/>
      <c r="P1919" s="30" t="n">
        <f aca="false">(M1919*N1919/1000000)*INDEX(AreaRate_Vals,MATCH(C1919,AreaRate_Keys,0))+INDEX(Hardware_Vals,MATCH("Garage Doors",Hardware_Keys,0))</f>
        <v>22334</v>
      </c>
      <c r="Q1919" s="31" t="n">
        <f aca="false">INDEX(Markup_Vals,MATCH("Roofing Glazing &amp; Garage Doors",MarkupCat_Keys,0))</f>
        <v>0.38</v>
      </c>
      <c r="R1919" s="32" t="n">
        <f aca="false">P1919*(1+Q1919)</f>
        <v>30820.92</v>
      </c>
      <c r="S1919" s="32" t="n">
        <f aca="false">R1919*(1-TradeDiscount)</f>
        <v>27122.4096</v>
      </c>
      <c r="T1919" s="32" t="n">
        <f aca="false">R1919*(1-VolumeDiscount)</f>
        <v>24656.736</v>
      </c>
    </row>
    <row r="1920" customFormat="false" ht="15" hidden="false" customHeight="false" outlineLevel="0" collapsed="false">
      <c r="A1920" s="25" t="s">
        <v>4194</v>
      </c>
      <c r="B1920" s="25" t="s">
        <v>123</v>
      </c>
      <c r="C1920" s="25" t="s">
        <v>60</v>
      </c>
      <c r="D1920" s="25" t="s">
        <v>4195</v>
      </c>
      <c r="E1920" s="25" t="s">
        <v>4141</v>
      </c>
      <c r="F1920" s="25" t="s">
        <v>4130</v>
      </c>
      <c r="G1920" s="25" t="s">
        <v>37</v>
      </c>
      <c r="H1920" s="25" t="s">
        <v>3148</v>
      </c>
      <c r="I1920" s="25" t="s">
        <v>190</v>
      </c>
      <c r="J1920" s="25" t="s">
        <v>1654</v>
      </c>
      <c r="K1920" s="25" t="s">
        <v>298</v>
      </c>
      <c r="L1920" s="25" t="s">
        <v>30</v>
      </c>
      <c r="M1920" s="25" t="n">
        <v>5400</v>
      </c>
      <c r="N1920" s="25" t="n">
        <v>2400</v>
      </c>
      <c r="O1920" s="25"/>
      <c r="P1920" s="26" t="n">
        <f aca="false">(M1920*N1920/1000000)*INDEX(AreaRate_Vals,MATCH(C1920,AreaRate_Keys,0))+INDEX(Hardware_Vals,MATCH("Garage Doors",Hardware_Keys,0))</f>
        <v>22334</v>
      </c>
      <c r="Q1920" s="27" t="n">
        <f aca="false">INDEX(Markup_Vals,MATCH("Roofing Glazing &amp; Garage Doors",MarkupCat_Keys,0))</f>
        <v>0.38</v>
      </c>
      <c r="R1920" s="28" t="n">
        <f aca="false">P1920*(1+Q1920)</f>
        <v>30820.92</v>
      </c>
      <c r="S1920" s="28" t="n">
        <f aca="false">R1920*(1-TradeDiscount)</f>
        <v>27122.4096</v>
      </c>
      <c r="T1920" s="28" t="n">
        <f aca="false">R1920*(1-VolumeDiscount)</f>
        <v>24656.736</v>
      </c>
    </row>
    <row r="1921" customFormat="false" ht="15" hidden="false" customHeight="false" outlineLevel="0" collapsed="false">
      <c r="A1921" s="29" t="s">
        <v>4196</v>
      </c>
      <c r="B1921" s="29" t="s">
        <v>123</v>
      </c>
      <c r="C1921" s="29" t="s">
        <v>60</v>
      </c>
      <c r="D1921" s="29" t="s">
        <v>4197</v>
      </c>
      <c r="E1921" s="29" t="s">
        <v>4141</v>
      </c>
      <c r="F1921" s="29" t="s">
        <v>4130</v>
      </c>
      <c r="G1921" s="29" t="s">
        <v>39</v>
      </c>
      <c r="H1921" s="29" t="s">
        <v>3148</v>
      </c>
      <c r="I1921" s="29" t="s">
        <v>190</v>
      </c>
      <c r="J1921" s="29" t="s">
        <v>1654</v>
      </c>
      <c r="K1921" s="29" t="s">
        <v>298</v>
      </c>
      <c r="L1921" s="29" t="s">
        <v>30</v>
      </c>
      <c r="M1921" s="29" t="n">
        <v>5400</v>
      </c>
      <c r="N1921" s="29" t="n">
        <v>2400</v>
      </c>
      <c r="O1921" s="29"/>
      <c r="P1921" s="30" t="n">
        <f aca="false">(M1921*N1921/1000000)*INDEX(AreaRate_Vals,MATCH(C1921,AreaRate_Keys,0))+INDEX(Hardware_Vals,MATCH("Garage Doors",Hardware_Keys,0))</f>
        <v>22334</v>
      </c>
      <c r="Q1921" s="31" t="n">
        <f aca="false">INDEX(Markup_Vals,MATCH("Roofing Glazing &amp; Garage Doors",MarkupCat_Keys,0))</f>
        <v>0.38</v>
      </c>
      <c r="R1921" s="32" t="n">
        <f aca="false">P1921*(1+Q1921)</f>
        <v>30820.92</v>
      </c>
      <c r="S1921" s="32" t="n">
        <f aca="false">R1921*(1-TradeDiscount)</f>
        <v>27122.4096</v>
      </c>
      <c r="T1921" s="32" t="n">
        <f aca="false">R1921*(1-VolumeDiscount)</f>
        <v>24656.736</v>
      </c>
    </row>
    <row r="1922" customFormat="false" ht="15" hidden="false" customHeight="false" outlineLevel="0" collapsed="false">
      <c r="A1922" s="25" t="s">
        <v>4198</v>
      </c>
      <c r="B1922" s="25" t="s">
        <v>123</v>
      </c>
      <c r="C1922" s="25" t="s">
        <v>60</v>
      </c>
      <c r="D1922" s="25" t="s">
        <v>4199</v>
      </c>
      <c r="E1922" s="25" t="s">
        <v>4141</v>
      </c>
      <c r="F1922" s="25" t="s">
        <v>4130</v>
      </c>
      <c r="G1922" s="25" t="s">
        <v>38</v>
      </c>
      <c r="H1922" s="25" t="s">
        <v>3148</v>
      </c>
      <c r="I1922" s="25" t="s">
        <v>190</v>
      </c>
      <c r="J1922" s="25" t="s">
        <v>1654</v>
      </c>
      <c r="K1922" s="25" t="s">
        <v>298</v>
      </c>
      <c r="L1922" s="25" t="s">
        <v>30</v>
      </c>
      <c r="M1922" s="25" t="n">
        <v>5400</v>
      </c>
      <c r="N1922" s="25" t="n">
        <v>2400</v>
      </c>
      <c r="O1922" s="25"/>
      <c r="P1922" s="26" t="n">
        <f aca="false">(M1922*N1922/1000000)*INDEX(AreaRate_Vals,MATCH(C1922,AreaRate_Keys,0))+INDEX(Hardware_Vals,MATCH("Garage Doors",Hardware_Keys,0))</f>
        <v>22334</v>
      </c>
      <c r="Q1922" s="27" t="n">
        <f aca="false">INDEX(Markup_Vals,MATCH("Roofing Glazing &amp; Garage Doors",MarkupCat_Keys,0))</f>
        <v>0.38</v>
      </c>
      <c r="R1922" s="28" t="n">
        <f aca="false">P1922*(1+Q1922)</f>
        <v>30820.92</v>
      </c>
      <c r="S1922" s="28" t="n">
        <f aca="false">R1922*(1-TradeDiscount)</f>
        <v>27122.4096</v>
      </c>
      <c r="T1922" s="28" t="n">
        <f aca="false">R1922*(1-VolumeDiscount)</f>
        <v>24656.736</v>
      </c>
    </row>
    <row r="1923" customFormat="false" ht="15" hidden="false" customHeight="false" outlineLevel="0" collapsed="false">
      <c r="A1923" s="29" t="s">
        <v>4200</v>
      </c>
      <c r="B1923" s="29" t="s">
        <v>123</v>
      </c>
      <c r="C1923" s="29" t="s">
        <v>4201</v>
      </c>
      <c r="D1923" s="29" t="s">
        <v>4202</v>
      </c>
      <c r="E1923" s="29" t="s">
        <v>4203</v>
      </c>
      <c r="F1923" s="29" t="s">
        <v>4204</v>
      </c>
      <c r="G1923" s="29" t="s">
        <v>35</v>
      </c>
      <c r="H1923" s="29" t="s">
        <v>3148</v>
      </c>
      <c r="I1923" s="29" t="s">
        <v>3001</v>
      </c>
      <c r="J1923" s="29" t="s">
        <v>4205</v>
      </c>
      <c r="K1923" s="29" t="s">
        <v>192</v>
      </c>
      <c r="L1923" s="29"/>
      <c r="M1923" s="29"/>
      <c r="N1923" s="29"/>
      <c r="O1923" s="29"/>
      <c r="P1923" s="34" t="n">
        <v>120</v>
      </c>
      <c r="Q1923" s="31" t="n">
        <f aca="false">INDEX(Markup_Vals,MATCH("Roofing Glazing &amp; Garage Doors",MarkupCat_Keys,0))</f>
        <v>0.38</v>
      </c>
      <c r="R1923" s="32" t="n">
        <f aca="false">P1923*(1+Q1923)</f>
        <v>165.6</v>
      </c>
      <c r="S1923" s="32" t="n">
        <f aca="false">R1923*(1-TradeDiscount)</f>
        <v>145.728</v>
      </c>
      <c r="T1923" s="32" t="n">
        <f aca="false">R1923*(1-VolumeDiscount)</f>
        <v>132.48</v>
      </c>
    </row>
    <row r="1924" customFormat="false" ht="15" hidden="false" customHeight="false" outlineLevel="0" collapsed="false">
      <c r="A1924" s="25" t="s">
        <v>4206</v>
      </c>
      <c r="B1924" s="25" t="s">
        <v>123</v>
      </c>
      <c r="C1924" s="25" t="s">
        <v>4201</v>
      </c>
      <c r="D1924" s="25" t="s">
        <v>4207</v>
      </c>
      <c r="E1924" s="25" t="s">
        <v>4203</v>
      </c>
      <c r="F1924" s="25" t="s">
        <v>4204</v>
      </c>
      <c r="G1924" s="25" t="s">
        <v>36</v>
      </c>
      <c r="H1924" s="25" t="s">
        <v>3148</v>
      </c>
      <c r="I1924" s="25" t="s">
        <v>3001</v>
      </c>
      <c r="J1924" s="25" t="s">
        <v>4205</v>
      </c>
      <c r="K1924" s="25" t="s">
        <v>192</v>
      </c>
      <c r="L1924" s="25"/>
      <c r="M1924" s="25"/>
      <c r="N1924" s="25"/>
      <c r="O1924" s="25"/>
      <c r="P1924" s="33" t="n">
        <v>120</v>
      </c>
      <c r="Q1924" s="27" t="n">
        <f aca="false">INDEX(Markup_Vals,MATCH("Roofing Glazing &amp; Garage Doors",MarkupCat_Keys,0))</f>
        <v>0.38</v>
      </c>
      <c r="R1924" s="28" t="n">
        <f aca="false">P1924*(1+Q1924)</f>
        <v>165.6</v>
      </c>
      <c r="S1924" s="28" t="n">
        <f aca="false">R1924*(1-TradeDiscount)</f>
        <v>145.728</v>
      </c>
      <c r="T1924" s="28" t="n">
        <f aca="false">R1924*(1-VolumeDiscount)</f>
        <v>132.48</v>
      </c>
    </row>
    <row r="1925" customFormat="false" ht="15" hidden="false" customHeight="false" outlineLevel="0" collapsed="false">
      <c r="A1925" s="29" t="s">
        <v>4208</v>
      </c>
      <c r="B1925" s="29" t="s">
        <v>123</v>
      </c>
      <c r="C1925" s="29" t="s">
        <v>4201</v>
      </c>
      <c r="D1925" s="29" t="s">
        <v>4209</v>
      </c>
      <c r="E1925" s="29" t="s">
        <v>4203</v>
      </c>
      <c r="F1925" s="29" t="s">
        <v>4204</v>
      </c>
      <c r="G1925" s="29" t="s">
        <v>37</v>
      </c>
      <c r="H1925" s="29" t="s">
        <v>3148</v>
      </c>
      <c r="I1925" s="29" t="s">
        <v>3001</v>
      </c>
      <c r="J1925" s="29" t="s">
        <v>4205</v>
      </c>
      <c r="K1925" s="29" t="s">
        <v>192</v>
      </c>
      <c r="L1925" s="29"/>
      <c r="M1925" s="29"/>
      <c r="N1925" s="29"/>
      <c r="O1925" s="29"/>
      <c r="P1925" s="34" t="n">
        <v>120</v>
      </c>
      <c r="Q1925" s="31" t="n">
        <f aca="false">INDEX(Markup_Vals,MATCH("Roofing Glazing &amp; Garage Doors",MarkupCat_Keys,0))</f>
        <v>0.38</v>
      </c>
      <c r="R1925" s="32" t="n">
        <f aca="false">P1925*(1+Q1925)</f>
        <v>165.6</v>
      </c>
      <c r="S1925" s="32" t="n">
        <f aca="false">R1925*(1-TradeDiscount)</f>
        <v>145.728</v>
      </c>
      <c r="T1925" s="32" t="n">
        <f aca="false">R1925*(1-VolumeDiscount)</f>
        <v>132.48</v>
      </c>
    </row>
    <row r="1926" customFormat="false" ht="15" hidden="false" customHeight="false" outlineLevel="0" collapsed="false">
      <c r="A1926" s="25" t="s">
        <v>4210</v>
      </c>
      <c r="B1926" s="25" t="s">
        <v>123</v>
      </c>
      <c r="C1926" s="25" t="s">
        <v>4201</v>
      </c>
      <c r="D1926" s="25" t="s">
        <v>4211</v>
      </c>
      <c r="E1926" s="25" t="s">
        <v>4212</v>
      </c>
      <c r="F1926" s="25" t="s">
        <v>4204</v>
      </c>
      <c r="G1926" s="25" t="s">
        <v>35</v>
      </c>
      <c r="H1926" s="25" t="s">
        <v>3148</v>
      </c>
      <c r="I1926" s="25" t="s">
        <v>3001</v>
      </c>
      <c r="J1926" s="25" t="s">
        <v>4205</v>
      </c>
      <c r="K1926" s="25" t="s">
        <v>192</v>
      </c>
      <c r="L1926" s="25"/>
      <c r="M1926" s="25"/>
      <c r="N1926" s="25"/>
      <c r="O1926" s="25"/>
      <c r="P1926" s="33" t="n">
        <v>140</v>
      </c>
      <c r="Q1926" s="27" t="n">
        <f aca="false">INDEX(Markup_Vals,MATCH("Roofing Glazing &amp; Garage Doors",MarkupCat_Keys,0))</f>
        <v>0.38</v>
      </c>
      <c r="R1926" s="28" t="n">
        <f aca="false">P1926*(1+Q1926)</f>
        <v>193.2</v>
      </c>
      <c r="S1926" s="28" t="n">
        <f aca="false">R1926*(1-TradeDiscount)</f>
        <v>170.016</v>
      </c>
      <c r="T1926" s="28" t="n">
        <f aca="false">R1926*(1-VolumeDiscount)</f>
        <v>154.56</v>
      </c>
    </row>
    <row r="1927" customFormat="false" ht="15" hidden="false" customHeight="false" outlineLevel="0" collapsed="false">
      <c r="A1927" s="29" t="s">
        <v>4213</v>
      </c>
      <c r="B1927" s="29" t="s">
        <v>123</v>
      </c>
      <c r="C1927" s="29" t="s">
        <v>4201</v>
      </c>
      <c r="D1927" s="29" t="s">
        <v>4214</v>
      </c>
      <c r="E1927" s="29" t="s">
        <v>4212</v>
      </c>
      <c r="F1927" s="29" t="s">
        <v>4204</v>
      </c>
      <c r="G1927" s="29" t="s">
        <v>36</v>
      </c>
      <c r="H1927" s="29" t="s">
        <v>3148</v>
      </c>
      <c r="I1927" s="29" t="s">
        <v>3001</v>
      </c>
      <c r="J1927" s="29" t="s">
        <v>4205</v>
      </c>
      <c r="K1927" s="29" t="s">
        <v>192</v>
      </c>
      <c r="L1927" s="29"/>
      <c r="M1927" s="29"/>
      <c r="N1927" s="29"/>
      <c r="O1927" s="29"/>
      <c r="P1927" s="34" t="n">
        <v>140</v>
      </c>
      <c r="Q1927" s="31" t="n">
        <f aca="false">INDEX(Markup_Vals,MATCH("Roofing Glazing &amp; Garage Doors",MarkupCat_Keys,0))</f>
        <v>0.38</v>
      </c>
      <c r="R1927" s="32" t="n">
        <f aca="false">P1927*(1+Q1927)</f>
        <v>193.2</v>
      </c>
      <c r="S1927" s="32" t="n">
        <f aca="false">R1927*(1-TradeDiscount)</f>
        <v>170.016</v>
      </c>
      <c r="T1927" s="32" t="n">
        <f aca="false">R1927*(1-VolumeDiscount)</f>
        <v>154.56</v>
      </c>
    </row>
    <row r="1928" customFormat="false" ht="15" hidden="false" customHeight="false" outlineLevel="0" collapsed="false">
      <c r="A1928" s="25" t="s">
        <v>4215</v>
      </c>
      <c r="B1928" s="25" t="s">
        <v>123</v>
      </c>
      <c r="C1928" s="25" t="s">
        <v>4201</v>
      </c>
      <c r="D1928" s="25" t="s">
        <v>4216</v>
      </c>
      <c r="E1928" s="25" t="s">
        <v>4212</v>
      </c>
      <c r="F1928" s="25" t="s">
        <v>4204</v>
      </c>
      <c r="G1928" s="25" t="s">
        <v>37</v>
      </c>
      <c r="H1928" s="25" t="s">
        <v>3148</v>
      </c>
      <c r="I1928" s="25" t="s">
        <v>3001</v>
      </c>
      <c r="J1928" s="25" t="s">
        <v>4205</v>
      </c>
      <c r="K1928" s="25" t="s">
        <v>192</v>
      </c>
      <c r="L1928" s="25"/>
      <c r="M1928" s="25"/>
      <c r="N1928" s="25"/>
      <c r="O1928" s="25"/>
      <c r="P1928" s="33" t="n">
        <v>140</v>
      </c>
      <c r="Q1928" s="27" t="n">
        <f aca="false">INDEX(Markup_Vals,MATCH("Roofing Glazing &amp; Garage Doors",MarkupCat_Keys,0))</f>
        <v>0.38</v>
      </c>
      <c r="R1928" s="28" t="n">
        <f aca="false">P1928*(1+Q1928)</f>
        <v>193.2</v>
      </c>
      <c r="S1928" s="28" t="n">
        <f aca="false">R1928*(1-TradeDiscount)</f>
        <v>170.016</v>
      </c>
      <c r="T1928" s="28" t="n">
        <f aca="false">R1928*(1-VolumeDiscount)</f>
        <v>154.56</v>
      </c>
    </row>
    <row r="1929" customFormat="false" ht="15" hidden="false" customHeight="false" outlineLevel="0" collapsed="false">
      <c r="A1929" s="29" t="s">
        <v>4217</v>
      </c>
      <c r="B1929" s="29" t="s">
        <v>123</v>
      </c>
      <c r="C1929" s="29" t="s">
        <v>4201</v>
      </c>
      <c r="D1929" s="29" t="s">
        <v>4218</v>
      </c>
      <c r="E1929" s="29" t="s">
        <v>4219</v>
      </c>
      <c r="F1929" s="29" t="s">
        <v>4204</v>
      </c>
      <c r="G1929" s="29" t="s">
        <v>35</v>
      </c>
      <c r="H1929" s="29" t="s">
        <v>3148</v>
      </c>
      <c r="I1929" s="29" t="s">
        <v>3001</v>
      </c>
      <c r="J1929" s="29" t="s">
        <v>4205</v>
      </c>
      <c r="K1929" s="29" t="s">
        <v>192</v>
      </c>
      <c r="L1929" s="29"/>
      <c r="M1929" s="29"/>
      <c r="N1929" s="29"/>
      <c r="O1929" s="29"/>
      <c r="P1929" s="34" t="n">
        <v>200</v>
      </c>
      <c r="Q1929" s="31" t="n">
        <f aca="false">INDEX(Markup_Vals,MATCH("Roofing Glazing &amp; Garage Doors",MarkupCat_Keys,0))</f>
        <v>0.38</v>
      </c>
      <c r="R1929" s="32" t="n">
        <f aca="false">P1929*(1+Q1929)</f>
        <v>276</v>
      </c>
      <c r="S1929" s="32" t="n">
        <f aca="false">R1929*(1-TradeDiscount)</f>
        <v>242.88</v>
      </c>
      <c r="T1929" s="32" t="n">
        <f aca="false">R1929*(1-VolumeDiscount)</f>
        <v>220.8</v>
      </c>
    </row>
    <row r="1930" customFormat="false" ht="15" hidden="false" customHeight="false" outlineLevel="0" collapsed="false">
      <c r="A1930" s="25" t="s">
        <v>4220</v>
      </c>
      <c r="B1930" s="25" t="s">
        <v>123</v>
      </c>
      <c r="C1930" s="25" t="s">
        <v>4201</v>
      </c>
      <c r="D1930" s="25" t="s">
        <v>4221</v>
      </c>
      <c r="E1930" s="25" t="s">
        <v>4219</v>
      </c>
      <c r="F1930" s="25" t="s">
        <v>4204</v>
      </c>
      <c r="G1930" s="25" t="s">
        <v>36</v>
      </c>
      <c r="H1930" s="25" t="s">
        <v>3148</v>
      </c>
      <c r="I1930" s="25" t="s">
        <v>3001</v>
      </c>
      <c r="J1930" s="25" t="s">
        <v>4205</v>
      </c>
      <c r="K1930" s="25" t="s">
        <v>192</v>
      </c>
      <c r="L1930" s="25"/>
      <c r="M1930" s="25"/>
      <c r="N1930" s="25"/>
      <c r="O1930" s="25"/>
      <c r="P1930" s="33" t="n">
        <v>200</v>
      </c>
      <c r="Q1930" s="27" t="n">
        <f aca="false">INDEX(Markup_Vals,MATCH("Roofing Glazing &amp; Garage Doors",MarkupCat_Keys,0))</f>
        <v>0.38</v>
      </c>
      <c r="R1930" s="28" t="n">
        <f aca="false">P1930*(1+Q1930)</f>
        <v>276</v>
      </c>
      <c r="S1930" s="28" t="n">
        <f aca="false">R1930*(1-TradeDiscount)</f>
        <v>242.88</v>
      </c>
      <c r="T1930" s="28" t="n">
        <f aca="false">R1930*(1-VolumeDiscount)</f>
        <v>220.8</v>
      </c>
    </row>
    <row r="1931" customFormat="false" ht="15" hidden="false" customHeight="false" outlineLevel="0" collapsed="false">
      <c r="A1931" s="29" t="s">
        <v>4222</v>
      </c>
      <c r="B1931" s="29" t="s">
        <v>123</v>
      </c>
      <c r="C1931" s="29" t="s">
        <v>4201</v>
      </c>
      <c r="D1931" s="29" t="s">
        <v>4223</v>
      </c>
      <c r="E1931" s="29" t="s">
        <v>4219</v>
      </c>
      <c r="F1931" s="29" t="s">
        <v>4204</v>
      </c>
      <c r="G1931" s="29" t="s">
        <v>37</v>
      </c>
      <c r="H1931" s="29" t="s">
        <v>3148</v>
      </c>
      <c r="I1931" s="29" t="s">
        <v>3001</v>
      </c>
      <c r="J1931" s="29" t="s">
        <v>4205</v>
      </c>
      <c r="K1931" s="29" t="s">
        <v>192</v>
      </c>
      <c r="L1931" s="29"/>
      <c r="M1931" s="29"/>
      <c r="N1931" s="29"/>
      <c r="O1931" s="29"/>
      <c r="P1931" s="34" t="n">
        <v>200</v>
      </c>
      <c r="Q1931" s="31" t="n">
        <f aca="false">INDEX(Markup_Vals,MATCH("Roofing Glazing &amp; Garage Doors",MarkupCat_Keys,0))</f>
        <v>0.38</v>
      </c>
      <c r="R1931" s="32" t="n">
        <f aca="false">P1931*(1+Q1931)</f>
        <v>276</v>
      </c>
      <c r="S1931" s="32" t="n">
        <f aca="false">R1931*(1-TradeDiscount)</f>
        <v>242.88</v>
      </c>
      <c r="T1931" s="32" t="n">
        <f aca="false">R1931*(1-VolumeDiscount)</f>
        <v>220.8</v>
      </c>
    </row>
    <row r="1932" customFormat="false" ht="15" hidden="false" customHeight="false" outlineLevel="0" collapsed="false">
      <c r="A1932" s="25" t="s">
        <v>4224</v>
      </c>
      <c r="B1932" s="25" t="s">
        <v>123</v>
      </c>
      <c r="C1932" s="25" t="s">
        <v>4201</v>
      </c>
      <c r="D1932" s="25" t="s">
        <v>4225</v>
      </c>
      <c r="E1932" s="25" t="s">
        <v>4226</v>
      </c>
      <c r="F1932" s="25" t="s">
        <v>4204</v>
      </c>
      <c r="G1932" s="25" t="s">
        <v>35</v>
      </c>
      <c r="H1932" s="25" t="s">
        <v>3148</v>
      </c>
      <c r="I1932" s="25" t="s">
        <v>3001</v>
      </c>
      <c r="J1932" s="25" t="s">
        <v>4205</v>
      </c>
      <c r="K1932" s="25" t="s">
        <v>192</v>
      </c>
      <c r="L1932" s="25"/>
      <c r="M1932" s="25"/>
      <c r="N1932" s="25"/>
      <c r="O1932" s="25"/>
      <c r="P1932" s="33" t="n">
        <v>165</v>
      </c>
      <c r="Q1932" s="27" t="n">
        <f aca="false">INDEX(Markup_Vals,MATCH("Roofing Glazing &amp; Garage Doors",MarkupCat_Keys,0))</f>
        <v>0.38</v>
      </c>
      <c r="R1932" s="28" t="n">
        <f aca="false">P1932*(1+Q1932)</f>
        <v>227.7</v>
      </c>
      <c r="S1932" s="28" t="n">
        <f aca="false">R1932*(1-TradeDiscount)</f>
        <v>200.376</v>
      </c>
      <c r="T1932" s="28" t="n">
        <f aca="false">R1932*(1-VolumeDiscount)</f>
        <v>182.16</v>
      </c>
    </row>
    <row r="1933" customFormat="false" ht="15" hidden="false" customHeight="false" outlineLevel="0" collapsed="false">
      <c r="A1933" s="29" t="s">
        <v>4227</v>
      </c>
      <c r="B1933" s="29" t="s">
        <v>123</v>
      </c>
      <c r="C1933" s="29" t="s">
        <v>4201</v>
      </c>
      <c r="D1933" s="29" t="s">
        <v>4228</v>
      </c>
      <c r="E1933" s="29" t="s">
        <v>4226</v>
      </c>
      <c r="F1933" s="29" t="s">
        <v>4204</v>
      </c>
      <c r="G1933" s="29" t="s">
        <v>36</v>
      </c>
      <c r="H1933" s="29" t="s">
        <v>3148</v>
      </c>
      <c r="I1933" s="29" t="s">
        <v>3001</v>
      </c>
      <c r="J1933" s="29" t="s">
        <v>4205</v>
      </c>
      <c r="K1933" s="29" t="s">
        <v>192</v>
      </c>
      <c r="L1933" s="29"/>
      <c r="M1933" s="29"/>
      <c r="N1933" s="29"/>
      <c r="O1933" s="29"/>
      <c r="P1933" s="34" t="n">
        <v>165</v>
      </c>
      <c r="Q1933" s="31" t="n">
        <f aca="false">INDEX(Markup_Vals,MATCH("Roofing Glazing &amp; Garage Doors",MarkupCat_Keys,0))</f>
        <v>0.38</v>
      </c>
      <c r="R1933" s="32" t="n">
        <f aca="false">P1933*(1+Q1933)</f>
        <v>227.7</v>
      </c>
      <c r="S1933" s="32" t="n">
        <f aca="false">R1933*(1-TradeDiscount)</f>
        <v>200.376</v>
      </c>
      <c r="T1933" s="32" t="n">
        <f aca="false">R1933*(1-VolumeDiscount)</f>
        <v>182.16</v>
      </c>
    </row>
    <row r="1934" customFormat="false" ht="15" hidden="false" customHeight="false" outlineLevel="0" collapsed="false">
      <c r="A1934" s="25" t="s">
        <v>4229</v>
      </c>
      <c r="B1934" s="25" t="s">
        <v>123</v>
      </c>
      <c r="C1934" s="25" t="s">
        <v>4201</v>
      </c>
      <c r="D1934" s="25" t="s">
        <v>4230</v>
      </c>
      <c r="E1934" s="25" t="s">
        <v>4226</v>
      </c>
      <c r="F1934" s="25" t="s">
        <v>4204</v>
      </c>
      <c r="G1934" s="25" t="s">
        <v>37</v>
      </c>
      <c r="H1934" s="25" t="s">
        <v>3148</v>
      </c>
      <c r="I1934" s="25" t="s">
        <v>3001</v>
      </c>
      <c r="J1934" s="25" t="s">
        <v>4205</v>
      </c>
      <c r="K1934" s="25" t="s">
        <v>192</v>
      </c>
      <c r="L1934" s="25"/>
      <c r="M1934" s="25"/>
      <c r="N1934" s="25"/>
      <c r="O1934" s="25"/>
      <c r="P1934" s="33" t="n">
        <v>165</v>
      </c>
      <c r="Q1934" s="27" t="n">
        <f aca="false">INDEX(Markup_Vals,MATCH("Roofing Glazing &amp; Garage Doors",MarkupCat_Keys,0))</f>
        <v>0.38</v>
      </c>
      <c r="R1934" s="28" t="n">
        <f aca="false">P1934*(1+Q1934)</f>
        <v>227.7</v>
      </c>
      <c r="S1934" s="28" t="n">
        <f aca="false">R1934*(1-TradeDiscount)</f>
        <v>200.376</v>
      </c>
      <c r="T1934" s="28" t="n">
        <f aca="false">R1934*(1-VolumeDiscount)</f>
        <v>182.16</v>
      </c>
    </row>
    <row r="1935" customFormat="false" ht="15" hidden="false" customHeight="false" outlineLevel="0" collapsed="false">
      <c r="A1935" s="29" t="s">
        <v>4231</v>
      </c>
      <c r="B1935" s="29" t="s">
        <v>123</v>
      </c>
      <c r="C1935" s="29" t="s">
        <v>4201</v>
      </c>
      <c r="D1935" s="29" t="s">
        <v>4232</v>
      </c>
      <c r="E1935" s="29" t="s">
        <v>4233</v>
      </c>
      <c r="F1935" s="29" t="s">
        <v>4204</v>
      </c>
      <c r="G1935" s="29" t="s">
        <v>35</v>
      </c>
      <c r="H1935" s="29" t="s">
        <v>3148</v>
      </c>
      <c r="I1935" s="29" t="s">
        <v>3001</v>
      </c>
      <c r="J1935" s="29" t="s">
        <v>4205</v>
      </c>
      <c r="K1935" s="29" t="s">
        <v>192</v>
      </c>
      <c r="L1935" s="29"/>
      <c r="M1935" s="29"/>
      <c r="N1935" s="29"/>
      <c r="O1935" s="29"/>
      <c r="P1935" s="34" t="n">
        <v>130</v>
      </c>
      <c r="Q1935" s="31" t="n">
        <f aca="false">INDEX(Markup_Vals,MATCH("Roofing Glazing &amp; Garage Doors",MarkupCat_Keys,0))</f>
        <v>0.38</v>
      </c>
      <c r="R1935" s="32" t="n">
        <f aca="false">P1935*(1+Q1935)</f>
        <v>179.4</v>
      </c>
      <c r="S1935" s="32" t="n">
        <f aca="false">R1935*(1-TradeDiscount)</f>
        <v>157.872</v>
      </c>
      <c r="T1935" s="32" t="n">
        <f aca="false">R1935*(1-VolumeDiscount)</f>
        <v>143.52</v>
      </c>
    </row>
    <row r="1936" customFormat="false" ht="15" hidden="false" customHeight="false" outlineLevel="0" collapsed="false">
      <c r="A1936" s="25" t="s">
        <v>4234</v>
      </c>
      <c r="B1936" s="25" t="s">
        <v>123</v>
      </c>
      <c r="C1936" s="25" t="s">
        <v>4201</v>
      </c>
      <c r="D1936" s="25" t="s">
        <v>4235</v>
      </c>
      <c r="E1936" s="25" t="s">
        <v>4233</v>
      </c>
      <c r="F1936" s="25" t="s">
        <v>4204</v>
      </c>
      <c r="G1936" s="25" t="s">
        <v>36</v>
      </c>
      <c r="H1936" s="25" t="s">
        <v>3148</v>
      </c>
      <c r="I1936" s="25" t="s">
        <v>3001</v>
      </c>
      <c r="J1936" s="25" t="s">
        <v>4205</v>
      </c>
      <c r="K1936" s="25" t="s">
        <v>192</v>
      </c>
      <c r="L1936" s="25"/>
      <c r="M1936" s="25"/>
      <c r="N1936" s="25"/>
      <c r="O1936" s="25"/>
      <c r="P1936" s="33" t="n">
        <v>130</v>
      </c>
      <c r="Q1936" s="27" t="n">
        <f aca="false">INDEX(Markup_Vals,MATCH("Roofing Glazing &amp; Garage Doors",MarkupCat_Keys,0))</f>
        <v>0.38</v>
      </c>
      <c r="R1936" s="28" t="n">
        <f aca="false">P1936*(1+Q1936)</f>
        <v>179.4</v>
      </c>
      <c r="S1936" s="28" t="n">
        <f aca="false">R1936*(1-TradeDiscount)</f>
        <v>157.872</v>
      </c>
      <c r="T1936" s="28" t="n">
        <f aca="false">R1936*(1-VolumeDiscount)</f>
        <v>143.52</v>
      </c>
    </row>
    <row r="1937" customFormat="false" ht="15" hidden="false" customHeight="false" outlineLevel="0" collapsed="false">
      <c r="A1937" s="29" t="s">
        <v>4236</v>
      </c>
      <c r="B1937" s="29" t="s">
        <v>123</v>
      </c>
      <c r="C1937" s="29" t="s">
        <v>4201</v>
      </c>
      <c r="D1937" s="29" t="s">
        <v>4237</v>
      </c>
      <c r="E1937" s="29" t="s">
        <v>4233</v>
      </c>
      <c r="F1937" s="29" t="s">
        <v>4204</v>
      </c>
      <c r="G1937" s="29" t="s">
        <v>37</v>
      </c>
      <c r="H1937" s="29" t="s">
        <v>3148</v>
      </c>
      <c r="I1937" s="29" t="s">
        <v>3001</v>
      </c>
      <c r="J1937" s="29" t="s">
        <v>4205</v>
      </c>
      <c r="K1937" s="29" t="s">
        <v>192</v>
      </c>
      <c r="L1937" s="29"/>
      <c r="M1937" s="29"/>
      <c r="N1937" s="29"/>
      <c r="O1937" s="29"/>
      <c r="P1937" s="34" t="n">
        <v>130</v>
      </c>
      <c r="Q1937" s="31" t="n">
        <f aca="false">INDEX(Markup_Vals,MATCH("Roofing Glazing &amp; Garage Doors",MarkupCat_Keys,0))</f>
        <v>0.38</v>
      </c>
      <c r="R1937" s="32" t="n">
        <f aca="false">P1937*(1+Q1937)</f>
        <v>179.4</v>
      </c>
      <c r="S1937" s="32" t="n">
        <f aca="false">R1937*(1-TradeDiscount)</f>
        <v>157.872</v>
      </c>
      <c r="T1937" s="32" t="n">
        <f aca="false">R1937*(1-VolumeDiscount)</f>
        <v>143.52</v>
      </c>
    </row>
    <row r="1938" customFormat="false" ht="15" hidden="false" customHeight="false" outlineLevel="0" collapsed="false">
      <c r="A1938" s="25" t="s">
        <v>4238</v>
      </c>
      <c r="B1938" s="25" t="s">
        <v>123</v>
      </c>
      <c r="C1938" s="25" t="s">
        <v>4201</v>
      </c>
      <c r="D1938" s="25" t="s">
        <v>4239</v>
      </c>
      <c r="E1938" s="25" t="s">
        <v>4240</v>
      </c>
      <c r="F1938" s="25" t="s">
        <v>4204</v>
      </c>
      <c r="G1938" s="25" t="s">
        <v>35</v>
      </c>
      <c r="H1938" s="25" t="s">
        <v>3148</v>
      </c>
      <c r="I1938" s="25" t="s">
        <v>3001</v>
      </c>
      <c r="J1938" s="25" t="s">
        <v>4205</v>
      </c>
      <c r="K1938" s="25" t="s">
        <v>192</v>
      </c>
      <c r="L1938" s="25"/>
      <c r="M1938" s="25"/>
      <c r="N1938" s="25"/>
      <c r="O1938" s="25"/>
      <c r="P1938" s="33" t="n">
        <v>135</v>
      </c>
      <c r="Q1938" s="27" t="n">
        <f aca="false">INDEX(Markup_Vals,MATCH("Roofing Glazing &amp; Garage Doors",MarkupCat_Keys,0))</f>
        <v>0.38</v>
      </c>
      <c r="R1938" s="28" t="n">
        <f aca="false">P1938*(1+Q1938)</f>
        <v>186.3</v>
      </c>
      <c r="S1938" s="28" t="n">
        <f aca="false">R1938*(1-TradeDiscount)</f>
        <v>163.944</v>
      </c>
      <c r="T1938" s="28" t="n">
        <f aca="false">R1938*(1-VolumeDiscount)</f>
        <v>149.04</v>
      </c>
    </row>
    <row r="1939" customFormat="false" ht="15" hidden="false" customHeight="false" outlineLevel="0" collapsed="false">
      <c r="A1939" s="29" t="s">
        <v>4241</v>
      </c>
      <c r="B1939" s="29" t="s">
        <v>123</v>
      </c>
      <c r="C1939" s="29" t="s">
        <v>4201</v>
      </c>
      <c r="D1939" s="29" t="s">
        <v>4242</v>
      </c>
      <c r="E1939" s="29" t="s">
        <v>4240</v>
      </c>
      <c r="F1939" s="29" t="s">
        <v>4204</v>
      </c>
      <c r="G1939" s="29" t="s">
        <v>36</v>
      </c>
      <c r="H1939" s="29" t="s">
        <v>3148</v>
      </c>
      <c r="I1939" s="29" t="s">
        <v>3001</v>
      </c>
      <c r="J1939" s="29" t="s">
        <v>4205</v>
      </c>
      <c r="K1939" s="29" t="s">
        <v>192</v>
      </c>
      <c r="L1939" s="29"/>
      <c r="M1939" s="29"/>
      <c r="N1939" s="29"/>
      <c r="O1939" s="29"/>
      <c r="P1939" s="34" t="n">
        <v>135</v>
      </c>
      <c r="Q1939" s="31" t="n">
        <f aca="false">INDEX(Markup_Vals,MATCH("Roofing Glazing &amp; Garage Doors",MarkupCat_Keys,0))</f>
        <v>0.38</v>
      </c>
      <c r="R1939" s="32" t="n">
        <f aca="false">P1939*(1+Q1939)</f>
        <v>186.3</v>
      </c>
      <c r="S1939" s="32" t="n">
        <f aca="false">R1939*(1-TradeDiscount)</f>
        <v>163.944</v>
      </c>
      <c r="T1939" s="32" t="n">
        <f aca="false">R1939*(1-VolumeDiscount)</f>
        <v>149.04</v>
      </c>
    </row>
    <row r="1940" customFormat="false" ht="15" hidden="false" customHeight="false" outlineLevel="0" collapsed="false">
      <c r="A1940" s="25" t="s">
        <v>4243</v>
      </c>
      <c r="B1940" s="25" t="s">
        <v>123</v>
      </c>
      <c r="C1940" s="25" t="s">
        <v>4201</v>
      </c>
      <c r="D1940" s="25" t="s">
        <v>4244</v>
      </c>
      <c r="E1940" s="25" t="s">
        <v>4240</v>
      </c>
      <c r="F1940" s="25" t="s">
        <v>4204</v>
      </c>
      <c r="G1940" s="25" t="s">
        <v>37</v>
      </c>
      <c r="H1940" s="25" t="s">
        <v>3148</v>
      </c>
      <c r="I1940" s="25" t="s">
        <v>3001</v>
      </c>
      <c r="J1940" s="25" t="s">
        <v>4205</v>
      </c>
      <c r="K1940" s="25" t="s">
        <v>192</v>
      </c>
      <c r="L1940" s="25"/>
      <c r="M1940" s="25"/>
      <c r="N1940" s="25"/>
      <c r="O1940" s="25"/>
      <c r="P1940" s="33" t="n">
        <v>135</v>
      </c>
      <c r="Q1940" s="27" t="n">
        <f aca="false">INDEX(Markup_Vals,MATCH("Roofing Glazing &amp; Garage Doors",MarkupCat_Keys,0))</f>
        <v>0.38</v>
      </c>
      <c r="R1940" s="28" t="n">
        <f aca="false">P1940*(1+Q1940)</f>
        <v>186.3</v>
      </c>
      <c r="S1940" s="28" t="n">
        <f aca="false">R1940*(1-TradeDiscount)</f>
        <v>163.944</v>
      </c>
      <c r="T1940" s="28" t="n">
        <f aca="false">R1940*(1-VolumeDiscount)</f>
        <v>149.04</v>
      </c>
    </row>
    <row r="1941" customFormat="false" ht="15" hidden="false" customHeight="false" outlineLevel="0" collapsed="false">
      <c r="A1941" s="29" t="s">
        <v>4245</v>
      </c>
      <c r="B1941" s="29" t="s">
        <v>123</v>
      </c>
      <c r="C1941" s="29" t="s">
        <v>4201</v>
      </c>
      <c r="D1941" s="29" t="s">
        <v>4246</v>
      </c>
      <c r="E1941" s="29" t="s">
        <v>4247</v>
      </c>
      <c r="F1941" s="29" t="s">
        <v>4204</v>
      </c>
      <c r="G1941" s="29" t="s">
        <v>35</v>
      </c>
      <c r="H1941" s="29" t="s">
        <v>3148</v>
      </c>
      <c r="I1941" s="29" t="s">
        <v>190</v>
      </c>
      <c r="J1941" s="29" t="s">
        <v>4205</v>
      </c>
      <c r="K1941" s="29" t="s">
        <v>192</v>
      </c>
      <c r="L1941" s="29"/>
      <c r="M1941" s="29"/>
      <c r="N1941" s="29"/>
      <c r="O1941" s="29"/>
      <c r="P1941" s="34" t="n">
        <v>25</v>
      </c>
      <c r="Q1941" s="31" t="n">
        <f aca="false">INDEX(Markup_Vals,MATCH("Roofing Glazing &amp; Garage Doors",MarkupCat_Keys,0))</f>
        <v>0.38</v>
      </c>
      <c r="R1941" s="32" t="n">
        <f aca="false">P1941*(1+Q1941)</f>
        <v>34.5</v>
      </c>
      <c r="S1941" s="32" t="n">
        <f aca="false">R1941*(1-TradeDiscount)</f>
        <v>30.36</v>
      </c>
      <c r="T1941" s="32" t="n">
        <f aca="false">R1941*(1-VolumeDiscount)</f>
        <v>27.6</v>
      </c>
    </row>
    <row r="1942" customFormat="false" ht="15" hidden="false" customHeight="false" outlineLevel="0" collapsed="false">
      <c r="A1942" s="25" t="s">
        <v>4248</v>
      </c>
      <c r="B1942" s="25" t="s">
        <v>123</v>
      </c>
      <c r="C1942" s="25" t="s">
        <v>4201</v>
      </c>
      <c r="D1942" s="25" t="s">
        <v>4249</v>
      </c>
      <c r="E1942" s="25" t="s">
        <v>4247</v>
      </c>
      <c r="F1942" s="25" t="s">
        <v>4204</v>
      </c>
      <c r="G1942" s="25" t="s">
        <v>36</v>
      </c>
      <c r="H1942" s="25" t="s">
        <v>3148</v>
      </c>
      <c r="I1942" s="25" t="s">
        <v>190</v>
      </c>
      <c r="J1942" s="25" t="s">
        <v>4205</v>
      </c>
      <c r="K1942" s="25" t="s">
        <v>192</v>
      </c>
      <c r="L1942" s="25"/>
      <c r="M1942" s="25"/>
      <c r="N1942" s="25"/>
      <c r="O1942" s="25"/>
      <c r="P1942" s="33" t="n">
        <v>25</v>
      </c>
      <c r="Q1942" s="27" t="n">
        <f aca="false">INDEX(Markup_Vals,MATCH("Roofing Glazing &amp; Garage Doors",MarkupCat_Keys,0))</f>
        <v>0.38</v>
      </c>
      <c r="R1942" s="28" t="n">
        <f aca="false">P1942*(1+Q1942)</f>
        <v>34.5</v>
      </c>
      <c r="S1942" s="28" t="n">
        <f aca="false">R1942*(1-TradeDiscount)</f>
        <v>30.36</v>
      </c>
      <c r="T1942" s="28" t="n">
        <f aca="false">R1942*(1-VolumeDiscount)</f>
        <v>27.6</v>
      </c>
    </row>
    <row r="1943" customFormat="false" ht="15" hidden="false" customHeight="false" outlineLevel="0" collapsed="false">
      <c r="A1943" s="29" t="s">
        <v>4250</v>
      </c>
      <c r="B1943" s="29" t="s">
        <v>123</v>
      </c>
      <c r="C1943" s="29" t="s">
        <v>4201</v>
      </c>
      <c r="D1943" s="29" t="s">
        <v>4251</v>
      </c>
      <c r="E1943" s="29" t="s">
        <v>4247</v>
      </c>
      <c r="F1943" s="29" t="s">
        <v>4204</v>
      </c>
      <c r="G1943" s="29" t="s">
        <v>37</v>
      </c>
      <c r="H1943" s="29" t="s">
        <v>3148</v>
      </c>
      <c r="I1943" s="29" t="s">
        <v>190</v>
      </c>
      <c r="J1943" s="29" t="s">
        <v>4205</v>
      </c>
      <c r="K1943" s="29" t="s">
        <v>192</v>
      </c>
      <c r="L1943" s="29"/>
      <c r="M1943" s="29"/>
      <c r="N1943" s="29"/>
      <c r="O1943" s="29"/>
      <c r="P1943" s="34" t="n">
        <v>25</v>
      </c>
      <c r="Q1943" s="31" t="n">
        <f aca="false">INDEX(Markup_Vals,MATCH("Roofing Glazing &amp; Garage Doors",MarkupCat_Keys,0))</f>
        <v>0.38</v>
      </c>
      <c r="R1943" s="32" t="n">
        <f aca="false">P1943*(1+Q1943)</f>
        <v>34.5</v>
      </c>
      <c r="S1943" s="32" t="n">
        <f aca="false">R1943*(1-TradeDiscount)</f>
        <v>30.36</v>
      </c>
      <c r="T1943" s="32" t="n">
        <f aca="false">R1943*(1-VolumeDiscount)</f>
        <v>27.6</v>
      </c>
    </row>
    <row r="1944" customFormat="false" ht="15" hidden="false" customHeight="false" outlineLevel="0" collapsed="false">
      <c r="A1944" s="25" t="s">
        <v>4252</v>
      </c>
      <c r="B1944" s="25" t="s">
        <v>123</v>
      </c>
      <c r="C1944" s="25" t="s">
        <v>4201</v>
      </c>
      <c r="D1944" s="25" t="s">
        <v>4253</v>
      </c>
      <c r="E1944" s="25" t="s">
        <v>4254</v>
      </c>
      <c r="F1944" s="25" t="s">
        <v>4204</v>
      </c>
      <c r="G1944" s="25" t="s">
        <v>35</v>
      </c>
      <c r="H1944" s="25" t="s">
        <v>3148</v>
      </c>
      <c r="I1944" s="25" t="s">
        <v>190</v>
      </c>
      <c r="J1944" s="25" t="s">
        <v>4205</v>
      </c>
      <c r="K1944" s="25" t="s">
        <v>192</v>
      </c>
      <c r="L1944" s="25"/>
      <c r="M1944" s="25"/>
      <c r="N1944" s="25"/>
      <c r="O1944" s="25"/>
      <c r="P1944" s="33" t="n">
        <v>90</v>
      </c>
      <c r="Q1944" s="27" t="n">
        <f aca="false">INDEX(Markup_Vals,MATCH("Roofing Glazing &amp; Garage Doors",MarkupCat_Keys,0))</f>
        <v>0.38</v>
      </c>
      <c r="R1944" s="28" t="n">
        <f aca="false">P1944*(1+Q1944)</f>
        <v>124.2</v>
      </c>
      <c r="S1944" s="28" t="n">
        <f aca="false">R1944*(1-TradeDiscount)</f>
        <v>109.296</v>
      </c>
      <c r="T1944" s="28" t="n">
        <f aca="false">R1944*(1-VolumeDiscount)</f>
        <v>99.36</v>
      </c>
    </row>
    <row r="1945" customFormat="false" ht="15" hidden="false" customHeight="false" outlineLevel="0" collapsed="false">
      <c r="A1945" s="29" t="s">
        <v>4255</v>
      </c>
      <c r="B1945" s="29" t="s">
        <v>123</v>
      </c>
      <c r="C1945" s="29" t="s">
        <v>4201</v>
      </c>
      <c r="D1945" s="29" t="s">
        <v>4256</v>
      </c>
      <c r="E1945" s="29" t="s">
        <v>4254</v>
      </c>
      <c r="F1945" s="29" t="s">
        <v>4204</v>
      </c>
      <c r="G1945" s="29" t="s">
        <v>36</v>
      </c>
      <c r="H1945" s="29" t="s">
        <v>3148</v>
      </c>
      <c r="I1945" s="29" t="s">
        <v>190</v>
      </c>
      <c r="J1945" s="29" t="s">
        <v>4205</v>
      </c>
      <c r="K1945" s="29" t="s">
        <v>192</v>
      </c>
      <c r="L1945" s="29"/>
      <c r="M1945" s="29"/>
      <c r="N1945" s="29"/>
      <c r="O1945" s="29"/>
      <c r="P1945" s="34" t="n">
        <v>90</v>
      </c>
      <c r="Q1945" s="31" t="n">
        <f aca="false">INDEX(Markup_Vals,MATCH("Roofing Glazing &amp; Garage Doors",MarkupCat_Keys,0))</f>
        <v>0.38</v>
      </c>
      <c r="R1945" s="32" t="n">
        <f aca="false">P1945*(1+Q1945)</f>
        <v>124.2</v>
      </c>
      <c r="S1945" s="32" t="n">
        <f aca="false">R1945*(1-TradeDiscount)</f>
        <v>109.296</v>
      </c>
      <c r="T1945" s="32" t="n">
        <f aca="false">R1945*(1-VolumeDiscount)</f>
        <v>99.36</v>
      </c>
    </row>
    <row r="1946" customFormat="false" ht="15" hidden="false" customHeight="false" outlineLevel="0" collapsed="false">
      <c r="A1946" s="25" t="s">
        <v>4257</v>
      </c>
      <c r="B1946" s="25" t="s">
        <v>123</v>
      </c>
      <c r="C1946" s="25" t="s">
        <v>4201</v>
      </c>
      <c r="D1946" s="25" t="s">
        <v>4258</v>
      </c>
      <c r="E1946" s="25" t="s">
        <v>4254</v>
      </c>
      <c r="F1946" s="25" t="s">
        <v>4204</v>
      </c>
      <c r="G1946" s="25" t="s">
        <v>37</v>
      </c>
      <c r="H1946" s="25" t="s">
        <v>3148</v>
      </c>
      <c r="I1946" s="25" t="s">
        <v>190</v>
      </c>
      <c r="J1946" s="25" t="s">
        <v>4205</v>
      </c>
      <c r="K1946" s="25" t="s">
        <v>192</v>
      </c>
      <c r="L1946" s="25"/>
      <c r="M1946" s="25"/>
      <c r="N1946" s="25"/>
      <c r="O1946" s="25"/>
      <c r="P1946" s="33" t="n">
        <v>90</v>
      </c>
      <c r="Q1946" s="27" t="n">
        <f aca="false">INDEX(Markup_Vals,MATCH("Roofing Glazing &amp; Garage Doors",MarkupCat_Keys,0))</f>
        <v>0.38</v>
      </c>
      <c r="R1946" s="28" t="n">
        <f aca="false">P1946*(1+Q1946)</f>
        <v>124.2</v>
      </c>
      <c r="S1946" s="28" t="n">
        <f aca="false">R1946*(1-TradeDiscount)</f>
        <v>109.296</v>
      </c>
      <c r="T1946" s="28" t="n">
        <f aca="false">R1946*(1-VolumeDiscount)</f>
        <v>99.36</v>
      </c>
    </row>
    <row r="1947" customFormat="false" ht="15" hidden="false" customHeight="false" outlineLevel="0" collapsed="false">
      <c r="A1947" s="29" t="s">
        <v>4259</v>
      </c>
      <c r="B1947" s="29" t="s">
        <v>124</v>
      </c>
      <c r="C1947" s="29" t="s">
        <v>125</v>
      </c>
      <c r="D1947" s="29" t="s">
        <v>4260</v>
      </c>
      <c r="E1947" s="29" t="s">
        <v>104</v>
      </c>
      <c r="F1947" s="29" t="s">
        <v>4261</v>
      </c>
      <c r="G1947" s="29" t="s">
        <v>35</v>
      </c>
      <c r="H1947" s="29" t="s">
        <v>3148</v>
      </c>
      <c r="I1947" s="29" t="s">
        <v>190</v>
      </c>
      <c r="J1947" s="29" t="s">
        <v>4262</v>
      </c>
      <c r="K1947" s="29" t="s">
        <v>192</v>
      </c>
      <c r="L1947" s="29"/>
      <c r="M1947" s="29"/>
      <c r="N1947" s="29"/>
      <c r="O1947" s="29" t="n">
        <v>3</v>
      </c>
      <c r="P1947" s="30" t="n">
        <f aca="false">(O1947*INDEX(ExtShape_Vals,MATCH(E1947,ExtShape_Keys,0))*AlumCostPerKg+O1947*INDEX(Finish_Vals,MATCH(G1947,Finish_Keys,0)))</f>
        <v>87.21</v>
      </c>
      <c r="Q1947" s="31" t="n">
        <f aca="false">INDEX(Markup_Vals,MATCH("Extrusion Profiles &amp; Raw Stock",MarkupSub_Keys,0))</f>
        <v>0.18</v>
      </c>
      <c r="R1947" s="32" t="n">
        <f aca="false">P1947*(1+Q1947)</f>
        <v>102.9078</v>
      </c>
      <c r="S1947" s="32" t="n">
        <f aca="false">R1947*(1-TradeDiscount)</f>
        <v>90.558864</v>
      </c>
      <c r="T1947" s="32" t="n">
        <f aca="false">R1947*(1-VolumeDiscount)</f>
        <v>82.32624</v>
      </c>
    </row>
    <row r="1948" customFormat="false" ht="15" hidden="false" customHeight="false" outlineLevel="0" collapsed="false">
      <c r="A1948" s="25" t="s">
        <v>4263</v>
      </c>
      <c r="B1948" s="25" t="s">
        <v>124</v>
      </c>
      <c r="C1948" s="25" t="s">
        <v>125</v>
      </c>
      <c r="D1948" s="25" t="s">
        <v>4264</v>
      </c>
      <c r="E1948" s="25" t="s">
        <v>104</v>
      </c>
      <c r="F1948" s="25" t="s">
        <v>4261</v>
      </c>
      <c r="G1948" s="25" t="s">
        <v>36</v>
      </c>
      <c r="H1948" s="25" t="s">
        <v>3148</v>
      </c>
      <c r="I1948" s="25" t="s">
        <v>190</v>
      </c>
      <c r="J1948" s="25" t="s">
        <v>4262</v>
      </c>
      <c r="K1948" s="25" t="s">
        <v>192</v>
      </c>
      <c r="L1948" s="25"/>
      <c r="M1948" s="25"/>
      <c r="N1948" s="25"/>
      <c r="O1948" s="25" t="n">
        <v>3</v>
      </c>
      <c r="P1948" s="26" t="n">
        <f aca="false">(O1948*INDEX(ExtShape_Vals,MATCH(E1948,ExtShape_Keys,0))*AlumCostPerKg+O1948*INDEX(Finish_Vals,MATCH(G1948,Finish_Keys,0)))</f>
        <v>126.21</v>
      </c>
      <c r="Q1948" s="27" t="n">
        <f aca="false">INDEX(Markup_Vals,MATCH("Extrusion Profiles &amp; Raw Stock",MarkupSub_Keys,0))</f>
        <v>0.18</v>
      </c>
      <c r="R1948" s="28" t="n">
        <f aca="false">P1948*(1+Q1948)</f>
        <v>148.9278</v>
      </c>
      <c r="S1948" s="28" t="n">
        <f aca="false">R1948*(1-TradeDiscount)</f>
        <v>131.056464</v>
      </c>
      <c r="T1948" s="28" t="n">
        <f aca="false">R1948*(1-VolumeDiscount)</f>
        <v>119.14224</v>
      </c>
    </row>
    <row r="1949" customFormat="false" ht="15" hidden="false" customHeight="false" outlineLevel="0" collapsed="false">
      <c r="A1949" s="29" t="s">
        <v>4265</v>
      </c>
      <c r="B1949" s="29" t="s">
        <v>124</v>
      </c>
      <c r="C1949" s="29" t="s">
        <v>125</v>
      </c>
      <c r="D1949" s="29" t="s">
        <v>4266</v>
      </c>
      <c r="E1949" s="29" t="s">
        <v>104</v>
      </c>
      <c r="F1949" s="29" t="s">
        <v>4261</v>
      </c>
      <c r="G1949" s="29" t="s">
        <v>37</v>
      </c>
      <c r="H1949" s="29" t="s">
        <v>3148</v>
      </c>
      <c r="I1949" s="29" t="s">
        <v>190</v>
      </c>
      <c r="J1949" s="29" t="s">
        <v>4262</v>
      </c>
      <c r="K1949" s="29" t="s">
        <v>192</v>
      </c>
      <c r="L1949" s="29"/>
      <c r="M1949" s="29"/>
      <c r="N1949" s="29"/>
      <c r="O1949" s="29" t="n">
        <v>3</v>
      </c>
      <c r="P1949" s="30" t="n">
        <f aca="false">(O1949*INDEX(ExtShape_Vals,MATCH(E1949,ExtShape_Keys,0))*AlumCostPerKg+O1949*INDEX(Finish_Vals,MATCH(G1949,Finish_Keys,0)))</f>
        <v>126.21</v>
      </c>
      <c r="Q1949" s="31" t="n">
        <f aca="false">INDEX(Markup_Vals,MATCH("Extrusion Profiles &amp; Raw Stock",MarkupSub_Keys,0))</f>
        <v>0.18</v>
      </c>
      <c r="R1949" s="32" t="n">
        <f aca="false">P1949*(1+Q1949)</f>
        <v>148.9278</v>
      </c>
      <c r="S1949" s="32" t="n">
        <f aca="false">R1949*(1-TradeDiscount)</f>
        <v>131.056464</v>
      </c>
      <c r="T1949" s="32" t="n">
        <f aca="false">R1949*(1-VolumeDiscount)</f>
        <v>119.14224</v>
      </c>
    </row>
    <row r="1950" customFormat="false" ht="15" hidden="false" customHeight="false" outlineLevel="0" collapsed="false">
      <c r="A1950" s="25" t="s">
        <v>4267</v>
      </c>
      <c r="B1950" s="25" t="s">
        <v>124</v>
      </c>
      <c r="C1950" s="25" t="s">
        <v>125</v>
      </c>
      <c r="D1950" s="25" t="s">
        <v>4268</v>
      </c>
      <c r="E1950" s="25" t="s">
        <v>104</v>
      </c>
      <c r="F1950" s="25" t="s">
        <v>4269</v>
      </c>
      <c r="G1950" s="25" t="s">
        <v>35</v>
      </c>
      <c r="H1950" s="25" t="s">
        <v>3148</v>
      </c>
      <c r="I1950" s="25" t="s">
        <v>190</v>
      </c>
      <c r="J1950" s="25" t="s">
        <v>4262</v>
      </c>
      <c r="K1950" s="25" t="s">
        <v>192</v>
      </c>
      <c r="L1950" s="25"/>
      <c r="M1950" s="25"/>
      <c r="N1950" s="25"/>
      <c r="O1950" s="25" t="n">
        <v>4</v>
      </c>
      <c r="P1950" s="26" t="n">
        <f aca="false">(O1950*INDEX(ExtShape_Vals,MATCH(E1950,ExtShape_Keys,0))*AlumCostPerKg+O1950*INDEX(Finish_Vals,MATCH(G1950,Finish_Keys,0)))</f>
        <v>116.28</v>
      </c>
      <c r="Q1950" s="27" t="n">
        <f aca="false">INDEX(Markup_Vals,MATCH("Extrusion Profiles &amp; Raw Stock",MarkupSub_Keys,0))</f>
        <v>0.18</v>
      </c>
      <c r="R1950" s="28" t="n">
        <f aca="false">P1950*(1+Q1950)</f>
        <v>137.2104</v>
      </c>
      <c r="S1950" s="28" t="n">
        <f aca="false">R1950*(1-TradeDiscount)</f>
        <v>120.745152</v>
      </c>
      <c r="T1950" s="28" t="n">
        <f aca="false">R1950*(1-VolumeDiscount)</f>
        <v>109.76832</v>
      </c>
    </row>
    <row r="1951" customFormat="false" ht="15" hidden="false" customHeight="false" outlineLevel="0" collapsed="false">
      <c r="A1951" s="29" t="s">
        <v>4270</v>
      </c>
      <c r="B1951" s="29" t="s">
        <v>124</v>
      </c>
      <c r="C1951" s="29" t="s">
        <v>125</v>
      </c>
      <c r="D1951" s="29" t="s">
        <v>4271</v>
      </c>
      <c r="E1951" s="29" t="s">
        <v>104</v>
      </c>
      <c r="F1951" s="29" t="s">
        <v>4269</v>
      </c>
      <c r="G1951" s="29" t="s">
        <v>36</v>
      </c>
      <c r="H1951" s="29" t="s">
        <v>3148</v>
      </c>
      <c r="I1951" s="29" t="s">
        <v>190</v>
      </c>
      <c r="J1951" s="29" t="s">
        <v>4262</v>
      </c>
      <c r="K1951" s="29" t="s">
        <v>192</v>
      </c>
      <c r="L1951" s="29"/>
      <c r="M1951" s="29"/>
      <c r="N1951" s="29"/>
      <c r="O1951" s="29" t="n">
        <v>4</v>
      </c>
      <c r="P1951" s="30" t="n">
        <f aca="false">(O1951*INDEX(ExtShape_Vals,MATCH(E1951,ExtShape_Keys,0))*AlumCostPerKg+O1951*INDEX(Finish_Vals,MATCH(G1951,Finish_Keys,0)))</f>
        <v>168.28</v>
      </c>
      <c r="Q1951" s="31" t="n">
        <f aca="false">INDEX(Markup_Vals,MATCH("Extrusion Profiles &amp; Raw Stock",MarkupSub_Keys,0))</f>
        <v>0.18</v>
      </c>
      <c r="R1951" s="32" t="n">
        <f aca="false">P1951*(1+Q1951)</f>
        <v>198.5704</v>
      </c>
      <c r="S1951" s="32" t="n">
        <f aca="false">R1951*(1-TradeDiscount)</f>
        <v>174.741952</v>
      </c>
      <c r="T1951" s="32" t="n">
        <f aca="false">R1951*(1-VolumeDiscount)</f>
        <v>158.85632</v>
      </c>
    </row>
    <row r="1952" customFormat="false" ht="15" hidden="false" customHeight="false" outlineLevel="0" collapsed="false">
      <c r="A1952" s="25" t="s">
        <v>4272</v>
      </c>
      <c r="B1952" s="25" t="s">
        <v>124</v>
      </c>
      <c r="C1952" s="25" t="s">
        <v>125</v>
      </c>
      <c r="D1952" s="25" t="s">
        <v>4273</v>
      </c>
      <c r="E1952" s="25" t="s">
        <v>104</v>
      </c>
      <c r="F1952" s="25" t="s">
        <v>4269</v>
      </c>
      <c r="G1952" s="25" t="s">
        <v>37</v>
      </c>
      <c r="H1952" s="25" t="s">
        <v>3148</v>
      </c>
      <c r="I1952" s="25" t="s">
        <v>190</v>
      </c>
      <c r="J1952" s="25" t="s">
        <v>4262</v>
      </c>
      <c r="K1952" s="25" t="s">
        <v>192</v>
      </c>
      <c r="L1952" s="25"/>
      <c r="M1952" s="25"/>
      <c r="N1952" s="25"/>
      <c r="O1952" s="25" t="n">
        <v>4</v>
      </c>
      <c r="P1952" s="26" t="n">
        <f aca="false">(O1952*INDEX(ExtShape_Vals,MATCH(E1952,ExtShape_Keys,0))*AlumCostPerKg+O1952*INDEX(Finish_Vals,MATCH(G1952,Finish_Keys,0)))</f>
        <v>168.28</v>
      </c>
      <c r="Q1952" s="27" t="n">
        <f aca="false">INDEX(Markup_Vals,MATCH("Extrusion Profiles &amp; Raw Stock",MarkupSub_Keys,0))</f>
        <v>0.18</v>
      </c>
      <c r="R1952" s="28" t="n">
        <f aca="false">P1952*(1+Q1952)</f>
        <v>198.5704</v>
      </c>
      <c r="S1952" s="28" t="n">
        <f aca="false">R1952*(1-TradeDiscount)</f>
        <v>174.741952</v>
      </c>
      <c r="T1952" s="28" t="n">
        <f aca="false">R1952*(1-VolumeDiscount)</f>
        <v>158.85632</v>
      </c>
    </row>
    <row r="1953" customFormat="false" ht="15" hidden="false" customHeight="false" outlineLevel="0" collapsed="false">
      <c r="A1953" s="29" t="s">
        <v>4274</v>
      </c>
      <c r="B1953" s="29" t="s">
        <v>124</v>
      </c>
      <c r="C1953" s="29" t="s">
        <v>125</v>
      </c>
      <c r="D1953" s="29" t="s">
        <v>4275</v>
      </c>
      <c r="E1953" s="29" t="s">
        <v>104</v>
      </c>
      <c r="F1953" s="29" t="s">
        <v>4276</v>
      </c>
      <c r="G1953" s="29" t="s">
        <v>35</v>
      </c>
      <c r="H1953" s="29" t="s">
        <v>3148</v>
      </c>
      <c r="I1953" s="29" t="s">
        <v>190</v>
      </c>
      <c r="J1953" s="29" t="s">
        <v>4262</v>
      </c>
      <c r="K1953" s="29" t="s">
        <v>192</v>
      </c>
      <c r="L1953" s="29"/>
      <c r="M1953" s="29"/>
      <c r="N1953" s="29"/>
      <c r="O1953" s="29" t="n">
        <v>5.8</v>
      </c>
      <c r="P1953" s="30" t="n">
        <f aca="false">(O1953*INDEX(ExtShape_Vals,MATCH(E1953,ExtShape_Keys,0))*AlumCostPerKg+O1953*INDEX(Finish_Vals,MATCH(G1953,Finish_Keys,0)))</f>
        <v>168.606</v>
      </c>
      <c r="Q1953" s="31" t="n">
        <f aca="false">INDEX(Markup_Vals,MATCH("Extrusion Profiles &amp; Raw Stock",MarkupSub_Keys,0))</f>
        <v>0.18</v>
      </c>
      <c r="R1953" s="32" t="n">
        <f aca="false">P1953*(1+Q1953)</f>
        <v>198.95508</v>
      </c>
      <c r="S1953" s="32" t="n">
        <f aca="false">R1953*(1-TradeDiscount)</f>
        <v>175.0804704</v>
      </c>
      <c r="T1953" s="32" t="n">
        <f aca="false">R1953*(1-VolumeDiscount)</f>
        <v>159.164064</v>
      </c>
    </row>
    <row r="1954" customFormat="false" ht="15" hidden="false" customHeight="false" outlineLevel="0" collapsed="false">
      <c r="A1954" s="25" t="s">
        <v>4277</v>
      </c>
      <c r="B1954" s="25" t="s">
        <v>124</v>
      </c>
      <c r="C1954" s="25" t="s">
        <v>125</v>
      </c>
      <c r="D1954" s="25" t="s">
        <v>4278</v>
      </c>
      <c r="E1954" s="25" t="s">
        <v>104</v>
      </c>
      <c r="F1954" s="25" t="s">
        <v>4276</v>
      </c>
      <c r="G1954" s="25" t="s">
        <v>36</v>
      </c>
      <c r="H1954" s="25" t="s">
        <v>3148</v>
      </c>
      <c r="I1954" s="25" t="s">
        <v>190</v>
      </c>
      <c r="J1954" s="25" t="s">
        <v>4262</v>
      </c>
      <c r="K1954" s="25" t="s">
        <v>192</v>
      </c>
      <c r="L1954" s="25"/>
      <c r="M1954" s="25"/>
      <c r="N1954" s="25"/>
      <c r="O1954" s="25" t="n">
        <v>5.8</v>
      </c>
      <c r="P1954" s="26" t="n">
        <f aca="false">(O1954*INDEX(ExtShape_Vals,MATCH(E1954,ExtShape_Keys,0))*AlumCostPerKg+O1954*INDEX(Finish_Vals,MATCH(G1954,Finish_Keys,0)))</f>
        <v>244.006</v>
      </c>
      <c r="Q1954" s="27" t="n">
        <f aca="false">INDEX(Markup_Vals,MATCH("Extrusion Profiles &amp; Raw Stock",MarkupSub_Keys,0))</f>
        <v>0.18</v>
      </c>
      <c r="R1954" s="28" t="n">
        <f aca="false">P1954*(1+Q1954)</f>
        <v>287.92708</v>
      </c>
      <c r="S1954" s="28" t="n">
        <f aca="false">R1954*(1-TradeDiscount)</f>
        <v>253.3758304</v>
      </c>
      <c r="T1954" s="28" t="n">
        <f aca="false">R1954*(1-VolumeDiscount)</f>
        <v>230.341664</v>
      </c>
    </row>
    <row r="1955" customFormat="false" ht="15" hidden="false" customHeight="false" outlineLevel="0" collapsed="false">
      <c r="A1955" s="29" t="s">
        <v>4279</v>
      </c>
      <c r="B1955" s="29" t="s">
        <v>124</v>
      </c>
      <c r="C1955" s="29" t="s">
        <v>125</v>
      </c>
      <c r="D1955" s="29" t="s">
        <v>4280</v>
      </c>
      <c r="E1955" s="29" t="s">
        <v>104</v>
      </c>
      <c r="F1955" s="29" t="s">
        <v>4276</v>
      </c>
      <c r="G1955" s="29" t="s">
        <v>37</v>
      </c>
      <c r="H1955" s="29" t="s">
        <v>3148</v>
      </c>
      <c r="I1955" s="29" t="s">
        <v>190</v>
      </c>
      <c r="J1955" s="29" t="s">
        <v>4262</v>
      </c>
      <c r="K1955" s="29" t="s">
        <v>192</v>
      </c>
      <c r="L1955" s="29"/>
      <c r="M1955" s="29"/>
      <c r="N1955" s="29"/>
      <c r="O1955" s="29" t="n">
        <v>5.8</v>
      </c>
      <c r="P1955" s="30" t="n">
        <f aca="false">(O1955*INDEX(ExtShape_Vals,MATCH(E1955,ExtShape_Keys,0))*AlumCostPerKg+O1955*INDEX(Finish_Vals,MATCH(G1955,Finish_Keys,0)))</f>
        <v>244.006</v>
      </c>
      <c r="Q1955" s="31" t="n">
        <f aca="false">INDEX(Markup_Vals,MATCH("Extrusion Profiles &amp; Raw Stock",MarkupSub_Keys,0))</f>
        <v>0.18</v>
      </c>
      <c r="R1955" s="32" t="n">
        <f aca="false">P1955*(1+Q1955)</f>
        <v>287.92708</v>
      </c>
      <c r="S1955" s="32" t="n">
        <f aca="false">R1955*(1-TradeDiscount)</f>
        <v>253.3758304</v>
      </c>
      <c r="T1955" s="32" t="n">
        <f aca="false">R1955*(1-VolumeDiscount)</f>
        <v>230.341664</v>
      </c>
    </row>
    <row r="1956" customFormat="false" ht="15" hidden="false" customHeight="false" outlineLevel="0" collapsed="false">
      <c r="A1956" s="25" t="s">
        <v>4281</v>
      </c>
      <c r="B1956" s="25" t="s">
        <v>124</v>
      </c>
      <c r="C1956" s="25" t="s">
        <v>125</v>
      </c>
      <c r="D1956" s="25" t="s">
        <v>4282</v>
      </c>
      <c r="E1956" s="25" t="s">
        <v>104</v>
      </c>
      <c r="F1956" s="25" t="s">
        <v>4283</v>
      </c>
      <c r="G1956" s="25" t="s">
        <v>35</v>
      </c>
      <c r="H1956" s="25" t="s">
        <v>3148</v>
      </c>
      <c r="I1956" s="25" t="s">
        <v>190</v>
      </c>
      <c r="J1956" s="25" t="s">
        <v>4262</v>
      </c>
      <c r="K1956" s="25" t="s">
        <v>192</v>
      </c>
      <c r="L1956" s="25"/>
      <c r="M1956" s="25"/>
      <c r="N1956" s="25"/>
      <c r="O1956" s="25" t="n">
        <v>6.5</v>
      </c>
      <c r="P1956" s="26" t="n">
        <f aca="false">(O1956*INDEX(ExtShape_Vals,MATCH(E1956,ExtShape_Keys,0))*AlumCostPerKg+O1956*INDEX(Finish_Vals,MATCH(G1956,Finish_Keys,0)))</f>
        <v>188.955</v>
      </c>
      <c r="Q1956" s="27" t="n">
        <f aca="false">INDEX(Markup_Vals,MATCH("Extrusion Profiles &amp; Raw Stock",MarkupSub_Keys,0))</f>
        <v>0.18</v>
      </c>
      <c r="R1956" s="28" t="n">
        <f aca="false">P1956*(1+Q1956)</f>
        <v>222.9669</v>
      </c>
      <c r="S1956" s="28" t="n">
        <f aca="false">R1956*(1-TradeDiscount)</f>
        <v>196.210872</v>
      </c>
      <c r="T1956" s="28" t="n">
        <f aca="false">R1956*(1-VolumeDiscount)</f>
        <v>178.37352</v>
      </c>
    </row>
    <row r="1957" customFormat="false" ht="15" hidden="false" customHeight="false" outlineLevel="0" collapsed="false">
      <c r="A1957" s="29" t="s">
        <v>4284</v>
      </c>
      <c r="B1957" s="29" t="s">
        <v>124</v>
      </c>
      <c r="C1957" s="29" t="s">
        <v>125</v>
      </c>
      <c r="D1957" s="29" t="s">
        <v>4285</v>
      </c>
      <c r="E1957" s="29" t="s">
        <v>104</v>
      </c>
      <c r="F1957" s="29" t="s">
        <v>4283</v>
      </c>
      <c r="G1957" s="29" t="s">
        <v>36</v>
      </c>
      <c r="H1957" s="29" t="s">
        <v>3148</v>
      </c>
      <c r="I1957" s="29" t="s">
        <v>190</v>
      </c>
      <c r="J1957" s="29" t="s">
        <v>4262</v>
      </c>
      <c r="K1957" s="29" t="s">
        <v>192</v>
      </c>
      <c r="L1957" s="29"/>
      <c r="M1957" s="29"/>
      <c r="N1957" s="29"/>
      <c r="O1957" s="29" t="n">
        <v>6.5</v>
      </c>
      <c r="P1957" s="30" t="n">
        <f aca="false">(O1957*INDEX(ExtShape_Vals,MATCH(E1957,ExtShape_Keys,0))*AlumCostPerKg+O1957*INDEX(Finish_Vals,MATCH(G1957,Finish_Keys,0)))</f>
        <v>273.455</v>
      </c>
      <c r="Q1957" s="31" t="n">
        <f aca="false">INDEX(Markup_Vals,MATCH("Extrusion Profiles &amp; Raw Stock",MarkupSub_Keys,0))</f>
        <v>0.18</v>
      </c>
      <c r="R1957" s="32" t="n">
        <f aca="false">P1957*(1+Q1957)</f>
        <v>322.6769</v>
      </c>
      <c r="S1957" s="32" t="n">
        <f aca="false">R1957*(1-TradeDiscount)</f>
        <v>283.955672</v>
      </c>
      <c r="T1957" s="32" t="n">
        <f aca="false">R1957*(1-VolumeDiscount)</f>
        <v>258.14152</v>
      </c>
    </row>
    <row r="1958" customFormat="false" ht="15" hidden="false" customHeight="false" outlineLevel="0" collapsed="false">
      <c r="A1958" s="25" t="s">
        <v>4286</v>
      </c>
      <c r="B1958" s="25" t="s">
        <v>124</v>
      </c>
      <c r="C1958" s="25" t="s">
        <v>125</v>
      </c>
      <c r="D1958" s="25" t="s">
        <v>4287</v>
      </c>
      <c r="E1958" s="25" t="s">
        <v>104</v>
      </c>
      <c r="F1958" s="25" t="s">
        <v>4283</v>
      </c>
      <c r="G1958" s="25" t="s">
        <v>37</v>
      </c>
      <c r="H1958" s="25" t="s">
        <v>3148</v>
      </c>
      <c r="I1958" s="25" t="s">
        <v>190</v>
      </c>
      <c r="J1958" s="25" t="s">
        <v>4262</v>
      </c>
      <c r="K1958" s="25" t="s">
        <v>192</v>
      </c>
      <c r="L1958" s="25"/>
      <c r="M1958" s="25"/>
      <c r="N1958" s="25"/>
      <c r="O1958" s="25" t="n">
        <v>6.5</v>
      </c>
      <c r="P1958" s="26" t="n">
        <f aca="false">(O1958*INDEX(ExtShape_Vals,MATCH(E1958,ExtShape_Keys,0))*AlumCostPerKg+O1958*INDEX(Finish_Vals,MATCH(G1958,Finish_Keys,0)))</f>
        <v>273.455</v>
      </c>
      <c r="Q1958" s="27" t="n">
        <f aca="false">INDEX(Markup_Vals,MATCH("Extrusion Profiles &amp; Raw Stock",MarkupSub_Keys,0))</f>
        <v>0.18</v>
      </c>
      <c r="R1958" s="28" t="n">
        <f aca="false">P1958*(1+Q1958)</f>
        <v>322.6769</v>
      </c>
      <c r="S1958" s="28" t="n">
        <f aca="false">R1958*(1-TradeDiscount)</f>
        <v>283.955672</v>
      </c>
      <c r="T1958" s="28" t="n">
        <f aca="false">R1958*(1-VolumeDiscount)</f>
        <v>258.14152</v>
      </c>
    </row>
    <row r="1959" customFormat="false" ht="15" hidden="false" customHeight="false" outlineLevel="0" collapsed="false">
      <c r="A1959" s="29" t="s">
        <v>4288</v>
      </c>
      <c r="B1959" s="29" t="s">
        <v>124</v>
      </c>
      <c r="C1959" s="29" t="s">
        <v>125</v>
      </c>
      <c r="D1959" s="29" t="s">
        <v>4289</v>
      </c>
      <c r="E1959" s="29" t="s">
        <v>105</v>
      </c>
      <c r="F1959" s="29" t="s">
        <v>4261</v>
      </c>
      <c r="G1959" s="29" t="s">
        <v>35</v>
      </c>
      <c r="H1959" s="29" t="s">
        <v>3148</v>
      </c>
      <c r="I1959" s="29" t="s">
        <v>190</v>
      </c>
      <c r="J1959" s="29" t="s">
        <v>4262</v>
      </c>
      <c r="K1959" s="29" t="s">
        <v>192</v>
      </c>
      <c r="L1959" s="29"/>
      <c r="M1959" s="29"/>
      <c r="N1959" s="29"/>
      <c r="O1959" s="29" t="n">
        <v>3</v>
      </c>
      <c r="P1959" s="30" t="n">
        <f aca="false">(O1959*INDEX(ExtShape_Vals,MATCH(E1959,ExtShape_Keys,0))*AlumCostPerKg+O1959*INDEX(Finish_Vals,MATCH(G1959,Finish_Keys,0)))</f>
        <v>90.54</v>
      </c>
      <c r="Q1959" s="31" t="n">
        <f aca="false">INDEX(Markup_Vals,MATCH("Extrusion Profiles &amp; Raw Stock",MarkupSub_Keys,0))</f>
        <v>0.18</v>
      </c>
      <c r="R1959" s="32" t="n">
        <f aca="false">P1959*(1+Q1959)</f>
        <v>106.8372</v>
      </c>
      <c r="S1959" s="32" t="n">
        <f aca="false">R1959*(1-TradeDiscount)</f>
        <v>94.016736</v>
      </c>
      <c r="T1959" s="32" t="n">
        <f aca="false">R1959*(1-VolumeDiscount)</f>
        <v>85.46976</v>
      </c>
    </row>
    <row r="1960" customFormat="false" ht="15" hidden="false" customHeight="false" outlineLevel="0" collapsed="false">
      <c r="A1960" s="25" t="s">
        <v>4290</v>
      </c>
      <c r="B1960" s="25" t="s">
        <v>124</v>
      </c>
      <c r="C1960" s="25" t="s">
        <v>125</v>
      </c>
      <c r="D1960" s="25" t="s">
        <v>4291</v>
      </c>
      <c r="E1960" s="25" t="s">
        <v>105</v>
      </c>
      <c r="F1960" s="25" t="s">
        <v>4261</v>
      </c>
      <c r="G1960" s="25" t="s">
        <v>36</v>
      </c>
      <c r="H1960" s="25" t="s">
        <v>3148</v>
      </c>
      <c r="I1960" s="25" t="s">
        <v>190</v>
      </c>
      <c r="J1960" s="25" t="s">
        <v>4262</v>
      </c>
      <c r="K1960" s="25" t="s">
        <v>192</v>
      </c>
      <c r="L1960" s="25"/>
      <c r="M1960" s="25"/>
      <c r="N1960" s="25"/>
      <c r="O1960" s="25" t="n">
        <v>3</v>
      </c>
      <c r="P1960" s="26" t="n">
        <f aca="false">(O1960*INDEX(ExtShape_Vals,MATCH(E1960,ExtShape_Keys,0))*AlumCostPerKg+O1960*INDEX(Finish_Vals,MATCH(G1960,Finish_Keys,0)))</f>
        <v>129.54</v>
      </c>
      <c r="Q1960" s="27" t="n">
        <f aca="false">INDEX(Markup_Vals,MATCH("Extrusion Profiles &amp; Raw Stock",MarkupSub_Keys,0))</f>
        <v>0.18</v>
      </c>
      <c r="R1960" s="28" t="n">
        <f aca="false">P1960*(1+Q1960)</f>
        <v>152.8572</v>
      </c>
      <c r="S1960" s="28" t="n">
        <f aca="false">R1960*(1-TradeDiscount)</f>
        <v>134.514336</v>
      </c>
      <c r="T1960" s="28" t="n">
        <f aca="false">R1960*(1-VolumeDiscount)</f>
        <v>122.28576</v>
      </c>
    </row>
    <row r="1961" customFormat="false" ht="15" hidden="false" customHeight="false" outlineLevel="0" collapsed="false">
      <c r="A1961" s="29" t="s">
        <v>4292</v>
      </c>
      <c r="B1961" s="29" t="s">
        <v>124</v>
      </c>
      <c r="C1961" s="29" t="s">
        <v>125</v>
      </c>
      <c r="D1961" s="29" t="s">
        <v>4293</v>
      </c>
      <c r="E1961" s="29" t="s">
        <v>105</v>
      </c>
      <c r="F1961" s="29" t="s">
        <v>4261</v>
      </c>
      <c r="G1961" s="29" t="s">
        <v>37</v>
      </c>
      <c r="H1961" s="29" t="s">
        <v>3148</v>
      </c>
      <c r="I1961" s="29" t="s">
        <v>190</v>
      </c>
      <c r="J1961" s="29" t="s">
        <v>4262</v>
      </c>
      <c r="K1961" s="29" t="s">
        <v>192</v>
      </c>
      <c r="L1961" s="29"/>
      <c r="M1961" s="29"/>
      <c r="N1961" s="29"/>
      <c r="O1961" s="29" t="n">
        <v>3</v>
      </c>
      <c r="P1961" s="30" t="n">
        <f aca="false">(O1961*INDEX(ExtShape_Vals,MATCH(E1961,ExtShape_Keys,0))*AlumCostPerKg+O1961*INDEX(Finish_Vals,MATCH(G1961,Finish_Keys,0)))</f>
        <v>129.54</v>
      </c>
      <c r="Q1961" s="31" t="n">
        <f aca="false">INDEX(Markup_Vals,MATCH("Extrusion Profiles &amp; Raw Stock",MarkupSub_Keys,0))</f>
        <v>0.18</v>
      </c>
      <c r="R1961" s="32" t="n">
        <f aca="false">P1961*(1+Q1961)</f>
        <v>152.8572</v>
      </c>
      <c r="S1961" s="32" t="n">
        <f aca="false">R1961*(1-TradeDiscount)</f>
        <v>134.514336</v>
      </c>
      <c r="T1961" s="32" t="n">
        <f aca="false">R1961*(1-VolumeDiscount)</f>
        <v>122.28576</v>
      </c>
    </row>
    <row r="1962" customFormat="false" ht="15" hidden="false" customHeight="false" outlineLevel="0" collapsed="false">
      <c r="A1962" s="25" t="s">
        <v>4294</v>
      </c>
      <c r="B1962" s="25" t="s">
        <v>124</v>
      </c>
      <c r="C1962" s="25" t="s">
        <v>125</v>
      </c>
      <c r="D1962" s="25" t="s">
        <v>4295</v>
      </c>
      <c r="E1962" s="25" t="s">
        <v>105</v>
      </c>
      <c r="F1962" s="25" t="s">
        <v>4269</v>
      </c>
      <c r="G1962" s="25" t="s">
        <v>35</v>
      </c>
      <c r="H1962" s="25" t="s">
        <v>3148</v>
      </c>
      <c r="I1962" s="25" t="s">
        <v>190</v>
      </c>
      <c r="J1962" s="25" t="s">
        <v>4262</v>
      </c>
      <c r="K1962" s="25" t="s">
        <v>192</v>
      </c>
      <c r="L1962" s="25"/>
      <c r="M1962" s="25"/>
      <c r="N1962" s="25"/>
      <c r="O1962" s="25" t="n">
        <v>4</v>
      </c>
      <c r="P1962" s="26" t="n">
        <f aca="false">(O1962*INDEX(ExtShape_Vals,MATCH(E1962,ExtShape_Keys,0))*AlumCostPerKg+O1962*INDEX(Finish_Vals,MATCH(G1962,Finish_Keys,0)))</f>
        <v>120.72</v>
      </c>
      <c r="Q1962" s="27" t="n">
        <f aca="false">INDEX(Markup_Vals,MATCH("Extrusion Profiles &amp; Raw Stock",MarkupSub_Keys,0))</f>
        <v>0.18</v>
      </c>
      <c r="R1962" s="28" t="n">
        <f aca="false">P1962*(1+Q1962)</f>
        <v>142.4496</v>
      </c>
      <c r="S1962" s="28" t="n">
        <f aca="false">R1962*(1-TradeDiscount)</f>
        <v>125.355648</v>
      </c>
      <c r="T1962" s="28" t="n">
        <f aca="false">R1962*(1-VolumeDiscount)</f>
        <v>113.95968</v>
      </c>
    </row>
    <row r="1963" customFormat="false" ht="15" hidden="false" customHeight="false" outlineLevel="0" collapsed="false">
      <c r="A1963" s="29" t="s">
        <v>4296</v>
      </c>
      <c r="B1963" s="29" t="s">
        <v>124</v>
      </c>
      <c r="C1963" s="29" t="s">
        <v>125</v>
      </c>
      <c r="D1963" s="29" t="s">
        <v>4297</v>
      </c>
      <c r="E1963" s="29" t="s">
        <v>105</v>
      </c>
      <c r="F1963" s="29" t="s">
        <v>4269</v>
      </c>
      <c r="G1963" s="29" t="s">
        <v>36</v>
      </c>
      <c r="H1963" s="29" t="s">
        <v>3148</v>
      </c>
      <c r="I1963" s="29" t="s">
        <v>190</v>
      </c>
      <c r="J1963" s="29" t="s">
        <v>4262</v>
      </c>
      <c r="K1963" s="29" t="s">
        <v>192</v>
      </c>
      <c r="L1963" s="29"/>
      <c r="M1963" s="29"/>
      <c r="N1963" s="29"/>
      <c r="O1963" s="29" t="n">
        <v>4</v>
      </c>
      <c r="P1963" s="30" t="n">
        <f aca="false">(O1963*INDEX(ExtShape_Vals,MATCH(E1963,ExtShape_Keys,0))*AlumCostPerKg+O1963*INDEX(Finish_Vals,MATCH(G1963,Finish_Keys,0)))</f>
        <v>172.72</v>
      </c>
      <c r="Q1963" s="31" t="n">
        <f aca="false">INDEX(Markup_Vals,MATCH("Extrusion Profiles &amp; Raw Stock",MarkupSub_Keys,0))</f>
        <v>0.18</v>
      </c>
      <c r="R1963" s="32" t="n">
        <f aca="false">P1963*(1+Q1963)</f>
        <v>203.8096</v>
      </c>
      <c r="S1963" s="32" t="n">
        <f aca="false">R1963*(1-TradeDiscount)</f>
        <v>179.352448</v>
      </c>
      <c r="T1963" s="32" t="n">
        <f aca="false">R1963*(1-VolumeDiscount)</f>
        <v>163.04768</v>
      </c>
    </row>
    <row r="1964" customFormat="false" ht="15" hidden="false" customHeight="false" outlineLevel="0" collapsed="false">
      <c r="A1964" s="25" t="s">
        <v>4298</v>
      </c>
      <c r="B1964" s="25" t="s">
        <v>124</v>
      </c>
      <c r="C1964" s="25" t="s">
        <v>125</v>
      </c>
      <c r="D1964" s="25" t="s">
        <v>4299</v>
      </c>
      <c r="E1964" s="25" t="s">
        <v>105</v>
      </c>
      <c r="F1964" s="25" t="s">
        <v>4269</v>
      </c>
      <c r="G1964" s="25" t="s">
        <v>37</v>
      </c>
      <c r="H1964" s="25" t="s">
        <v>3148</v>
      </c>
      <c r="I1964" s="25" t="s">
        <v>190</v>
      </c>
      <c r="J1964" s="25" t="s">
        <v>4262</v>
      </c>
      <c r="K1964" s="25" t="s">
        <v>192</v>
      </c>
      <c r="L1964" s="25"/>
      <c r="M1964" s="25"/>
      <c r="N1964" s="25"/>
      <c r="O1964" s="25" t="n">
        <v>4</v>
      </c>
      <c r="P1964" s="26" t="n">
        <f aca="false">(O1964*INDEX(ExtShape_Vals,MATCH(E1964,ExtShape_Keys,0))*AlumCostPerKg+O1964*INDEX(Finish_Vals,MATCH(G1964,Finish_Keys,0)))</f>
        <v>172.72</v>
      </c>
      <c r="Q1964" s="27" t="n">
        <f aca="false">INDEX(Markup_Vals,MATCH("Extrusion Profiles &amp; Raw Stock",MarkupSub_Keys,0))</f>
        <v>0.18</v>
      </c>
      <c r="R1964" s="28" t="n">
        <f aca="false">P1964*(1+Q1964)</f>
        <v>203.8096</v>
      </c>
      <c r="S1964" s="28" t="n">
        <f aca="false">R1964*(1-TradeDiscount)</f>
        <v>179.352448</v>
      </c>
      <c r="T1964" s="28" t="n">
        <f aca="false">R1964*(1-VolumeDiscount)</f>
        <v>163.04768</v>
      </c>
    </row>
    <row r="1965" customFormat="false" ht="15" hidden="false" customHeight="false" outlineLevel="0" collapsed="false">
      <c r="A1965" s="29" t="s">
        <v>4300</v>
      </c>
      <c r="B1965" s="29" t="s">
        <v>124</v>
      </c>
      <c r="C1965" s="29" t="s">
        <v>125</v>
      </c>
      <c r="D1965" s="29" t="s">
        <v>4301</v>
      </c>
      <c r="E1965" s="29" t="s">
        <v>105</v>
      </c>
      <c r="F1965" s="29" t="s">
        <v>4276</v>
      </c>
      <c r="G1965" s="29" t="s">
        <v>35</v>
      </c>
      <c r="H1965" s="29" t="s">
        <v>3148</v>
      </c>
      <c r="I1965" s="29" t="s">
        <v>190</v>
      </c>
      <c r="J1965" s="29" t="s">
        <v>4262</v>
      </c>
      <c r="K1965" s="29" t="s">
        <v>192</v>
      </c>
      <c r="L1965" s="29"/>
      <c r="M1965" s="29"/>
      <c r="N1965" s="29"/>
      <c r="O1965" s="29" t="n">
        <v>5.8</v>
      </c>
      <c r="P1965" s="30" t="n">
        <f aca="false">(O1965*INDEX(ExtShape_Vals,MATCH(E1965,ExtShape_Keys,0))*AlumCostPerKg+O1965*INDEX(Finish_Vals,MATCH(G1965,Finish_Keys,0)))</f>
        <v>175.044</v>
      </c>
      <c r="Q1965" s="31" t="n">
        <f aca="false">INDEX(Markup_Vals,MATCH("Extrusion Profiles &amp; Raw Stock",MarkupSub_Keys,0))</f>
        <v>0.18</v>
      </c>
      <c r="R1965" s="32" t="n">
        <f aca="false">P1965*(1+Q1965)</f>
        <v>206.55192</v>
      </c>
      <c r="S1965" s="32" t="n">
        <f aca="false">R1965*(1-TradeDiscount)</f>
        <v>181.7656896</v>
      </c>
      <c r="T1965" s="32" t="n">
        <f aca="false">R1965*(1-VolumeDiscount)</f>
        <v>165.241536</v>
      </c>
    </row>
    <row r="1966" customFormat="false" ht="15" hidden="false" customHeight="false" outlineLevel="0" collapsed="false">
      <c r="A1966" s="25" t="s">
        <v>4302</v>
      </c>
      <c r="B1966" s="25" t="s">
        <v>124</v>
      </c>
      <c r="C1966" s="25" t="s">
        <v>125</v>
      </c>
      <c r="D1966" s="25" t="s">
        <v>4303</v>
      </c>
      <c r="E1966" s="25" t="s">
        <v>105</v>
      </c>
      <c r="F1966" s="25" t="s">
        <v>4276</v>
      </c>
      <c r="G1966" s="25" t="s">
        <v>36</v>
      </c>
      <c r="H1966" s="25" t="s">
        <v>3148</v>
      </c>
      <c r="I1966" s="25" t="s">
        <v>190</v>
      </c>
      <c r="J1966" s="25" t="s">
        <v>4262</v>
      </c>
      <c r="K1966" s="25" t="s">
        <v>192</v>
      </c>
      <c r="L1966" s="25"/>
      <c r="M1966" s="25"/>
      <c r="N1966" s="25"/>
      <c r="O1966" s="25" t="n">
        <v>5.8</v>
      </c>
      <c r="P1966" s="26" t="n">
        <f aca="false">(O1966*INDEX(ExtShape_Vals,MATCH(E1966,ExtShape_Keys,0))*AlumCostPerKg+O1966*INDEX(Finish_Vals,MATCH(G1966,Finish_Keys,0)))</f>
        <v>250.444</v>
      </c>
      <c r="Q1966" s="27" t="n">
        <f aca="false">INDEX(Markup_Vals,MATCH("Extrusion Profiles &amp; Raw Stock",MarkupSub_Keys,0))</f>
        <v>0.18</v>
      </c>
      <c r="R1966" s="28" t="n">
        <f aca="false">P1966*(1+Q1966)</f>
        <v>295.52392</v>
      </c>
      <c r="S1966" s="28" t="n">
        <f aca="false">R1966*(1-TradeDiscount)</f>
        <v>260.0610496</v>
      </c>
      <c r="T1966" s="28" t="n">
        <f aca="false">R1966*(1-VolumeDiscount)</f>
        <v>236.419136</v>
      </c>
    </row>
    <row r="1967" customFormat="false" ht="15" hidden="false" customHeight="false" outlineLevel="0" collapsed="false">
      <c r="A1967" s="29" t="s">
        <v>4304</v>
      </c>
      <c r="B1967" s="29" t="s">
        <v>124</v>
      </c>
      <c r="C1967" s="29" t="s">
        <v>125</v>
      </c>
      <c r="D1967" s="29" t="s">
        <v>4305</v>
      </c>
      <c r="E1967" s="29" t="s">
        <v>105</v>
      </c>
      <c r="F1967" s="29" t="s">
        <v>4276</v>
      </c>
      <c r="G1967" s="29" t="s">
        <v>37</v>
      </c>
      <c r="H1967" s="29" t="s">
        <v>3148</v>
      </c>
      <c r="I1967" s="29" t="s">
        <v>190</v>
      </c>
      <c r="J1967" s="29" t="s">
        <v>4262</v>
      </c>
      <c r="K1967" s="29" t="s">
        <v>192</v>
      </c>
      <c r="L1967" s="29"/>
      <c r="M1967" s="29"/>
      <c r="N1967" s="29"/>
      <c r="O1967" s="29" t="n">
        <v>5.8</v>
      </c>
      <c r="P1967" s="30" t="n">
        <f aca="false">(O1967*INDEX(ExtShape_Vals,MATCH(E1967,ExtShape_Keys,0))*AlumCostPerKg+O1967*INDEX(Finish_Vals,MATCH(G1967,Finish_Keys,0)))</f>
        <v>250.444</v>
      </c>
      <c r="Q1967" s="31" t="n">
        <f aca="false">INDEX(Markup_Vals,MATCH("Extrusion Profiles &amp; Raw Stock",MarkupSub_Keys,0))</f>
        <v>0.18</v>
      </c>
      <c r="R1967" s="32" t="n">
        <f aca="false">P1967*(1+Q1967)</f>
        <v>295.52392</v>
      </c>
      <c r="S1967" s="32" t="n">
        <f aca="false">R1967*(1-TradeDiscount)</f>
        <v>260.0610496</v>
      </c>
      <c r="T1967" s="32" t="n">
        <f aca="false">R1967*(1-VolumeDiscount)</f>
        <v>236.419136</v>
      </c>
    </row>
    <row r="1968" customFormat="false" ht="15" hidden="false" customHeight="false" outlineLevel="0" collapsed="false">
      <c r="A1968" s="25" t="s">
        <v>4306</v>
      </c>
      <c r="B1968" s="25" t="s">
        <v>124</v>
      </c>
      <c r="C1968" s="25" t="s">
        <v>125</v>
      </c>
      <c r="D1968" s="25" t="s">
        <v>4307</v>
      </c>
      <c r="E1968" s="25" t="s">
        <v>105</v>
      </c>
      <c r="F1968" s="25" t="s">
        <v>4283</v>
      </c>
      <c r="G1968" s="25" t="s">
        <v>35</v>
      </c>
      <c r="H1968" s="25" t="s">
        <v>3148</v>
      </c>
      <c r="I1968" s="25" t="s">
        <v>190</v>
      </c>
      <c r="J1968" s="25" t="s">
        <v>4262</v>
      </c>
      <c r="K1968" s="25" t="s">
        <v>192</v>
      </c>
      <c r="L1968" s="25"/>
      <c r="M1968" s="25"/>
      <c r="N1968" s="25"/>
      <c r="O1968" s="25" t="n">
        <v>6.5</v>
      </c>
      <c r="P1968" s="26" t="n">
        <f aca="false">(O1968*INDEX(ExtShape_Vals,MATCH(E1968,ExtShape_Keys,0))*AlumCostPerKg+O1968*INDEX(Finish_Vals,MATCH(G1968,Finish_Keys,0)))</f>
        <v>196.17</v>
      </c>
      <c r="Q1968" s="27" t="n">
        <f aca="false">INDEX(Markup_Vals,MATCH("Extrusion Profiles &amp; Raw Stock",MarkupSub_Keys,0))</f>
        <v>0.18</v>
      </c>
      <c r="R1968" s="28" t="n">
        <f aca="false">P1968*(1+Q1968)</f>
        <v>231.4806</v>
      </c>
      <c r="S1968" s="28" t="n">
        <f aca="false">R1968*(1-TradeDiscount)</f>
        <v>203.702928</v>
      </c>
      <c r="T1968" s="28" t="n">
        <f aca="false">R1968*(1-VolumeDiscount)</f>
        <v>185.18448</v>
      </c>
    </row>
    <row r="1969" customFormat="false" ht="15" hidden="false" customHeight="false" outlineLevel="0" collapsed="false">
      <c r="A1969" s="29" t="s">
        <v>4308</v>
      </c>
      <c r="B1969" s="29" t="s">
        <v>124</v>
      </c>
      <c r="C1969" s="29" t="s">
        <v>125</v>
      </c>
      <c r="D1969" s="29" t="s">
        <v>4309</v>
      </c>
      <c r="E1969" s="29" t="s">
        <v>105</v>
      </c>
      <c r="F1969" s="29" t="s">
        <v>4283</v>
      </c>
      <c r="G1969" s="29" t="s">
        <v>36</v>
      </c>
      <c r="H1969" s="29" t="s">
        <v>3148</v>
      </c>
      <c r="I1969" s="29" t="s">
        <v>190</v>
      </c>
      <c r="J1969" s="29" t="s">
        <v>4262</v>
      </c>
      <c r="K1969" s="29" t="s">
        <v>192</v>
      </c>
      <c r="L1969" s="29"/>
      <c r="M1969" s="29"/>
      <c r="N1969" s="29"/>
      <c r="O1969" s="29" t="n">
        <v>6.5</v>
      </c>
      <c r="P1969" s="30" t="n">
        <f aca="false">(O1969*INDEX(ExtShape_Vals,MATCH(E1969,ExtShape_Keys,0))*AlumCostPerKg+O1969*INDEX(Finish_Vals,MATCH(G1969,Finish_Keys,0)))</f>
        <v>280.67</v>
      </c>
      <c r="Q1969" s="31" t="n">
        <f aca="false">INDEX(Markup_Vals,MATCH("Extrusion Profiles &amp; Raw Stock",MarkupSub_Keys,0))</f>
        <v>0.18</v>
      </c>
      <c r="R1969" s="32" t="n">
        <f aca="false">P1969*(1+Q1969)</f>
        <v>331.1906</v>
      </c>
      <c r="S1969" s="32" t="n">
        <f aca="false">R1969*(1-TradeDiscount)</f>
        <v>291.447728</v>
      </c>
      <c r="T1969" s="32" t="n">
        <f aca="false">R1969*(1-VolumeDiscount)</f>
        <v>264.95248</v>
      </c>
    </row>
    <row r="1970" customFormat="false" ht="15" hidden="false" customHeight="false" outlineLevel="0" collapsed="false">
      <c r="A1970" s="25" t="s">
        <v>4310</v>
      </c>
      <c r="B1970" s="25" t="s">
        <v>124</v>
      </c>
      <c r="C1970" s="25" t="s">
        <v>125</v>
      </c>
      <c r="D1970" s="25" t="s">
        <v>4311</v>
      </c>
      <c r="E1970" s="25" t="s">
        <v>105</v>
      </c>
      <c r="F1970" s="25" t="s">
        <v>4283</v>
      </c>
      <c r="G1970" s="25" t="s">
        <v>37</v>
      </c>
      <c r="H1970" s="25" t="s">
        <v>3148</v>
      </c>
      <c r="I1970" s="25" t="s">
        <v>190</v>
      </c>
      <c r="J1970" s="25" t="s">
        <v>4262</v>
      </c>
      <c r="K1970" s="25" t="s">
        <v>192</v>
      </c>
      <c r="L1970" s="25"/>
      <c r="M1970" s="25"/>
      <c r="N1970" s="25"/>
      <c r="O1970" s="25" t="n">
        <v>6.5</v>
      </c>
      <c r="P1970" s="26" t="n">
        <f aca="false">(O1970*INDEX(ExtShape_Vals,MATCH(E1970,ExtShape_Keys,0))*AlumCostPerKg+O1970*INDEX(Finish_Vals,MATCH(G1970,Finish_Keys,0)))</f>
        <v>280.67</v>
      </c>
      <c r="Q1970" s="27" t="n">
        <f aca="false">INDEX(Markup_Vals,MATCH("Extrusion Profiles &amp; Raw Stock",MarkupSub_Keys,0))</f>
        <v>0.18</v>
      </c>
      <c r="R1970" s="28" t="n">
        <f aca="false">P1970*(1+Q1970)</f>
        <v>331.1906</v>
      </c>
      <c r="S1970" s="28" t="n">
        <f aca="false">R1970*(1-TradeDiscount)</f>
        <v>291.447728</v>
      </c>
      <c r="T1970" s="28" t="n">
        <f aca="false">R1970*(1-VolumeDiscount)</f>
        <v>264.95248</v>
      </c>
    </row>
    <row r="1971" customFormat="false" ht="15" hidden="false" customHeight="false" outlineLevel="0" collapsed="false">
      <c r="A1971" s="29" t="s">
        <v>4312</v>
      </c>
      <c r="B1971" s="29" t="s">
        <v>124</v>
      </c>
      <c r="C1971" s="29" t="s">
        <v>125</v>
      </c>
      <c r="D1971" s="29" t="s">
        <v>4313</v>
      </c>
      <c r="E1971" s="29" t="s">
        <v>106</v>
      </c>
      <c r="F1971" s="29" t="s">
        <v>4261</v>
      </c>
      <c r="G1971" s="29" t="s">
        <v>35</v>
      </c>
      <c r="H1971" s="29" t="s">
        <v>3148</v>
      </c>
      <c r="I1971" s="29" t="s">
        <v>190</v>
      </c>
      <c r="J1971" s="29" t="s">
        <v>4262</v>
      </c>
      <c r="K1971" s="29" t="s">
        <v>192</v>
      </c>
      <c r="L1971" s="29"/>
      <c r="M1971" s="29"/>
      <c r="N1971" s="29"/>
      <c r="O1971" s="29" t="n">
        <v>3</v>
      </c>
      <c r="P1971" s="30" t="n">
        <f aca="false">(O1971*INDEX(ExtShape_Vals,MATCH(E1971,ExtShape_Keys,0))*AlumCostPerKg+O1971*INDEX(Finish_Vals,MATCH(G1971,Finish_Keys,0)))</f>
        <v>103.86</v>
      </c>
      <c r="Q1971" s="31" t="n">
        <f aca="false">INDEX(Markup_Vals,MATCH("Extrusion Profiles &amp; Raw Stock",MarkupSub_Keys,0))</f>
        <v>0.18</v>
      </c>
      <c r="R1971" s="32" t="n">
        <f aca="false">P1971*(1+Q1971)</f>
        <v>122.5548</v>
      </c>
      <c r="S1971" s="32" t="n">
        <f aca="false">R1971*(1-TradeDiscount)</f>
        <v>107.848224</v>
      </c>
      <c r="T1971" s="32" t="n">
        <f aca="false">R1971*(1-VolumeDiscount)</f>
        <v>98.04384</v>
      </c>
    </row>
    <row r="1972" customFormat="false" ht="15" hidden="false" customHeight="false" outlineLevel="0" collapsed="false">
      <c r="A1972" s="25" t="s">
        <v>4314</v>
      </c>
      <c r="B1972" s="25" t="s">
        <v>124</v>
      </c>
      <c r="C1972" s="25" t="s">
        <v>125</v>
      </c>
      <c r="D1972" s="25" t="s">
        <v>4315</v>
      </c>
      <c r="E1972" s="25" t="s">
        <v>106</v>
      </c>
      <c r="F1972" s="25" t="s">
        <v>4261</v>
      </c>
      <c r="G1972" s="25" t="s">
        <v>36</v>
      </c>
      <c r="H1972" s="25" t="s">
        <v>3148</v>
      </c>
      <c r="I1972" s="25" t="s">
        <v>190</v>
      </c>
      <c r="J1972" s="25" t="s">
        <v>4262</v>
      </c>
      <c r="K1972" s="25" t="s">
        <v>192</v>
      </c>
      <c r="L1972" s="25"/>
      <c r="M1972" s="25"/>
      <c r="N1972" s="25"/>
      <c r="O1972" s="25" t="n">
        <v>3</v>
      </c>
      <c r="P1972" s="26" t="n">
        <f aca="false">(O1972*INDEX(ExtShape_Vals,MATCH(E1972,ExtShape_Keys,0))*AlumCostPerKg+O1972*INDEX(Finish_Vals,MATCH(G1972,Finish_Keys,0)))</f>
        <v>142.86</v>
      </c>
      <c r="Q1972" s="27" t="n">
        <f aca="false">INDEX(Markup_Vals,MATCH("Extrusion Profiles &amp; Raw Stock",MarkupSub_Keys,0))</f>
        <v>0.18</v>
      </c>
      <c r="R1972" s="28" t="n">
        <f aca="false">P1972*(1+Q1972)</f>
        <v>168.5748</v>
      </c>
      <c r="S1972" s="28" t="n">
        <f aca="false">R1972*(1-TradeDiscount)</f>
        <v>148.345824</v>
      </c>
      <c r="T1972" s="28" t="n">
        <f aca="false">R1972*(1-VolumeDiscount)</f>
        <v>134.85984</v>
      </c>
    </row>
    <row r="1973" customFormat="false" ht="15" hidden="false" customHeight="false" outlineLevel="0" collapsed="false">
      <c r="A1973" s="29" t="s">
        <v>4316</v>
      </c>
      <c r="B1973" s="29" t="s">
        <v>124</v>
      </c>
      <c r="C1973" s="29" t="s">
        <v>125</v>
      </c>
      <c r="D1973" s="29" t="s">
        <v>4317</v>
      </c>
      <c r="E1973" s="29" t="s">
        <v>106</v>
      </c>
      <c r="F1973" s="29" t="s">
        <v>4261</v>
      </c>
      <c r="G1973" s="29" t="s">
        <v>37</v>
      </c>
      <c r="H1973" s="29" t="s">
        <v>3148</v>
      </c>
      <c r="I1973" s="29" t="s">
        <v>190</v>
      </c>
      <c r="J1973" s="29" t="s">
        <v>4262</v>
      </c>
      <c r="K1973" s="29" t="s">
        <v>192</v>
      </c>
      <c r="L1973" s="29"/>
      <c r="M1973" s="29"/>
      <c r="N1973" s="29"/>
      <c r="O1973" s="29" t="n">
        <v>3</v>
      </c>
      <c r="P1973" s="30" t="n">
        <f aca="false">(O1973*INDEX(ExtShape_Vals,MATCH(E1973,ExtShape_Keys,0))*AlumCostPerKg+O1973*INDEX(Finish_Vals,MATCH(G1973,Finish_Keys,0)))</f>
        <v>142.86</v>
      </c>
      <c r="Q1973" s="31" t="n">
        <f aca="false">INDEX(Markup_Vals,MATCH("Extrusion Profiles &amp; Raw Stock",MarkupSub_Keys,0))</f>
        <v>0.18</v>
      </c>
      <c r="R1973" s="32" t="n">
        <f aca="false">P1973*(1+Q1973)</f>
        <v>168.5748</v>
      </c>
      <c r="S1973" s="32" t="n">
        <f aca="false">R1973*(1-TradeDiscount)</f>
        <v>148.345824</v>
      </c>
      <c r="T1973" s="32" t="n">
        <f aca="false">R1973*(1-VolumeDiscount)</f>
        <v>134.85984</v>
      </c>
    </row>
    <row r="1974" customFormat="false" ht="15" hidden="false" customHeight="false" outlineLevel="0" collapsed="false">
      <c r="A1974" s="25" t="s">
        <v>4318</v>
      </c>
      <c r="B1974" s="25" t="s">
        <v>124</v>
      </c>
      <c r="C1974" s="25" t="s">
        <v>125</v>
      </c>
      <c r="D1974" s="25" t="s">
        <v>4319</v>
      </c>
      <c r="E1974" s="25" t="s">
        <v>106</v>
      </c>
      <c r="F1974" s="25" t="s">
        <v>4269</v>
      </c>
      <c r="G1974" s="25" t="s">
        <v>35</v>
      </c>
      <c r="H1974" s="25" t="s">
        <v>3148</v>
      </c>
      <c r="I1974" s="25" t="s">
        <v>190</v>
      </c>
      <c r="J1974" s="25" t="s">
        <v>4262</v>
      </c>
      <c r="K1974" s="25" t="s">
        <v>192</v>
      </c>
      <c r="L1974" s="25"/>
      <c r="M1974" s="25"/>
      <c r="N1974" s="25"/>
      <c r="O1974" s="25" t="n">
        <v>4</v>
      </c>
      <c r="P1974" s="26" t="n">
        <f aca="false">(O1974*INDEX(ExtShape_Vals,MATCH(E1974,ExtShape_Keys,0))*AlumCostPerKg+O1974*INDEX(Finish_Vals,MATCH(G1974,Finish_Keys,0)))</f>
        <v>138.48</v>
      </c>
      <c r="Q1974" s="27" t="n">
        <f aca="false">INDEX(Markup_Vals,MATCH("Extrusion Profiles &amp; Raw Stock",MarkupSub_Keys,0))</f>
        <v>0.18</v>
      </c>
      <c r="R1974" s="28" t="n">
        <f aca="false">P1974*(1+Q1974)</f>
        <v>163.4064</v>
      </c>
      <c r="S1974" s="28" t="n">
        <f aca="false">R1974*(1-TradeDiscount)</f>
        <v>143.797632</v>
      </c>
      <c r="T1974" s="28" t="n">
        <f aca="false">R1974*(1-VolumeDiscount)</f>
        <v>130.72512</v>
      </c>
    </row>
    <row r="1975" customFormat="false" ht="15" hidden="false" customHeight="false" outlineLevel="0" collapsed="false">
      <c r="A1975" s="29" t="s">
        <v>4320</v>
      </c>
      <c r="B1975" s="29" t="s">
        <v>124</v>
      </c>
      <c r="C1975" s="29" t="s">
        <v>125</v>
      </c>
      <c r="D1975" s="29" t="s">
        <v>4321</v>
      </c>
      <c r="E1975" s="29" t="s">
        <v>106</v>
      </c>
      <c r="F1975" s="29" t="s">
        <v>4269</v>
      </c>
      <c r="G1975" s="29" t="s">
        <v>36</v>
      </c>
      <c r="H1975" s="29" t="s">
        <v>3148</v>
      </c>
      <c r="I1975" s="29" t="s">
        <v>190</v>
      </c>
      <c r="J1975" s="29" t="s">
        <v>4262</v>
      </c>
      <c r="K1975" s="29" t="s">
        <v>192</v>
      </c>
      <c r="L1975" s="29"/>
      <c r="M1975" s="29"/>
      <c r="N1975" s="29"/>
      <c r="O1975" s="29" t="n">
        <v>4</v>
      </c>
      <c r="P1975" s="30" t="n">
        <f aca="false">(O1975*INDEX(ExtShape_Vals,MATCH(E1975,ExtShape_Keys,0))*AlumCostPerKg+O1975*INDEX(Finish_Vals,MATCH(G1975,Finish_Keys,0)))</f>
        <v>190.48</v>
      </c>
      <c r="Q1975" s="31" t="n">
        <f aca="false">INDEX(Markup_Vals,MATCH("Extrusion Profiles &amp; Raw Stock",MarkupSub_Keys,0))</f>
        <v>0.18</v>
      </c>
      <c r="R1975" s="32" t="n">
        <f aca="false">P1975*(1+Q1975)</f>
        <v>224.7664</v>
      </c>
      <c r="S1975" s="32" t="n">
        <f aca="false">R1975*(1-TradeDiscount)</f>
        <v>197.794432</v>
      </c>
      <c r="T1975" s="32" t="n">
        <f aca="false">R1975*(1-VolumeDiscount)</f>
        <v>179.81312</v>
      </c>
    </row>
    <row r="1976" customFormat="false" ht="15" hidden="false" customHeight="false" outlineLevel="0" collapsed="false">
      <c r="A1976" s="25" t="s">
        <v>4322</v>
      </c>
      <c r="B1976" s="25" t="s">
        <v>124</v>
      </c>
      <c r="C1976" s="25" t="s">
        <v>125</v>
      </c>
      <c r="D1976" s="25" t="s">
        <v>4323</v>
      </c>
      <c r="E1976" s="25" t="s">
        <v>106</v>
      </c>
      <c r="F1976" s="25" t="s">
        <v>4269</v>
      </c>
      <c r="G1976" s="25" t="s">
        <v>37</v>
      </c>
      <c r="H1976" s="25" t="s">
        <v>3148</v>
      </c>
      <c r="I1976" s="25" t="s">
        <v>190</v>
      </c>
      <c r="J1976" s="25" t="s">
        <v>4262</v>
      </c>
      <c r="K1976" s="25" t="s">
        <v>192</v>
      </c>
      <c r="L1976" s="25"/>
      <c r="M1976" s="25"/>
      <c r="N1976" s="25"/>
      <c r="O1976" s="25" t="n">
        <v>4</v>
      </c>
      <c r="P1976" s="26" t="n">
        <f aca="false">(O1976*INDEX(ExtShape_Vals,MATCH(E1976,ExtShape_Keys,0))*AlumCostPerKg+O1976*INDEX(Finish_Vals,MATCH(G1976,Finish_Keys,0)))</f>
        <v>190.48</v>
      </c>
      <c r="Q1976" s="27" t="n">
        <f aca="false">INDEX(Markup_Vals,MATCH("Extrusion Profiles &amp; Raw Stock",MarkupSub_Keys,0))</f>
        <v>0.18</v>
      </c>
      <c r="R1976" s="28" t="n">
        <f aca="false">P1976*(1+Q1976)</f>
        <v>224.7664</v>
      </c>
      <c r="S1976" s="28" t="n">
        <f aca="false">R1976*(1-TradeDiscount)</f>
        <v>197.794432</v>
      </c>
      <c r="T1976" s="28" t="n">
        <f aca="false">R1976*(1-VolumeDiscount)</f>
        <v>179.81312</v>
      </c>
    </row>
    <row r="1977" customFormat="false" ht="15" hidden="false" customHeight="false" outlineLevel="0" collapsed="false">
      <c r="A1977" s="29" t="s">
        <v>4324</v>
      </c>
      <c r="B1977" s="29" t="s">
        <v>124</v>
      </c>
      <c r="C1977" s="29" t="s">
        <v>125</v>
      </c>
      <c r="D1977" s="29" t="s">
        <v>4325</v>
      </c>
      <c r="E1977" s="29" t="s">
        <v>106</v>
      </c>
      <c r="F1977" s="29" t="s">
        <v>4276</v>
      </c>
      <c r="G1977" s="29" t="s">
        <v>35</v>
      </c>
      <c r="H1977" s="29" t="s">
        <v>3148</v>
      </c>
      <c r="I1977" s="29" t="s">
        <v>190</v>
      </c>
      <c r="J1977" s="29" t="s">
        <v>4262</v>
      </c>
      <c r="K1977" s="29" t="s">
        <v>192</v>
      </c>
      <c r="L1977" s="29"/>
      <c r="M1977" s="29"/>
      <c r="N1977" s="29"/>
      <c r="O1977" s="29" t="n">
        <v>5.8</v>
      </c>
      <c r="P1977" s="30" t="n">
        <f aca="false">(O1977*INDEX(ExtShape_Vals,MATCH(E1977,ExtShape_Keys,0))*AlumCostPerKg+O1977*INDEX(Finish_Vals,MATCH(G1977,Finish_Keys,0)))</f>
        <v>200.796</v>
      </c>
      <c r="Q1977" s="31" t="n">
        <f aca="false">INDEX(Markup_Vals,MATCH("Extrusion Profiles &amp; Raw Stock",MarkupSub_Keys,0))</f>
        <v>0.18</v>
      </c>
      <c r="R1977" s="32" t="n">
        <f aca="false">P1977*(1+Q1977)</f>
        <v>236.93928</v>
      </c>
      <c r="S1977" s="32" t="n">
        <f aca="false">R1977*(1-TradeDiscount)</f>
        <v>208.5065664</v>
      </c>
      <c r="T1977" s="32" t="n">
        <f aca="false">R1977*(1-VolumeDiscount)</f>
        <v>189.551424</v>
      </c>
    </row>
    <row r="1978" customFormat="false" ht="15" hidden="false" customHeight="false" outlineLevel="0" collapsed="false">
      <c r="A1978" s="25" t="s">
        <v>4326</v>
      </c>
      <c r="B1978" s="25" t="s">
        <v>124</v>
      </c>
      <c r="C1978" s="25" t="s">
        <v>125</v>
      </c>
      <c r="D1978" s="25" t="s">
        <v>4327</v>
      </c>
      <c r="E1978" s="25" t="s">
        <v>106</v>
      </c>
      <c r="F1978" s="25" t="s">
        <v>4276</v>
      </c>
      <c r="G1978" s="25" t="s">
        <v>36</v>
      </c>
      <c r="H1978" s="25" t="s">
        <v>3148</v>
      </c>
      <c r="I1978" s="25" t="s">
        <v>190</v>
      </c>
      <c r="J1978" s="25" t="s">
        <v>4262</v>
      </c>
      <c r="K1978" s="25" t="s">
        <v>192</v>
      </c>
      <c r="L1978" s="25"/>
      <c r="M1978" s="25"/>
      <c r="N1978" s="25"/>
      <c r="O1978" s="25" t="n">
        <v>5.8</v>
      </c>
      <c r="P1978" s="26" t="n">
        <f aca="false">(O1978*INDEX(ExtShape_Vals,MATCH(E1978,ExtShape_Keys,0))*AlumCostPerKg+O1978*INDEX(Finish_Vals,MATCH(G1978,Finish_Keys,0)))</f>
        <v>276.196</v>
      </c>
      <c r="Q1978" s="27" t="n">
        <f aca="false">INDEX(Markup_Vals,MATCH("Extrusion Profiles &amp; Raw Stock",MarkupSub_Keys,0))</f>
        <v>0.18</v>
      </c>
      <c r="R1978" s="28" t="n">
        <f aca="false">P1978*(1+Q1978)</f>
        <v>325.91128</v>
      </c>
      <c r="S1978" s="28" t="n">
        <f aca="false">R1978*(1-TradeDiscount)</f>
        <v>286.8019264</v>
      </c>
      <c r="T1978" s="28" t="n">
        <f aca="false">R1978*(1-VolumeDiscount)</f>
        <v>260.729024</v>
      </c>
    </row>
    <row r="1979" customFormat="false" ht="15" hidden="false" customHeight="false" outlineLevel="0" collapsed="false">
      <c r="A1979" s="29" t="s">
        <v>4328</v>
      </c>
      <c r="B1979" s="29" t="s">
        <v>124</v>
      </c>
      <c r="C1979" s="29" t="s">
        <v>125</v>
      </c>
      <c r="D1979" s="29" t="s">
        <v>4329</v>
      </c>
      <c r="E1979" s="29" t="s">
        <v>106</v>
      </c>
      <c r="F1979" s="29" t="s">
        <v>4276</v>
      </c>
      <c r="G1979" s="29" t="s">
        <v>37</v>
      </c>
      <c r="H1979" s="29" t="s">
        <v>3148</v>
      </c>
      <c r="I1979" s="29" t="s">
        <v>190</v>
      </c>
      <c r="J1979" s="29" t="s">
        <v>4262</v>
      </c>
      <c r="K1979" s="29" t="s">
        <v>192</v>
      </c>
      <c r="L1979" s="29"/>
      <c r="M1979" s="29"/>
      <c r="N1979" s="29"/>
      <c r="O1979" s="29" t="n">
        <v>5.8</v>
      </c>
      <c r="P1979" s="30" t="n">
        <f aca="false">(O1979*INDEX(ExtShape_Vals,MATCH(E1979,ExtShape_Keys,0))*AlumCostPerKg+O1979*INDEX(Finish_Vals,MATCH(G1979,Finish_Keys,0)))</f>
        <v>276.196</v>
      </c>
      <c r="Q1979" s="31" t="n">
        <f aca="false">INDEX(Markup_Vals,MATCH("Extrusion Profiles &amp; Raw Stock",MarkupSub_Keys,0))</f>
        <v>0.18</v>
      </c>
      <c r="R1979" s="32" t="n">
        <f aca="false">P1979*(1+Q1979)</f>
        <v>325.91128</v>
      </c>
      <c r="S1979" s="32" t="n">
        <f aca="false">R1979*(1-TradeDiscount)</f>
        <v>286.8019264</v>
      </c>
      <c r="T1979" s="32" t="n">
        <f aca="false">R1979*(1-VolumeDiscount)</f>
        <v>260.729024</v>
      </c>
    </row>
    <row r="1980" customFormat="false" ht="15" hidden="false" customHeight="false" outlineLevel="0" collapsed="false">
      <c r="A1980" s="25" t="s">
        <v>4330</v>
      </c>
      <c r="B1980" s="25" t="s">
        <v>124</v>
      </c>
      <c r="C1980" s="25" t="s">
        <v>125</v>
      </c>
      <c r="D1980" s="25" t="s">
        <v>4331</v>
      </c>
      <c r="E1980" s="25" t="s">
        <v>106</v>
      </c>
      <c r="F1980" s="25" t="s">
        <v>4283</v>
      </c>
      <c r="G1980" s="25" t="s">
        <v>35</v>
      </c>
      <c r="H1980" s="25" t="s">
        <v>3148</v>
      </c>
      <c r="I1980" s="25" t="s">
        <v>190</v>
      </c>
      <c r="J1980" s="25" t="s">
        <v>4262</v>
      </c>
      <c r="K1980" s="25" t="s">
        <v>192</v>
      </c>
      <c r="L1980" s="25"/>
      <c r="M1980" s="25"/>
      <c r="N1980" s="25"/>
      <c r="O1980" s="25" t="n">
        <v>6.5</v>
      </c>
      <c r="P1980" s="26" t="n">
        <f aca="false">(O1980*INDEX(ExtShape_Vals,MATCH(E1980,ExtShape_Keys,0))*AlumCostPerKg+O1980*INDEX(Finish_Vals,MATCH(G1980,Finish_Keys,0)))</f>
        <v>225.03</v>
      </c>
      <c r="Q1980" s="27" t="n">
        <f aca="false">INDEX(Markup_Vals,MATCH("Extrusion Profiles &amp; Raw Stock",MarkupSub_Keys,0))</f>
        <v>0.18</v>
      </c>
      <c r="R1980" s="28" t="n">
        <f aca="false">P1980*(1+Q1980)</f>
        <v>265.5354</v>
      </c>
      <c r="S1980" s="28" t="n">
        <f aca="false">R1980*(1-TradeDiscount)</f>
        <v>233.671152</v>
      </c>
      <c r="T1980" s="28" t="n">
        <f aca="false">R1980*(1-VolumeDiscount)</f>
        <v>212.42832</v>
      </c>
    </row>
    <row r="1981" customFormat="false" ht="15" hidden="false" customHeight="false" outlineLevel="0" collapsed="false">
      <c r="A1981" s="29" t="s">
        <v>4332</v>
      </c>
      <c r="B1981" s="29" t="s">
        <v>124</v>
      </c>
      <c r="C1981" s="29" t="s">
        <v>125</v>
      </c>
      <c r="D1981" s="29" t="s">
        <v>4333</v>
      </c>
      <c r="E1981" s="29" t="s">
        <v>106</v>
      </c>
      <c r="F1981" s="29" t="s">
        <v>4283</v>
      </c>
      <c r="G1981" s="29" t="s">
        <v>36</v>
      </c>
      <c r="H1981" s="29" t="s">
        <v>3148</v>
      </c>
      <c r="I1981" s="29" t="s">
        <v>190</v>
      </c>
      <c r="J1981" s="29" t="s">
        <v>4262</v>
      </c>
      <c r="K1981" s="29" t="s">
        <v>192</v>
      </c>
      <c r="L1981" s="29"/>
      <c r="M1981" s="29"/>
      <c r="N1981" s="29"/>
      <c r="O1981" s="29" t="n">
        <v>6.5</v>
      </c>
      <c r="P1981" s="30" t="n">
        <f aca="false">(O1981*INDEX(ExtShape_Vals,MATCH(E1981,ExtShape_Keys,0))*AlumCostPerKg+O1981*INDEX(Finish_Vals,MATCH(G1981,Finish_Keys,0)))</f>
        <v>309.53</v>
      </c>
      <c r="Q1981" s="31" t="n">
        <f aca="false">INDEX(Markup_Vals,MATCH("Extrusion Profiles &amp; Raw Stock",MarkupSub_Keys,0))</f>
        <v>0.18</v>
      </c>
      <c r="R1981" s="32" t="n">
        <f aca="false">P1981*(1+Q1981)</f>
        <v>365.2454</v>
      </c>
      <c r="S1981" s="32" t="n">
        <f aca="false">R1981*(1-TradeDiscount)</f>
        <v>321.415952</v>
      </c>
      <c r="T1981" s="32" t="n">
        <f aca="false">R1981*(1-VolumeDiscount)</f>
        <v>292.19632</v>
      </c>
    </row>
    <row r="1982" customFormat="false" ht="15" hidden="false" customHeight="false" outlineLevel="0" collapsed="false">
      <c r="A1982" s="25" t="s">
        <v>4334</v>
      </c>
      <c r="B1982" s="25" t="s">
        <v>124</v>
      </c>
      <c r="C1982" s="25" t="s">
        <v>125</v>
      </c>
      <c r="D1982" s="25" t="s">
        <v>4335</v>
      </c>
      <c r="E1982" s="25" t="s">
        <v>106</v>
      </c>
      <c r="F1982" s="25" t="s">
        <v>4283</v>
      </c>
      <c r="G1982" s="25" t="s">
        <v>37</v>
      </c>
      <c r="H1982" s="25" t="s">
        <v>3148</v>
      </c>
      <c r="I1982" s="25" t="s">
        <v>190</v>
      </c>
      <c r="J1982" s="25" t="s">
        <v>4262</v>
      </c>
      <c r="K1982" s="25" t="s">
        <v>192</v>
      </c>
      <c r="L1982" s="25"/>
      <c r="M1982" s="25"/>
      <c r="N1982" s="25"/>
      <c r="O1982" s="25" t="n">
        <v>6.5</v>
      </c>
      <c r="P1982" s="26" t="n">
        <f aca="false">(O1982*INDEX(ExtShape_Vals,MATCH(E1982,ExtShape_Keys,0))*AlumCostPerKg+O1982*INDEX(Finish_Vals,MATCH(G1982,Finish_Keys,0)))</f>
        <v>309.53</v>
      </c>
      <c r="Q1982" s="27" t="n">
        <f aca="false">INDEX(Markup_Vals,MATCH("Extrusion Profiles &amp; Raw Stock",MarkupSub_Keys,0))</f>
        <v>0.18</v>
      </c>
      <c r="R1982" s="28" t="n">
        <f aca="false">P1982*(1+Q1982)</f>
        <v>365.2454</v>
      </c>
      <c r="S1982" s="28" t="n">
        <f aca="false">R1982*(1-TradeDiscount)</f>
        <v>321.415952</v>
      </c>
      <c r="T1982" s="28" t="n">
        <f aca="false">R1982*(1-VolumeDiscount)</f>
        <v>292.19632</v>
      </c>
    </row>
    <row r="1983" customFormat="false" ht="15" hidden="false" customHeight="false" outlineLevel="0" collapsed="false">
      <c r="A1983" s="29" t="s">
        <v>4336</v>
      </c>
      <c r="B1983" s="29" t="s">
        <v>124</v>
      </c>
      <c r="C1983" s="29" t="s">
        <v>125</v>
      </c>
      <c r="D1983" s="29" t="s">
        <v>4337</v>
      </c>
      <c r="E1983" s="29" t="s">
        <v>107</v>
      </c>
      <c r="F1983" s="29" t="s">
        <v>4261</v>
      </c>
      <c r="G1983" s="29" t="s">
        <v>35</v>
      </c>
      <c r="H1983" s="29" t="s">
        <v>3148</v>
      </c>
      <c r="I1983" s="29" t="s">
        <v>190</v>
      </c>
      <c r="J1983" s="29" t="s">
        <v>4262</v>
      </c>
      <c r="K1983" s="29" t="s">
        <v>192</v>
      </c>
      <c r="L1983" s="29"/>
      <c r="M1983" s="29"/>
      <c r="N1983" s="29"/>
      <c r="O1983" s="29" t="n">
        <v>3</v>
      </c>
      <c r="P1983" s="30" t="n">
        <f aca="false">(O1983*INDEX(ExtShape_Vals,MATCH(E1983,ExtShape_Keys,0))*AlumCostPerKg+O1983*INDEX(Finish_Vals,MATCH(G1983,Finish_Keys,0)))</f>
        <v>112.74</v>
      </c>
      <c r="Q1983" s="31" t="n">
        <f aca="false">INDEX(Markup_Vals,MATCH("Extrusion Profiles &amp; Raw Stock",MarkupSub_Keys,0))</f>
        <v>0.18</v>
      </c>
      <c r="R1983" s="32" t="n">
        <f aca="false">P1983*(1+Q1983)</f>
        <v>133.0332</v>
      </c>
      <c r="S1983" s="32" t="n">
        <f aca="false">R1983*(1-TradeDiscount)</f>
        <v>117.069216</v>
      </c>
      <c r="T1983" s="32" t="n">
        <f aca="false">R1983*(1-VolumeDiscount)</f>
        <v>106.42656</v>
      </c>
    </row>
    <row r="1984" customFormat="false" ht="15" hidden="false" customHeight="false" outlineLevel="0" collapsed="false">
      <c r="A1984" s="25" t="s">
        <v>4338</v>
      </c>
      <c r="B1984" s="25" t="s">
        <v>124</v>
      </c>
      <c r="C1984" s="25" t="s">
        <v>125</v>
      </c>
      <c r="D1984" s="25" t="s">
        <v>4339</v>
      </c>
      <c r="E1984" s="25" t="s">
        <v>107</v>
      </c>
      <c r="F1984" s="25" t="s">
        <v>4261</v>
      </c>
      <c r="G1984" s="25" t="s">
        <v>36</v>
      </c>
      <c r="H1984" s="25" t="s">
        <v>3148</v>
      </c>
      <c r="I1984" s="25" t="s">
        <v>190</v>
      </c>
      <c r="J1984" s="25" t="s">
        <v>4262</v>
      </c>
      <c r="K1984" s="25" t="s">
        <v>192</v>
      </c>
      <c r="L1984" s="25"/>
      <c r="M1984" s="25"/>
      <c r="N1984" s="25"/>
      <c r="O1984" s="25" t="n">
        <v>3</v>
      </c>
      <c r="P1984" s="26" t="n">
        <f aca="false">(O1984*INDEX(ExtShape_Vals,MATCH(E1984,ExtShape_Keys,0))*AlumCostPerKg+O1984*INDEX(Finish_Vals,MATCH(G1984,Finish_Keys,0)))</f>
        <v>151.74</v>
      </c>
      <c r="Q1984" s="27" t="n">
        <f aca="false">INDEX(Markup_Vals,MATCH("Extrusion Profiles &amp; Raw Stock",MarkupSub_Keys,0))</f>
        <v>0.18</v>
      </c>
      <c r="R1984" s="28" t="n">
        <f aca="false">P1984*(1+Q1984)</f>
        <v>179.0532</v>
      </c>
      <c r="S1984" s="28" t="n">
        <f aca="false">R1984*(1-TradeDiscount)</f>
        <v>157.566816</v>
      </c>
      <c r="T1984" s="28" t="n">
        <f aca="false">R1984*(1-VolumeDiscount)</f>
        <v>143.24256</v>
      </c>
    </row>
    <row r="1985" customFormat="false" ht="15" hidden="false" customHeight="false" outlineLevel="0" collapsed="false">
      <c r="A1985" s="29" t="s">
        <v>4340</v>
      </c>
      <c r="B1985" s="29" t="s">
        <v>124</v>
      </c>
      <c r="C1985" s="29" t="s">
        <v>125</v>
      </c>
      <c r="D1985" s="29" t="s">
        <v>4341</v>
      </c>
      <c r="E1985" s="29" t="s">
        <v>107</v>
      </c>
      <c r="F1985" s="29" t="s">
        <v>4261</v>
      </c>
      <c r="G1985" s="29" t="s">
        <v>37</v>
      </c>
      <c r="H1985" s="29" t="s">
        <v>3148</v>
      </c>
      <c r="I1985" s="29" t="s">
        <v>190</v>
      </c>
      <c r="J1985" s="29" t="s">
        <v>4262</v>
      </c>
      <c r="K1985" s="29" t="s">
        <v>192</v>
      </c>
      <c r="L1985" s="29"/>
      <c r="M1985" s="29"/>
      <c r="N1985" s="29"/>
      <c r="O1985" s="29" t="n">
        <v>3</v>
      </c>
      <c r="P1985" s="30" t="n">
        <f aca="false">(O1985*INDEX(ExtShape_Vals,MATCH(E1985,ExtShape_Keys,0))*AlumCostPerKg+O1985*INDEX(Finish_Vals,MATCH(G1985,Finish_Keys,0)))</f>
        <v>151.74</v>
      </c>
      <c r="Q1985" s="31" t="n">
        <f aca="false">INDEX(Markup_Vals,MATCH("Extrusion Profiles &amp; Raw Stock",MarkupSub_Keys,0))</f>
        <v>0.18</v>
      </c>
      <c r="R1985" s="32" t="n">
        <f aca="false">P1985*(1+Q1985)</f>
        <v>179.0532</v>
      </c>
      <c r="S1985" s="32" t="n">
        <f aca="false">R1985*(1-TradeDiscount)</f>
        <v>157.566816</v>
      </c>
      <c r="T1985" s="32" t="n">
        <f aca="false">R1985*(1-VolumeDiscount)</f>
        <v>143.24256</v>
      </c>
    </row>
    <row r="1986" customFormat="false" ht="15" hidden="false" customHeight="false" outlineLevel="0" collapsed="false">
      <c r="A1986" s="25" t="s">
        <v>4342</v>
      </c>
      <c r="B1986" s="25" t="s">
        <v>124</v>
      </c>
      <c r="C1986" s="25" t="s">
        <v>125</v>
      </c>
      <c r="D1986" s="25" t="s">
        <v>4343</v>
      </c>
      <c r="E1986" s="25" t="s">
        <v>107</v>
      </c>
      <c r="F1986" s="25" t="s">
        <v>4269</v>
      </c>
      <c r="G1986" s="25" t="s">
        <v>35</v>
      </c>
      <c r="H1986" s="25" t="s">
        <v>3148</v>
      </c>
      <c r="I1986" s="25" t="s">
        <v>190</v>
      </c>
      <c r="J1986" s="25" t="s">
        <v>4262</v>
      </c>
      <c r="K1986" s="25" t="s">
        <v>192</v>
      </c>
      <c r="L1986" s="25"/>
      <c r="M1986" s="25"/>
      <c r="N1986" s="25"/>
      <c r="O1986" s="25" t="n">
        <v>4</v>
      </c>
      <c r="P1986" s="26" t="n">
        <f aca="false">(O1986*INDEX(ExtShape_Vals,MATCH(E1986,ExtShape_Keys,0))*AlumCostPerKg+O1986*INDEX(Finish_Vals,MATCH(G1986,Finish_Keys,0)))</f>
        <v>150.32</v>
      </c>
      <c r="Q1986" s="27" t="n">
        <f aca="false">INDEX(Markup_Vals,MATCH("Extrusion Profiles &amp; Raw Stock",MarkupSub_Keys,0))</f>
        <v>0.18</v>
      </c>
      <c r="R1986" s="28" t="n">
        <f aca="false">P1986*(1+Q1986)</f>
        <v>177.3776</v>
      </c>
      <c r="S1986" s="28" t="n">
        <f aca="false">R1986*(1-TradeDiscount)</f>
        <v>156.092288</v>
      </c>
      <c r="T1986" s="28" t="n">
        <f aca="false">R1986*(1-VolumeDiscount)</f>
        <v>141.90208</v>
      </c>
    </row>
    <row r="1987" customFormat="false" ht="15" hidden="false" customHeight="false" outlineLevel="0" collapsed="false">
      <c r="A1987" s="29" t="s">
        <v>4344</v>
      </c>
      <c r="B1987" s="29" t="s">
        <v>124</v>
      </c>
      <c r="C1987" s="29" t="s">
        <v>125</v>
      </c>
      <c r="D1987" s="29" t="s">
        <v>4345</v>
      </c>
      <c r="E1987" s="29" t="s">
        <v>107</v>
      </c>
      <c r="F1987" s="29" t="s">
        <v>4269</v>
      </c>
      <c r="G1987" s="29" t="s">
        <v>36</v>
      </c>
      <c r="H1987" s="29" t="s">
        <v>3148</v>
      </c>
      <c r="I1987" s="29" t="s">
        <v>190</v>
      </c>
      <c r="J1987" s="29" t="s">
        <v>4262</v>
      </c>
      <c r="K1987" s="29" t="s">
        <v>192</v>
      </c>
      <c r="L1987" s="29"/>
      <c r="M1987" s="29"/>
      <c r="N1987" s="29"/>
      <c r="O1987" s="29" t="n">
        <v>4</v>
      </c>
      <c r="P1987" s="30" t="n">
        <f aca="false">(O1987*INDEX(ExtShape_Vals,MATCH(E1987,ExtShape_Keys,0))*AlumCostPerKg+O1987*INDEX(Finish_Vals,MATCH(G1987,Finish_Keys,0)))</f>
        <v>202.32</v>
      </c>
      <c r="Q1987" s="31" t="n">
        <f aca="false">INDEX(Markup_Vals,MATCH("Extrusion Profiles &amp; Raw Stock",MarkupSub_Keys,0))</f>
        <v>0.18</v>
      </c>
      <c r="R1987" s="32" t="n">
        <f aca="false">P1987*(1+Q1987)</f>
        <v>238.7376</v>
      </c>
      <c r="S1987" s="32" t="n">
        <f aca="false">R1987*(1-TradeDiscount)</f>
        <v>210.089088</v>
      </c>
      <c r="T1987" s="32" t="n">
        <f aca="false">R1987*(1-VolumeDiscount)</f>
        <v>190.99008</v>
      </c>
    </row>
    <row r="1988" customFormat="false" ht="15" hidden="false" customHeight="false" outlineLevel="0" collapsed="false">
      <c r="A1988" s="25" t="s">
        <v>4346</v>
      </c>
      <c r="B1988" s="25" t="s">
        <v>124</v>
      </c>
      <c r="C1988" s="25" t="s">
        <v>125</v>
      </c>
      <c r="D1988" s="25" t="s">
        <v>4347</v>
      </c>
      <c r="E1988" s="25" t="s">
        <v>107</v>
      </c>
      <c r="F1988" s="25" t="s">
        <v>4269</v>
      </c>
      <c r="G1988" s="25" t="s">
        <v>37</v>
      </c>
      <c r="H1988" s="25" t="s">
        <v>3148</v>
      </c>
      <c r="I1988" s="25" t="s">
        <v>190</v>
      </c>
      <c r="J1988" s="25" t="s">
        <v>4262</v>
      </c>
      <c r="K1988" s="25" t="s">
        <v>192</v>
      </c>
      <c r="L1988" s="25"/>
      <c r="M1988" s="25"/>
      <c r="N1988" s="25"/>
      <c r="O1988" s="25" t="n">
        <v>4</v>
      </c>
      <c r="P1988" s="26" t="n">
        <f aca="false">(O1988*INDEX(ExtShape_Vals,MATCH(E1988,ExtShape_Keys,0))*AlumCostPerKg+O1988*INDEX(Finish_Vals,MATCH(G1988,Finish_Keys,0)))</f>
        <v>202.32</v>
      </c>
      <c r="Q1988" s="27" t="n">
        <f aca="false">INDEX(Markup_Vals,MATCH("Extrusion Profiles &amp; Raw Stock",MarkupSub_Keys,0))</f>
        <v>0.18</v>
      </c>
      <c r="R1988" s="28" t="n">
        <f aca="false">P1988*(1+Q1988)</f>
        <v>238.7376</v>
      </c>
      <c r="S1988" s="28" t="n">
        <f aca="false">R1988*(1-TradeDiscount)</f>
        <v>210.089088</v>
      </c>
      <c r="T1988" s="28" t="n">
        <f aca="false">R1988*(1-VolumeDiscount)</f>
        <v>190.99008</v>
      </c>
    </row>
    <row r="1989" customFormat="false" ht="15" hidden="false" customHeight="false" outlineLevel="0" collapsed="false">
      <c r="A1989" s="29" t="s">
        <v>4348</v>
      </c>
      <c r="B1989" s="29" t="s">
        <v>124</v>
      </c>
      <c r="C1989" s="29" t="s">
        <v>125</v>
      </c>
      <c r="D1989" s="29" t="s">
        <v>4349</v>
      </c>
      <c r="E1989" s="29" t="s">
        <v>107</v>
      </c>
      <c r="F1989" s="29" t="s">
        <v>4276</v>
      </c>
      <c r="G1989" s="29" t="s">
        <v>35</v>
      </c>
      <c r="H1989" s="29" t="s">
        <v>3148</v>
      </c>
      <c r="I1989" s="29" t="s">
        <v>190</v>
      </c>
      <c r="J1989" s="29" t="s">
        <v>4262</v>
      </c>
      <c r="K1989" s="29" t="s">
        <v>192</v>
      </c>
      <c r="L1989" s="29"/>
      <c r="M1989" s="29"/>
      <c r="N1989" s="29"/>
      <c r="O1989" s="29" t="n">
        <v>5.8</v>
      </c>
      <c r="P1989" s="30" t="n">
        <f aca="false">(O1989*INDEX(ExtShape_Vals,MATCH(E1989,ExtShape_Keys,0))*AlumCostPerKg+O1989*INDEX(Finish_Vals,MATCH(G1989,Finish_Keys,0)))</f>
        <v>217.964</v>
      </c>
      <c r="Q1989" s="31" t="n">
        <f aca="false">INDEX(Markup_Vals,MATCH("Extrusion Profiles &amp; Raw Stock",MarkupSub_Keys,0))</f>
        <v>0.18</v>
      </c>
      <c r="R1989" s="32" t="n">
        <f aca="false">P1989*(1+Q1989)</f>
        <v>257.19752</v>
      </c>
      <c r="S1989" s="32" t="n">
        <f aca="false">R1989*(1-TradeDiscount)</f>
        <v>226.3338176</v>
      </c>
      <c r="T1989" s="32" t="n">
        <f aca="false">R1989*(1-VolumeDiscount)</f>
        <v>205.758016</v>
      </c>
    </row>
    <row r="1990" customFormat="false" ht="15" hidden="false" customHeight="false" outlineLevel="0" collapsed="false">
      <c r="A1990" s="25" t="s">
        <v>4350</v>
      </c>
      <c r="B1990" s="25" t="s">
        <v>124</v>
      </c>
      <c r="C1990" s="25" t="s">
        <v>125</v>
      </c>
      <c r="D1990" s="25" t="s">
        <v>4351</v>
      </c>
      <c r="E1990" s="25" t="s">
        <v>107</v>
      </c>
      <c r="F1990" s="25" t="s">
        <v>4276</v>
      </c>
      <c r="G1990" s="25" t="s">
        <v>36</v>
      </c>
      <c r="H1990" s="25" t="s">
        <v>3148</v>
      </c>
      <c r="I1990" s="25" t="s">
        <v>190</v>
      </c>
      <c r="J1990" s="25" t="s">
        <v>4262</v>
      </c>
      <c r="K1990" s="25" t="s">
        <v>192</v>
      </c>
      <c r="L1990" s="25"/>
      <c r="M1990" s="25"/>
      <c r="N1990" s="25"/>
      <c r="O1990" s="25" t="n">
        <v>5.8</v>
      </c>
      <c r="P1990" s="26" t="n">
        <f aca="false">(O1990*INDEX(ExtShape_Vals,MATCH(E1990,ExtShape_Keys,0))*AlumCostPerKg+O1990*INDEX(Finish_Vals,MATCH(G1990,Finish_Keys,0)))</f>
        <v>293.364</v>
      </c>
      <c r="Q1990" s="27" t="n">
        <f aca="false">INDEX(Markup_Vals,MATCH("Extrusion Profiles &amp; Raw Stock",MarkupSub_Keys,0))</f>
        <v>0.18</v>
      </c>
      <c r="R1990" s="28" t="n">
        <f aca="false">P1990*(1+Q1990)</f>
        <v>346.16952</v>
      </c>
      <c r="S1990" s="28" t="n">
        <f aca="false">R1990*(1-TradeDiscount)</f>
        <v>304.6291776</v>
      </c>
      <c r="T1990" s="28" t="n">
        <f aca="false">R1990*(1-VolumeDiscount)</f>
        <v>276.935616</v>
      </c>
    </row>
    <row r="1991" customFormat="false" ht="15" hidden="false" customHeight="false" outlineLevel="0" collapsed="false">
      <c r="A1991" s="29" t="s">
        <v>4352</v>
      </c>
      <c r="B1991" s="29" t="s">
        <v>124</v>
      </c>
      <c r="C1991" s="29" t="s">
        <v>125</v>
      </c>
      <c r="D1991" s="29" t="s">
        <v>4353</v>
      </c>
      <c r="E1991" s="29" t="s">
        <v>107</v>
      </c>
      <c r="F1991" s="29" t="s">
        <v>4276</v>
      </c>
      <c r="G1991" s="29" t="s">
        <v>37</v>
      </c>
      <c r="H1991" s="29" t="s">
        <v>3148</v>
      </c>
      <c r="I1991" s="29" t="s">
        <v>190</v>
      </c>
      <c r="J1991" s="29" t="s">
        <v>4262</v>
      </c>
      <c r="K1991" s="29" t="s">
        <v>192</v>
      </c>
      <c r="L1991" s="29"/>
      <c r="M1991" s="29"/>
      <c r="N1991" s="29"/>
      <c r="O1991" s="29" t="n">
        <v>5.8</v>
      </c>
      <c r="P1991" s="30" t="n">
        <f aca="false">(O1991*INDEX(ExtShape_Vals,MATCH(E1991,ExtShape_Keys,0))*AlumCostPerKg+O1991*INDEX(Finish_Vals,MATCH(G1991,Finish_Keys,0)))</f>
        <v>293.364</v>
      </c>
      <c r="Q1991" s="31" t="n">
        <f aca="false">INDEX(Markup_Vals,MATCH("Extrusion Profiles &amp; Raw Stock",MarkupSub_Keys,0))</f>
        <v>0.18</v>
      </c>
      <c r="R1991" s="32" t="n">
        <f aca="false">P1991*(1+Q1991)</f>
        <v>346.16952</v>
      </c>
      <c r="S1991" s="32" t="n">
        <f aca="false">R1991*(1-TradeDiscount)</f>
        <v>304.6291776</v>
      </c>
      <c r="T1991" s="32" t="n">
        <f aca="false">R1991*(1-VolumeDiscount)</f>
        <v>276.935616</v>
      </c>
    </row>
    <row r="1992" customFormat="false" ht="15" hidden="false" customHeight="false" outlineLevel="0" collapsed="false">
      <c r="A1992" s="25" t="s">
        <v>4354</v>
      </c>
      <c r="B1992" s="25" t="s">
        <v>124</v>
      </c>
      <c r="C1992" s="25" t="s">
        <v>125</v>
      </c>
      <c r="D1992" s="25" t="s">
        <v>4355</v>
      </c>
      <c r="E1992" s="25" t="s">
        <v>107</v>
      </c>
      <c r="F1992" s="25" t="s">
        <v>4283</v>
      </c>
      <c r="G1992" s="25" t="s">
        <v>35</v>
      </c>
      <c r="H1992" s="25" t="s">
        <v>3148</v>
      </c>
      <c r="I1992" s="25" t="s">
        <v>190</v>
      </c>
      <c r="J1992" s="25" t="s">
        <v>4262</v>
      </c>
      <c r="K1992" s="25" t="s">
        <v>192</v>
      </c>
      <c r="L1992" s="25"/>
      <c r="M1992" s="25"/>
      <c r="N1992" s="25"/>
      <c r="O1992" s="25" t="n">
        <v>6.5</v>
      </c>
      <c r="P1992" s="26" t="n">
        <f aca="false">(O1992*INDEX(ExtShape_Vals,MATCH(E1992,ExtShape_Keys,0))*AlumCostPerKg+O1992*INDEX(Finish_Vals,MATCH(G1992,Finish_Keys,0)))</f>
        <v>244.27</v>
      </c>
      <c r="Q1992" s="27" t="n">
        <f aca="false">INDEX(Markup_Vals,MATCH("Extrusion Profiles &amp; Raw Stock",MarkupSub_Keys,0))</f>
        <v>0.18</v>
      </c>
      <c r="R1992" s="28" t="n">
        <f aca="false">P1992*(1+Q1992)</f>
        <v>288.2386</v>
      </c>
      <c r="S1992" s="28" t="n">
        <f aca="false">R1992*(1-TradeDiscount)</f>
        <v>253.649968</v>
      </c>
      <c r="T1992" s="28" t="n">
        <f aca="false">R1992*(1-VolumeDiscount)</f>
        <v>230.59088</v>
      </c>
    </row>
    <row r="1993" customFormat="false" ht="15" hidden="false" customHeight="false" outlineLevel="0" collapsed="false">
      <c r="A1993" s="29" t="s">
        <v>4356</v>
      </c>
      <c r="B1993" s="29" t="s">
        <v>124</v>
      </c>
      <c r="C1993" s="29" t="s">
        <v>125</v>
      </c>
      <c r="D1993" s="29" t="s">
        <v>4357</v>
      </c>
      <c r="E1993" s="29" t="s">
        <v>107</v>
      </c>
      <c r="F1993" s="29" t="s">
        <v>4283</v>
      </c>
      <c r="G1993" s="29" t="s">
        <v>36</v>
      </c>
      <c r="H1993" s="29" t="s">
        <v>3148</v>
      </c>
      <c r="I1993" s="29" t="s">
        <v>190</v>
      </c>
      <c r="J1993" s="29" t="s">
        <v>4262</v>
      </c>
      <c r="K1993" s="29" t="s">
        <v>192</v>
      </c>
      <c r="L1993" s="29"/>
      <c r="M1993" s="29"/>
      <c r="N1993" s="29"/>
      <c r="O1993" s="29" t="n">
        <v>6.5</v>
      </c>
      <c r="P1993" s="30" t="n">
        <f aca="false">(O1993*INDEX(ExtShape_Vals,MATCH(E1993,ExtShape_Keys,0))*AlumCostPerKg+O1993*INDEX(Finish_Vals,MATCH(G1993,Finish_Keys,0)))</f>
        <v>328.77</v>
      </c>
      <c r="Q1993" s="31" t="n">
        <f aca="false">INDEX(Markup_Vals,MATCH("Extrusion Profiles &amp; Raw Stock",MarkupSub_Keys,0))</f>
        <v>0.18</v>
      </c>
      <c r="R1993" s="32" t="n">
        <f aca="false">P1993*(1+Q1993)</f>
        <v>387.9486</v>
      </c>
      <c r="S1993" s="32" t="n">
        <f aca="false">R1993*(1-TradeDiscount)</f>
        <v>341.394768</v>
      </c>
      <c r="T1993" s="32" t="n">
        <f aca="false">R1993*(1-VolumeDiscount)</f>
        <v>310.35888</v>
      </c>
    </row>
    <row r="1994" customFormat="false" ht="15" hidden="false" customHeight="false" outlineLevel="0" collapsed="false">
      <c r="A1994" s="25" t="s">
        <v>4358</v>
      </c>
      <c r="B1994" s="25" t="s">
        <v>124</v>
      </c>
      <c r="C1994" s="25" t="s">
        <v>125</v>
      </c>
      <c r="D1994" s="25" t="s">
        <v>4359</v>
      </c>
      <c r="E1994" s="25" t="s">
        <v>107</v>
      </c>
      <c r="F1994" s="25" t="s">
        <v>4283</v>
      </c>
      <c r="G1994" s="25" t="s">
        <v>37</v>
      </c>
      <c r="H1994" s="25" t="s">
        <v>3148</v>
      </c>
      <c r="I1994" s="25" t="s">
        <v>190</v>
      </c>
      <c r="J1994" s="25" t="s">
        <v>4262</v>
      </c>
      <c r="K1994" s="25" t="s">
        <v>192</v>
      </c>
      <c r="L1994" s="25"/>
      <c r="M1994" s="25"/>
      <c r="N1994" s="25"/>
      <c r="O1994" s="25" t="n">
        <v>6.5</v>
      </c>
      <c r="P1994" s="26" t="n">
        <f aca="false">(O1994*INDEX(ExtShape_Vals,MATCH(E1994,ExtShape_Keys,0))*AlumCostPerKg+O1994*INDEX(Finish_Vals,MATCH(G1994,Finish_Keys,0)))</f>
        <v>328.77</v>
      </c>
      <c r="Q1994" s="27" t="n">
        <f aca="false">INDEX(Markup_Vals,MATCH("Extrusion Profiles &amp; Raw Stock",MarkupSub_Keys,0))</f>
        <v>0.18</v>
      </c>
      <c r="R1994" s="28" t="n">
        <f aca="false">P1994*(1+Q1994)</f>
        <v>387.9486</v>
      </c>
      <c r="S1994" s="28" t="n">
        <f aca="false">R1994*(1-TradeDiscount)</f>
        <v>341.394768</v>
      </c>
      <c r="T1994" s="28" t="n">
        <f aca="false">R1994*(1-VolumeDiscount)</f>
        <v>310.35888</v>
      </c>
    </row>
    <row r="1995" customFormat="false" ht="15" hidden="false" customHeight="false" outlineLevel="0" collapsed="false">
      <c r="A1995" s="29" t="s">
        <v>4360</v>
      </c>
      <c r="B1995" s="29" t="s">
        <v>124</v>
      </c>
      <c r="C1995" s="29" t="s">
        <v>125</v>
      </c>
      <c r="D1995" s="29" t="s">
        <v>4361</v>
      </c>
      <c r="E1995" s="29" t="s">
        <v>108</v>
      </c>
      <c r="F1995" s="29" t="s">
        <v>4261</v>
      </c>
      <c r="G1995" s="29" t="s">
        <v>35</v>
      </c>
      <c r="H1995" s="29" t="s">
        <v>3148</v>
      </c>
      <c r="I1995" s="29" t="s">
        <v>190</v>
      </c>
      <c r="J1995" s="29" t="s">
        <v>4262</v>
      </c>
      <c r="K1995" s="29" t="s">
        <v>192</v>
      </c>
      <c r="L1995" s="29"/>
      <c r="M1995" s="29"/>
      <c r="N1995" s="29"/>
      <c r="O1995" s="29" t="n">
        <v>3</v>
      </c>
      <c r="P1995" s="30" t="n">
        <f aca="false">(O1995*INDEX(ExtShape_Vals,MATCH(E1995,ExtShape_Keys,0))*AlumCostPerKg+O1995*INDEX(Finish_Vals,MATCH(G1995,Finish_Keys,0)))</f>
        <v>85.545</v>
      </c>
      <c r="Q1995" s="31" t="n">
        <f aca="false">INDEX(Markup_Vals,MATCH("Extrusion Profiles &amp; Raw Stock",MarkupSub_Keys,0))</f>
        <v>0.18</v>
      </c>
      <c r="R1995" s="32" t="n">
        <f aca="false">P1995*(1+Q1995)</f>
        <v>100.9431</v>
      </c>
      <c r="S1995" s="32" t="n">
        <f aca="false">R1995*(1-TradeDiscount)</f>
        <v>88.829928</v>
      </c>
      <c r="T1995" s="32" t="n">
        <f aca="false">R1995*(1-VolumeDiscount)</f>
        <v>80.75448</v>
      </c>
    </row>
    <row r="1996" customFormat="false" ht="15" hidden="false" customHeight="false" outlineLevel="0" collapsed="false">
      <c r="A1996" s="25" t="s">
        <v>4362</v>
      </c>
      <c r="B1996" s="25" t="s">
        <v>124</v>
      </c>
      <c r="C1996" s="25" t="s">
        <v>125</v>
      </c>
      <c r="D1996" s="25" t="s">
        <v>4363</v>
      </c>
      <c r="E1996" s="25" t="s">
        <v>108</v>
      </c>
      <c r="F1996" s="25" t="s">
        <v>4261</v>
      </c>
      <c r="G1996" s="25" t="s">
        <v>36</v>
      </c>
      <c r="H1996" s="25" t="s">
        <v>3148</v>
      </c>
      <c r="I1996" s="25" t="s">
        <v>190</v>
      </c>
      <c r="J1996" s="25" t="s">
        <v>4262</v>
      </c>
      <c r="K1996" s="25" t="s">
        <v>192</v>
      </c>
      <c r="L1996" s="25"/>
      <c r="M1996" s="25"/>
      <c r="N1996" s="25"/>
      <c r="O1996" s="25" t="n">
        <v>3</v>
      </c>
      <c r="P1996" s="26" t="n">
        <f aca="false">(O1996*INDEX(ExtShape_Vals,MATCH(E1996,ExtShape_Keys,0))*AlumCostPerKg+O1996*INDEX(Finish_Vals,MATCH(G1996,Finish_Keys,0)))</f>
        <v>124.545</v>
      </c>
      <c r="Q1996" s="27" t="n">
        <f aca="false">INDEX(Markup_Vals,MATCH("Extrusion Profiles &amp; Raw Stock",MarkupSub_Keys,0))</f>
        <v>0.18</v>
      </c>
      <c r="R1996" s="28" t="n">
        <f aca="false">P1996*(1+Q1996)</f>
        <v>146.9631</v>
      </c>
      <c r="S1996" s="28" t="n">
        <f aca="false">R1996*(1-TradeDiscount)</f>
        <v>129.327528</v>
      </c>
      <c r="T1996" s="28" t="n">
        <f aca="false">R1996*(1-VolumeDiscount)</f>
        <v>117.57048</v>
      </c>
    </row>
    <row r="1997" customFormat="false" ht="15" hidden="false" customHeight="false" outlineLevel="0" collapsed="false">
      <c r="A1997" s="29" t="s">
        <v>4364</v>
      </c>
      <c r="B1997" s="29" t="s">
        <v>124</v>
      </c>
      <c r="C1997" s="29" t="s">
        <v>125</v>
      </c>
      <c r="D1997" s="29" t="s">
        <v>4365</v>
      </c>
      <c r="E1997" s="29" t="s">
        <v>108</v>
      </c>
      <c r="F1997" s="29" t="s">
        <v>4261</v>
      </c>
      <c r="G1997" s="29" t="s">
        <v>37</v>
      </c>
      <c r="H1997" s="29" t="s">
        <v>3148</v>
      </c>
      <c r="I1997" s="29" t="s">
        <v>190</v>
      </c>
      <c r="J1997" s="29" t="s">
        <v>4262</v>
      </c>
      <c r="K1997" s="29" t="s">
        <v>192</v>
      </c>
      <c r="L1997" s="29"/>
      <c r="M1997" s="29"/>
      <c r="N1997" s="29"/>
      <c r="O1997" s="29" t="n">
        <v>3</v>
      </c>
      <c r="P1997" s="30" t="n">
        <f aca="false">(O1997*INDEX(ExtShape_Vals,MATCH(E1997,ExtShape_Keys,0))*AlumCostPerKg+O1997*INDEX(Finish_Vals,MATCH(G1997,Finish_Keys,0)))</f>
        <v>124.545</v>
      </c>
      <c r="Q1997" s="31" t="n">
        <f aca="false">INDEX(Markup_Vals,MATCH("Extrusion Profiles &amp; Raw Stock",MarkupSub_Keys,0))</f>
        <v>0.18</v>
      </c>
      <c r="R1997" s="32" t="n">
        <f aca="false">P1997*(1+Q1997)</f>
        <v>146.9631</v>
      </c>
      <c r="S1997" s="32" t="n">
        <f aca="false">R1997*(1-TradeDiscount)</f>
        <v>129.327528</v>
      </c>
      <c r="T1997" s="32" t="n">
        <f aca="false">R1997*(1-VolumeDiscount)</f>
        <v>117.57048</v>
      </c>
    </row>
    <row r="1998" customFormat="false" ht="15" hidden="false" customHeight="false" outlineLevel="0" collapsed="false">
      <c r="A1998" s="25" t="s">
        <v>4366</v>
      </c>
      <c r="B1998" s="25" t="s">
        <v>124</v>
      </c>
      <c r="C1998" s="25" t="s">
        <v>125</v>
      </c>
      <c r="D1998" s="25" t="s">
        <v>4367</v>
      </c>
      <c r="E1998" s="25" t="s">
        <v>108</v>
      </c>
      <c r="F1998" s="25" t="s">
        <v>4269</v>
      </c>
      <c r="G1998" s="25" t="s">
        <v>35</v>
      </c>
      <c r="H1998" s="25" t="s">
        <v>3148</v>
      </c>
      <c r="I1998" s="25" t="s">
        <v>190</v>
      </c>
      <c r="J1998" s="25" t="s">
        <v>4262</v>
      </c>
      <c r="K1998" s="25" t="s">
        <v>192</v>
      </c>
      <c r="L1998" s="25"/>
      <c r="M1998" s="25"/>
      <c r="N1998" s="25"/>
      <c r="O1998" s="25" t="n">
        <v>4</v>
      </c>
      <c r="P1998" s="26" t="n">
        <f aca="false">(O1998*INDEX(ExtShape_Vals,MATCH(E1998,ExtShape_Keys,0))*AlumCostPerKg+O1998*INDEX(Finish_Vals,MATCH(G1998,Finish_Keys,0)))</f>
        <v>114.06</v>
      </c>
      <c r="Q1998" s="27" t="n">
        <f aca="false">INDEX(Markup_Vals,MATCH("Extrusion Profiles &amp; Raw Stock",MarkupSub_Keys,0))</f>
        <v>0.18</v>
      </c>
      <c r="R1998" s="28" t="n">
        <f aca="false">P1998*(1+Q1998)</f>
        <v>134.5908</v>
      </c>
      <c r="S1998" s="28" t="n">
        <f aca="false">R1998*(1-TradeDiscount)</f>
        <v>118.439904</v>
      </c>
      <c r="T1998" s="28" t="n">
        <f aca="false">R1998*(1-VolumeDiscount)</f>
        <v>107.67264</v>
      </c>
    </row>
    <row r="1999" customFormat="false" ht="15" hidden="false" customHeight="false" outlineLevel="0" collapsed="false">
      <c r="A1999" s="29" t="s">
        <v>4368</v>
      </c>
      <c r="B1999" s="29" t="s">
        <v>124</v>
      </c>
      <c r="C1999" s="29" t="s">
        <v>125</v>
      </c>
      <c r="D1999" s="29" t="s">
        <v>4369</v>
      </c>
      <c r="E1999" s="29" t="s">
        <v>108</v>
      </c>
      <c r="F1999" s="29" t="s">
        <v>4269</v>
      </c>
      <c r="G1999" s="29" t="s">
        <v>36</v>
      </c>
      <c r="H1999" s="29" t="s">
        <v>3148</v>
      </c>
      <c r="I1999" s="29" t="s">
        <v>190</v>
      </c>
      <c r="J1999" s="29" t="s">
        <v>4262</v>
      </c>
      <c r="K1999" s="29" t="s">
        <v>192</v>
      </c>
      <c r="L1999" s="29"/>
      <c r="M1999" s="29"/>
      <c r="N1999" s="29"/>
      <c r="O1999" s="29" t="n">
        <v>4</v>
      </c>
      <c r="P1999" s="30" t="n">
        <f aca="false">(O1999*INDEX(ExtShape_Vals,MATCH(E1999,ExtShape_Keys,0))*AlumCostPerKg+O1999*INDEX(Finish_Vals,MATCH(G1999,Finish_Keys,0)))</f>
        <v>166.06</v>
      </c>
      <c r="Q1999" s="31" t="n">
        <f aca="false">INDEX(Markup_Vals,MATCH("Extrusion Profiles &amp; Raw Stock",MarkupSub_Keys,0))</f>
        <v>0.18</v>
      </c>
      <c r="R1999" s="32" t="n">
        <f aca="false">P1999*(1+Q1999)</f>
        <v>195.9508</v>
      </c>
      <c r="S1999" s="32" t="n">
        <f aca="false">R1999*(1-TradeDiscount)</f>
        <v>172.436704</v>
      </c>
      <c r="T1999" s="32" t="n">
        <f aca="false">R1999*(1-VolumeDiscount)</f>
        <v>156.76064</v>
      </c>
    </row>
    <row r="2000" customFormat="false" ht="15" hidden="false" customHeight="false" outlineLevel="0" collapsed="false">
      <c r="A2000" s="25" t="s">
        <v>4370</v>
      </c>
      <c r="B2000" s="25" t="s">
        <v>124</v>
      </c>
      <c r="C2000" s="25" t="s">
        <v>125</v>
      </c>
      <c r="D2000" s="25" t="s">
        <v>4371</v>
      </c>
      <c r="E2000" s="25" t="s">
        <v>108</v>
      </c>
      <c r="F2000" s="25" t="s">
        <v>4269</v>
      </c>
      <c r="G2000" s="25" t="s">
        <v>37</v>
      </c>
      <c r="H2000" s="25" t="s">
        <v>3148</v>
      </c>
      <c r="I2000" s="25" t="s">
        <v>190</v>
      </c>
      <c r="J2000" s="25" t="s">
        <v>4262</v>
      </c>
      <c r="K2000" s="25" t="s">
        <v>192</v>
      </c>
      <c r="L2000" s="25"/>
      <c r="M2000" s="25"/>
      <c r="N2000" s="25"/>
      <c r="O2000" s="25" t="n">
        <v>4</v>
      </c>
      <c r="P2000" s="26" t="n">
        <f aca="false">(O2000*INDEX(ExtShape_Vals,MATCH(E2000,ExtShape_Keys,0))*AlumCostPerKg+O2000*INDEX(Finish_Vals,MATCH(G2000,Finish_Keys,0)))</f>
        <v>166.06</v>
      </c>
      <c r="Q2000" s="27" t="n">
        <f aca="false">INDEX(Markup_Vals,MATCH("Extrusion Profiles &amp; Raw Stock",MarkupSub_Keys,0))</f>
        <v>0.18</v>
      </c>
      <c r="R2000" s="28" t="n">
        <f aca="false">P2000*(1+Q2000)</f>
        <v>195.9508</v>
      </c>
      <c r="S2000" s="28" t="n">
        <f aca="false">R2000*(1-TradeDiscount)</f>
        <v>172.436704</v>
      </c>
      <c r="T2000" s="28" t="n">
        <f aca="false">R2000*(1-VolumeDiscount)</f>
        <v>156.76064</v>
      </c>
    </row>
    <row r="2001" customFormat="false" ht="15" hidden="false" customHeight="false" outlineLevel="0" collapsed="false">
      <c r="A2001" s="29" t="s">
        <v>4372</v>
      </c>
      <c r="B2001" s="29" t="s">
        <v>124</v>
      </c>
      <c r="C2001" s="29" t="s">
        <v>125</v>
      </c>
      <c r="D2001" s="29" t="s">
        <v>4373</v>
      </c>
      <c r="E2001" s="29" t="s">
        <v>108</v>
      </c>
      <c r="F2001" s="29" t="s">
        <v>4276</v>
      </c>
      <c r="G2001" s="29" t="s">
        <v>35</v>
      </c>
      <c r="H2001" s="29" t="s">
        <v>3148</v>
      </c>
      <c r="I2001" s="29" t="s">
        <v>190</v>
      </c>
      <c r="J2001" s="29" t="s">
        <v>4262</v>
      </c>
      <c r="K2001" s="29" t="s">
        <v>192</v>
      </c>
      <c r="L2001" s="29"/>
      <c r="M2001" s="29"/>
      <c r="N2001" s="29"/>
      <c r="O2001" s="29" t="n">
        <v>5.8</v>
      </c>
      <c r="P2001" s="30" t="n">
        <f aca="false">(O2001*INDEX(ExtShape_Vals,MATCH(E2001,ExtShape_Keys,0))*AlumCostPerKg+O2001*INDEX(Finish_Vals,MATCH(G2001,Finish_Keys,0)))</f>
        <v>165.387</v>
      </c>
      <c r="Q2001" s="31" t="n">
        <f aca="false">INDEX(Markup_Vals,MATCH("Extrusion Profiles &amp; Raw Stock",MarkupSub_Keys,0))</f>
        <v>0.18</v>
      </c>
      <c r="R2001" s="32" t="n">
        <f aca="false">P2001*(1+Q2001)</f>
        <v>195.15666</v>
      </c>
      <c r="S2001" s="32" t="n">
        <f aca="false">R2001*(1-TradeDiscount)</f>
        <v>171.7378608</v>
      </c>
      <c r="T2001" s="32" t="n">
        <f aca="false">R2001*(1-VolumeDiscount)</f>
        <v>156.125328</v>
      </c>
    </row>
    <row r="2002" customFormat="false" ht="15" hidden="false" customHeight="false" outlineLevel="0" collapsed="false">
      <c r="A2002" s="25" t="s">
        <v>4374</v>
      </c>
      <c r="B2002" s="25" t="s">
        <v>124</v>
      </c>
      <c r="C2002" s="25" t="s">
        <v>125</v>
      </c>
      <c r="D2002" s="25" t="s">
        <v>4375</v>
      </c>
      <c r="E2002" s="25" t="s">
        <v>108</v>
      </c>
      <c r="F2002" s="25" t="s">
        <v>4276</v>
      </c>
      <c r="G2002" s="25" t="s">
        <v>36</v>
      </c>
      <c r="H2002" s="25" t="s">
        <v>3148</v>
      </c>
      <c r="I2002" s="25" t="s">
        <v>190</v>
      </c>
      <c r="J2002" s="25" t="s">
        <v>4262</v>
      </c>
      <c r="K2002" s="25" t="s">
        <v>192</v>
      </c>
      <c r="L2002" s="25"/>
      <c r="M2002" s="25"/>
      <c r="N2002" s="25"/>
      <c r="O2002" s="25" t="n">
        <v>5.8</v>
      </c>
      <c r="P2002" s="26" t="n">
        <f aca="false">(O2002*INDEX(ExtShape_Vals,MATCH(E2002,ExtShape_Keys,0))*AlumCostPerKg+O2002*INDEX(Finish_Vals,MATCH(G2002,Finish_Keys,0)))</f>
        <v>240.787</v>
      </c>
      <c r="Q2002" s="27" t="n">
        <f aca="false">INDEX(Markup_Vals,MATCH("Extrusion Profiles &amp; Raw Stock",MarkupSub_Keys,0))</f>
        <v>0.18</v>
      </c>
      <c r="R2002" s="28" t="n">
        <f aca="false">P2002*(1+Q2002)</f>
        <v>284.12866</v>
      </c>
      <c r="S2002" s="28" t="n">
        <f aca="false">R2002*(1-TradeDiscount)</f>
        <v>250.0332208</v>
      </c>
      <c r="T2002" s="28" t="n">
        <f aca="false">R2002*(1-VolumeDiscount)</f>
        <v>227.302928</v>
      </c>
    </row>
    <row r="2003" customFormat="false" ht="15" hidden="false" customHeight="false" outlineLevel="0" collapsed="false">
      <c r="A2003" s="29" t="s">
        <v>4376</v>
      </c>
      <c r="B2003" s="29" t="s">
        <v>124</v>
      </c>
      <c r="C2003" s="29" t="s">
        <v>125</v>
      </c>
      <c r="D2003" s="29" t="s">
        <v>4377</v>
      </c>
      <c r="E2003" s="29" t="s">
        <v>108</v>
      </c>
      <c r="F2003" s="29" t="s">
        <v>4276</v>
      </c>
      <c r="G2003" s="29" t="s">
        <v>37</v>
      </c>
      <c r="H2003" s="29" t="s">
        <v>3148</v>
      </c>
      <c r="I2003" s="29" t="s">
        <v>190</v>
      </c>
      <c r="J2003" s="29" t="s">
        <v>4262</v>
      </c>
      <c r="K2003" s="29" t="s">
        <v>192</v>
      </c>
      <c r="L2003" s="29"/>
      <c r="M2003" s="29"/>
      <c r="N2003" s="29"/>
      <c r="O2003" s="29" t="n">
        <v>5.8</v>
      </c>
      <c r="P2003" s="30" t="n">
        <f aca="false">(O2003*INDEX(ExtShape_Vals,MATCH(E2003,ExtShape_Keys,0))*AlumCostPerKg+O2003*INDEX(Finish_Vals,MATCH(G2003,Finish_Keys,0)))</f>
        <v>240.787</v>
      </c>
      <c r="Q2003" s="31" t="n">
        <f aca="false">INDEX(Markup_Vals,MATCH("Extrusion Profiles &amp; Raw Stock",MarkupSub_Keys,0))</f>
        <v>0.18</v>
      </c>
      <c r="R2003" s="32" t="n">
        <f aca="false">P2003*(1+Q2003)</f>
        <v>284.12866</v>
      </c>
      <c r="S2003" s="32" t="n">
        <f aca="false">R2003*(1-TradeDiscount)</f>
        <v>250.0332208</v>
      </c>
      <c r="T2003" s="32" t="n">
        <f aca="false">R2003*(1-VolumeDiscount)</f>
        <v>227.302928</v>
      </c>
    </row>
    <row r="2004" customFormat="false" ht="15" hidden="false" customHeight="false" outlineLevel="0" collapsed="false">
      <c r="A2004" s="25" t="s">
        <v>4378</v>
      </c>
      <c r="B2004" s="25" t="s">
        <v>124</v>
      </c>
      <c r="C2004" s="25" t="s">
        <v>125</v>
      </c>
      <c r="D2004" s="25" t="s">
        <v>4379</v>
      </c>
      <c r="E2004" s="25" t="s">
        <v>108</v>
      </c>
      <c r="F2004" s="25" t="s">
        <v>4283</v>
      </c>
      <c r="G2004" s="25" t="s">
        <v>35</v>
      </c>
      <c r="H2004" s="25" t="s">
        <v>3148</v>
      </c>
      <c r="I2004" s="25" t="s">
        <v>190</v>
      </c>
      <c r="J2004" s="25" t="s">
        <v>4262</v>
      </c>
      <c r="K2004" s="25" t="s">
        <v>192</v>
      </c>
      <c r="L2004" s="25"/>
      <c r="M2004" s="25"/>
      <c r="N2004" s="25"/>
      <c r="O2004" s="25" t="n">
        <v>6.5</v>
      </c>
      <c r="P2004" s="26" t="n">
        <f aca="false">(O2004*INDEX(ExtShape_Vals,MATCH(E2004,ExtShape_Keys,0))*AlumCostPerKg+O2004*INDEX(Finish_Vals,MATCH(G2004,Finish_Keys,0)))</f>
        <v>185.3475</v>
      </c>
      <c r="Q2004" s="27" t="n">
        <f aca="false">INDEX(Markup_Vals,MATCH("Extrusion Profiles &amp; Raw Stock",MarkupSub_Keys,0))</f>
        <v>0.18</v>
      </c>
      <c r="R2004" s="28" t="n">
        <f aca="false">P2004*(1+Q2004)</f>
        <v>218.71005</v>
      </c>
      <c r="S2004" s="28" t="n">
        <f aca="false">R2004*(1-TradeDiscount)</f>
        <v>192.464844</v>
      </c>
      <c r="T2004" s="28" t="n">
        <f aca="false">R2004*(1-VolumeDiscount)</f>
        <v>174.96804</v>
      </c>
    </row>
    <row r="2005" customFormat="false" ht="15" hidden="false" customHeight="false" outlineLevel="0" collapsed="false">
      <c r="A2005" s="29" t="s">
        <v>4380</v>
      </c>
      <c r="B2005" s="29" t="s">
        <v>124</v>
      </c>
      <c r="C2005" s="29" t="s">
        <v>125</v>
      </c>
      <c r="D2005" s="29" t="s">
        <v>4381</v>
      </c>
      <c r="E2005" s="29" t="s">
        <v>108</v>
      </c>
      <c r="F2005" s="29" t="s">
        <v>4283</v>
      </c>
      <c r="G2005" s="29" t="s">
        <v>36</v>
      </c>
      <c r="H2005" s="29" t="s">
        <v>3148</v>
      </c>
      <c r="I2005" s="29" t="s">
        <v>190</v>
      </c>
      <c r="J2005" s="29" t="s">
        <v>4262</v>
      </c>
      <c r="K2005" s="29" t="s">
        <v>192</v>
      </c>
      <c r="L2005" s="29"/>
      <c r="M2005" s="29"/>
      <c r="N2005" s="29"/>
      <c r="O2005" s="29" t="n">
        <v>6.5</v>
      </c>
      <c r="P2005" s="30" t="n">
        <f aca="false">(O2005*INDEX(ExtShape_Vals,MATCH(E2005,ExtShape_Keys,0))*AlumCostPerKg+O2005*INDEX(Finish_Vals,MATCH(G2005,Finish_Keys,0)))</f>
        <v>269.8475</v>
      </c>
      <c r="Q2005" s="31" t="n">
        <f aca="false">INDEX(Markup_Vals,MATCH("Extrusion Profiles &amp; Raw Stock",MarkupSub_Keys,0))</f>
        <v>0.18</v>
      </c>
      <c r="R2005" s="32" t="n">
        <f aca="false">P2005*(1+Q2005)</f>
        <v>318.42005</v>
      </c>
      <c r="S2005" s="32" t="n">
        <f aca="false">R2005*(1-TradeDiscount)</f>
        <v>280.209644</v>
      </c>
      <c r="T2005" s="32" t="n">
        <f aca="false">R2005*(1-VolumeDiscount)</f>
        <v>254.73604</v>
      </c>
    </row>
    <row r="2006" customFormat="false" ht="15" hidden="false" customHeight="false" outlineLevel="0" collapsed="false">
      <c r="A2006" s="25" t="s">
        <v>4382</v>
      </c>
      <c r="B2006" s="25" t="s">
        <v>124</v>
      </c>
      <c r="C2006" s="25" t="s">
        <v>125</v>
      </c>
      <c r="D2006" s="25" t="s">
        <v>4383</v>
      </c>
      <c r="E2006" s="25" t="s">
        <v>108</v>
      </c>
      <c r="F2006" s="25" t="s">
        <v>4283</v>
      </c>
      <c r="G2006" s="25" t="s">
        <v>37</v>
      </c>
      <c r="H2006" s="25" t="s">
        <v>3148</v>
      </c>
      <c r="I2006" s="25" t="s">
        <v>190</v>
      </c>
      <c r="J2006" s="25" t="s">
        <v>4262</v>
      </c>
      <c r="K2006" s="25" t="s">
        <v>192</v>
      </c>
      <c r="L2006" s="25"/>
      <c r="M2006" s="25"/>
      <c r="N2006" s="25"/>
      <c r="O2006" s="25" t="n">
        <v>6.5</v>
      </c>
      <c r="P2006" s="26" t="n">
        <f aca="false">(O2006*INDEX(ExtShape_Vals,MATCH(E2006,ExtShape_Keys,0))*AlumCostPerKg+O2006*INDEX(Finish_Vals,MATCH(G2006,Finish_Keys,0)))</f>
        <v>269.8475</v>
      </c>
      <c r="Q2006" s="27" t="n">
        <f aca="false">INDEX(Markup_Vals,MATCH("Extrusion Profiles &amp; Raw Stock",MarkupSub_Keys,0))</f>
        <v>0.18</v>
      </c>
      <c r="R2006" s="28" t="n">
        <f aca="false">P2006*(1+Q2006)</f>
        <v>318.42005</v>
      </c>
      <c r="S2006" s="28" t="n">
        <f aca="false">R2006*(1-TradeDiscount)</f>
        <v>280.209644</v>
      </c>
      <c r="T2006" s="28" t="n">
        <f aca="false">R2006*(1-VolumeDiscount)</f>
        <v>254.73604</v>
      </c>
    </row>
    <row r="2007" customFormat="false" ht="15" hidden="false" customHeight="false" outlineLevel="0" collapsed="false">
      <c r="A2007" s="29" t="s">
        <v>4384</v>
      </c>
      <c r="B2007" s="29" t="s">
        <v>124</v>
      </c>
      <c r="C2007" s="29" t="s">
        <v>125</v>
      </c>
      <c r="D2007" s="29" t="s">
        <v>4385</v>
      </c>
      <c r="E2007" s="29" t="s">
        <v>109</v>
      </c>
      <c r="F2007" s="29" t="s">
        <v>4261</v>
      </c>
      <c r="G2007" s="29" t="s">
        <v>35</v>
      </c>
      <c r="H2007" s="29" t="s">
        <v>3148</v>
      </c>
      <c r="I2007" s="29" t="s">
        <v>190</v>
      </c>
      <c r="J2007" s="29" t="s">
        <v>4262</v>
      </c>
      <c r="K2007" s="29" t="s">
        <v>192</v>
      </c>
      <c r="L2007" s="29"/>
      <c r="M2007" s="29"/>
      <c r="N2007" s="29"/>
      <c r="O2007" s="29" t="n">
        <v>3</v>
      </c>
      <c r="P2007" s="30" t="n">
        <f aca="false">(O2007*INDEX(ExtShape_Vals,MATCH(E2007,ExtShape_Keys,0))*AlumCostPerKg+O2007*INDEX(Finish_Vals,MATCH(G2007,Finish_Keys,0)))</f>
        <v>92.205</v>
      </c>
      <c r="Q2007" s="31" t="n">
        <f aca="false">INDEX(Markup_Vals,MATCH("Extrusion Profiles &amp; Raw Stock",MarkupSub_Keys,0))</f>
        <v>0.18</v>
      </c>
      <c r="R2007" s="32" t="n">
        <f aca="false">P2007*(1+Q2007)</f>
        <v>108.8019</v>
      </c>
      <c r="S2007" s="32" t="n">
        <f aca="false">R2007*(1-TradeDiscount)</f>
        <v>95.745672</v>
      </c>
      <c r="T2007" s="32" t="n">
        <f aca="false">R2007*(1-VolumeDiscount)</f>
        <v>87.04152</v>
      </c>
    </row>
    <row r="2008" customFormat="false" ht="15" hidden="false" customHeight="false" outlineLevel="0" collapsed="false">
      <c r="A2008" s="25" t="s">
        <v>4386</v>
      </c>
      <c r="B2008" s="25" t="s">
        <v>124</v>
      </c>
      <c r="C2008" s="25" t="s">
        <v>125</v>
      </c>
      <c r="D2008" s="25" t="s">
        <v>4387</v>
      </c>
      <c r="E2008" s="25" t="s">
        <v>109</v>
      </c>
      <c r="F2008" s="25" t="s">
        <v>4261</v>
      </c>
      <c r="G2008" s="25" t="s">
        <v>36</v>
      </c>
      <c r="H2008" s="25" t="s">
        <v>3148</v>
      </c>
      <c r="I2008" s="25" t="s">
        <v>190</v>
      </c>
      <c r="J2008" s="25" t="s">
        <v>4262</v>
      </c>
      <c r="K2008" s="25" t="s">
        <v>192</v>
      </c>
      <c r="L2008" s="25"/>
      <c r="M2008" s="25"/>
      <c r="N2008" s="25"/>
      <c r="O2008" s="25" t="n">
        <v>3</v>
      </c>
      <c r="P2008" s="26" t="n">
        <f aca="false">(O2008*INDEX(ExtShape_Vals,MATCH(E2008,ExtShape_Keys,0))*AlumCostPerKg+O2008*INDEX(Finish_Vals,MATCH(G2008,Finish_Keys,0)))</f>
        <v>131.205</v>
      </c>
      <c r="Q2008" s="27" t="n">
        <f aca="false">INDEX(Markup_Vals,MATCH("Extrusion Profiles &amp; Raw Stock",MarkupSub_Keys,0))</f>
        <v>0.18</v>
      </c>
      <c r="R2008" s="28" t="n">
        <f aca="false">P2008*(1+Q2008)</f>
        <v>154.8219</v>
      </c>
      <c r="S2008" s="28" t="n">
        <f aca="false">R2008*(1-TradeDiscount)</f>
        <v>136.243272</v>
      </c>
      <c r="T2008" s="28" t="n">
        <f aca="false">R2008*(1-VolumeDiscount)</f>
        <v>123.85752</v>
      </c>
    </row>
    <row r="2009" customFormat="false" ht="15" hidden="false" customHeight="false" outlineLevel="0" collapsed="false">
      <c r="A2009" s="29" t="s">
        <v>4388</v>
      </c>
      <c r="B2009" s="29" t="s">
        <v>124</v>
      </c>
      <c r="C2009" s="29" t="s">
        <v>125</v>
      </c>
      <c r="D2009" s="29" t="s">
        <v>4389</v>
      </c>
      <c r="E2009" s="29" t="s">
        <v>109</v>
      </c>
      <c r="F2009" s="29" t="s">
        <v>4261</v>
      </c>
      <c r="G2009" s="29" t="s">
        <v>37</v>
      </c>
      <c r="H2009" s="29" t="s">
        <v>3148</v>
      </c>
      <c r="I2009" s="29" t="s">
        <v>190</v>
      </c>
      <c r="J2009" s="29" t="s">
        <v>4262</v>
      </c>
      <c r="K2009" s="29" t="s">
        <v>192</v>
      </c>
      <c r="L2009" s="29"/>
      <c r="M2009" s="29"/>
      <c r="N2009" s="29"/>
      <c r="O2009" s="29" t="n">
        <v>3</v>
      </c>
      <c r="P2009" s="30" t="n">
        <f aca="false">(O2009*INDEX(ExtShape_Vals,MATCH(E2009,ExtShape_Keys,0))*AlumCostPerKg+O2009*INDEX(Finish_Vals,MATCH(G2009,Finish_Keys,0)))</f>
        <v>131.205</v>
      </c>
      <c r="Q2009" s="31" t="n">
        <f aca="false">INDEX(Markup_Vals,MATCH("Extrusion Profiles &amp; Raw Stock",MarkupSub_Keys,0))</f>
        <v>0.18</v>
      </c>
      <c r="R2009" s="32" t="n">
        <f aca="false">P2009*(1+Q2009)</f>
        <v>154.8219</v>
      </c>
      <c r="S2009" s="32" t="n">
        <f aca="false">R2009*(1-TradeDiscount)</f>
        <v>136.243272</v>
      </c>
      <c r="T2009" s="32" t="n">
        <f aca="false">R2009*(1-VolumeDiscount)</f>
        <v>123.85752</v>
      </c>
    </row>
    <row r="2010" customFormat="false" ht="15" hidden="false" customHeight="false" outlineLevel="0" collapsed="false">
      <c r="A2010" s="25" t="s">
        <v>4390</v>
      </c>
      <c r="B2010" s="25" t="s">
        <v>124</v>
      </c>
      <c r="C2010" s="25" t="s">
        <v>125</v>
      </c>
      <c r="D2010" s="25" t="s">
        <v>4391</v>
      </c>
      <c r="E2010" s="25" t="s">
        <v>109</v>
      </c>
      <c r="F2010" s="25" t="s">
        <v>4269</v>
      </c>
      <c r="G2010" s="25" t="s">
        <v>35</v>
      </c>
      <c r="H2010" s="25" t="s">
        <v>3148</v>
      </c>
      <c r="I2010" s="25" t="s">
        <v>190</v>
      </c>
      <c r="J2010" s="25" t="s">
        <v>4262</v>
      </c>
      <c r="K2010" s="25" t="s">
        <v>192</v>
      </c>
      <c r="L2010" s="25"/>
      <c r="M2010" s="25"/>
      <c r="N2010" s="25"/>
      <c r="O2010" s="25" t="n">
        <v>4</v>
      </c>
      <c r="P2010" s="26" t="n">
        <f aca="false">(O2010*INDEX(ExtShape_Vals,MATCH(E2010,ExtShape_Keys,0))*AlumCostPerKg+O2010*INDEX(Finish_Vals,MATCH(G2010,Finish_Keys,0)))</f>
        <v>122.94</v>
      </c>
      <c r="Q2010" s="27" t="n">
        <f aca="false">INDEX(Markup_Vals,MATCH("Extrusion Profiles &amp; Raw Stock",MarkupSub_Keys,0))</f>
        <v>0.18</v>
      </c>
      <c r="R2010" s="28" t="n">
        <f aca="false">P2010*(1+Q2010)</f>
        <v>145.0692</v>
      </c>
      <c r="S2010" s="28" t="n">
        <f aca="false">R2010*(1-TradeDiscount)</f>
        <v>127.660896</v>
      </c>
      <c r="T2010" s="28" t="n">
        <f aca="false">R2010*(1-VolumeDiscount)</f>
        <v>116.05536</v>
      </c>
    </row>
    <row r="2011" customFormat="false" ht="15" hidden="false" customHeight="false" outlineLevel="0" collapsed="false">
      <c r="A2011" s="29" t="s">
        <v>4392</v>
      </c>
      <c r="B2011" s="29" t="s">
        <v>124</v>
      </c>
      <c r="C2011" s="29" t="s">
        <v>125</v>
      </c>
      <c r="D2011" s="29" t="s">
        <v>4393</v>
      </c>
      <c r="E2011" s="29" t="s">
        <v>109</v>
      </c>
      <c r="F2011" s="29" t="s">
        <v>4269</v>
      </c>
      <c r="G2011" s="29" t="s">
        <v>36</v>
      </c>
      <c r="H2011" s="29" t="s">
        <v>3148</v>
      </c>
      <c r="I2011" s="29" t="s">
        <v>190</v>
      </c>
      <c r="J2011" s="29" t="s">
        <v>4262</v>
      </c>
      <c r="K2011" s="29" t="s">
        <v>192</v>
      </c>
      <c r="L2011" s="29"/>
      <c r="M2011" s="29"/>
      <c r="N2011" s="29"/>
      <c r="O2011" s="29" t="n">
        <v>4</v>
      </c>
      <c r="P2011" s="30" t="n">
        <f aca="false">(O2011*INDEX(ExtShape_Vals,MATCH(E2011,ExtShape_Keys,0))*AlumCostPerKg+O2011*INDEX(Finish_Vals,MATCH(G2011,Finish_Keys,0)))</f>
        <v>174.94</v>
      </c>
      <c r="Q2011" s="31" t="n">
        <f aca="false">INDEX(Markup_Vals,MATCH("Extrusion Profiles &amp; Raw Stock",MarkupSub_Keys,0))</f>
        <v>0.18</v>
      </c>
      <c r="R2011" s="32" t="n">
        <f aca="false">P2011*(1+Q2011)</f>
        <v>206.4292</v>
      </c>
      <c r="S2011" s="32" t="n">
        <f aca="false">R2011*(1-TradeDiscount)</f>
        <v>181.657696</v>
      </c>
      <c r="T2011" s="32" t="n">
        <f aca="false">R2011*(1-VolumeDiscount)</f>
        <v>165.14336</v>
      </c>
    </row>
    <row r="2012" customFormat="false" ht="15" hidden="false" customHeight="false" outlineLevel="0" collapsed="false">
      <c r="A2012" s="25" t="s">
        <v>4394</v>
      </c>
      <c r="B2012" s="25" t="s">
        <v>124</v>
      </c>
      <c r="C2012" s="25" t="s">
        <v>125</v>
      </c>
      <c r="D2012" s="25" t="s">
        <v>4395</v>
      </c>
      <c r="E2012" s="25" t="s">
        <v>109</v>
      </c>
      <c r="F2012" s="25" t="s">
        <v>4269</v>
      </c>
      <c r="G2012" s="25" t="s">
        <v>37</v>
      </c>
      <c r="H2012" s="25" t="s">
        <v>3148</v>
      </c>
      <c r="I2012" s="25" t="s">
        <v>190</v>
      </c>
      <c r="J2012" s="25" t="s">
        <v>4262</v>
      </c>
      <c r="K2012" s="25" t="s">
        <v>192</v>
      </c>
      <c r="L2012" s="25"/>
      <c r="M2012" s="25"/>
      <c r="N2012" s="25"/>
      <c r="O2012" s="25" t="n">
        <v>4</v>
      </c>
      <c r="P2012" s="26" t="n">
        <f aca="false">(O2012*INDEX(ExtShape_Vals,MATCH(E2012,ExtShape_Keys,0))*AlumCostPerKg+O2012*INDEX(Finish_Vals,MATCH(G2012,Finish_Keys,0)))</f>
        <v>174.94</v>
      </c>
      <c r="Q2012" s="27" t="n">
        <f aca="false">INDEX(Markup_Vals,MATCH("Extrusion Profiles &amp; Raw Stock",MarkupSub_Keys,0))</f>
        <v>0.18</v>
      </c>
      <c r="R2012" s="28" t="n">
        <f aca="false">P2012*(1+Q2012)</f>
        <v>206.4292</v>
      </c>
      <c r="S2012" s="28" t="n">
        <f aca="false">R2012*(1-TradeDiscount)</f>
        <v>181.657696</v>
      </c>
      <c r="T2012" s="28" t="n">
        <f aca="false">R2012*(1-VolumeDiscount)</f>
        <v>165.14336</v>
      </c>
    </row>
    <row r="2013" customFormat="false" ht="15" hidden="false" customHeight="false" outlineLevel="0" collapsed="false">
      <c r="A2013" s="29" t="s">
        <v>4396</v>
      </c>
      <c r="B2013" s="29" t="s">
        <v>124</v>
      </c>
      <c r="C2013" s="29" t="s">
        <v>125</v>
      </c>
      <c r="D2013" s="29" t="s">
        <v>4397</v>
      </c>
      <c r="E2013" s="29" t="s">
        <v>109</v>
      </c>
      <c r="F2013" s="29" t="s">
        <v>4276</v>
      </c>
      <c r="G2013" s="29" t="s">
        <v>35</v>
      </c>
      <c r="H2013" s="29" t="s">
        <v>3148</v>
      </c>
      <c r="I2013" s="29" t="s">
        <v>190</v>
      </c>
      <c r="J2013" s="29" t="s">
        <v>4262</v>
      </c>
      <c r="K2013" s="29" t="s">
        <v>192</v>
      </c>
      <c r="L2013" s="29"/>
      <c r="M2013" s="29"/>
      <c r="N2013" s="29"/>
      <c r="O2013" s="29" t="n">
        <v>5.8</v>
      </c>
      <c r="P2013" s="30" t="n">
        <f aca="false">(O2013*INDEX(ExtShape_Vals,MATCH(E2013,ExtShape_Keys,0))*AlumCostPerKg+O2013*INDEX(Finish_Vals,MATCH(G2013,Finish_Keys,0)))</f>
        <v>178.263</v>
      </c>
      <c r="Q2013" s="31" t="n">
        <f aca="false">INDEX(Markup_Vals,MATCH("Extrusion Profiles &amp; Raw Stock",MarkupSub_Keys,0))</f>
        <v>0.18</v>
      </c>
      <c r="R2013" s="32" t="n">
        <f aca="false">P2013*(1+Q2013)</f>
        <v>210.35034</v>
      </c>
      <c r="S2013" s="32" t="n">
        <f aca="false">R2013*(1-TradeDiscount)</f>
        <v>185.1082992</v>
      </c>
      <c r="T2013" s="32" t="n">
        <f aca="false">R2013*(1-VolumeDiscount)</f>
        <v>168.280272</v>
      </c>
    </row>
    <row r="2014" customFormat="false" ht="15" hidden="false" customHeight="false" outlineLevel="0" collapsed="false">
      <c r="A2014" s="25" t="s">
        <v>4398</v>
      </c>
      <c r="B2014" s="25" t="s">
        <v>124</v>
      </c>
      <c r="C2014" s="25" t="s">
        <v>125</v>
      </c>
      <c r="D2014" s="25" t="s">
        <v>4399</v>
      </c>
      <c r="E2014" s="25" t="s">
        <v>109</v>
      </c>
      <c r="F2014" s="25" t="s">
        <v>4276</v>
      </c>
      <c r="G2014" s="25" t="s">
        <v>36</v>
      </c>
      <c r="H2014" s="25" t="s">
        <v>3148</v>
      </c>
      <c r="I2014" s="25" t="s">
        <v>190</v>
      </c>
      <c r="J2014" s="25" t="s">
        <v>4262</v>
      </c>
      <c r="K2014" s="25" t="s">
        <v>192</v>
      </c>
      <c r="L2014" s="25"/>
      <c r="M2014" s="25"/>
      <c r="N2014" s="25"/>
      <c r="O2014" s="25" t="n">
        <v>5.8</v>
      </c>
      <c r="P2014" s="26" t="n">
        <f aca="false">(O2014*INDEX(ExtShape_Vals,MATCH(E2014,ExtShape_Keys,0))*AlumCostPerKg+O2014*INDEX(Finish_Vals,MATCH(G2014,Finish_Keys,0)))</f>
        <v>253.663</v>
      </c>
      <c r="Q2014" s="27" t="n">
        <f aca="false">INDEX(Markup_Vals,MATCH("Extrusion Profiles &amp; Raw Stock",MarkupSub_Keys,0))</f>
        <v>0.18</v>
      </c>
      <c r="R2014" s="28" t="n">
        <f aca="false">P2014*(1+Q2014)</f>
        <v>299.32234</v>
      </c>
      <c r="S2014" s="28" t="n">
        <f aca="false">R2014*(1-TradeDiscount)</f>
        <v>263.4036592</v>
      </c>
      <c r="T2014" s="28" t="n">
        <f aca="false">R2014*(1-VolumeDiscount)</f>
        <v>239.457872</v>
      </c>
    </row>
    <row r="2015" customFormat="false" ht="15" hidden="false" customHeight="false" outlineLevel="0" collapsed="false">
      <c r="A2015" s="29" t="s">
        <v>4400</v>
      </c>
      <c r="B2015" s="29" t="s">
        <v>124</v>
      </c>
      <c r="C2015" s="29" t="s">
        <v>125</v>
      </c>
      <c r="D2015" s="29" t="s">
        <v>4401</v>
      </c>
      <c r="E2015" s="29" t="s">
        <v>109</v>
      </c>
      <c r="F2015" s="29" t="s">
        <v>4276</v>
      </c>
      <c r="G2015" s="29" t="s">
        <v>37</v>
      </c>
      <c r="H2015" s="29" t="s">
        <v>3148</v>
      </c>
      <c r="I2015" s="29" t="s">
        <v>190</v>
      </c>
      <c r="J2015" s="29" t="s">
        <v>4262</v>
      </c>
      <c r="K2015" s="29" t="s">
        <v>192</v>
      </c>
      <c r="L2015" s="29"/>
      <c r="M2015" s="29"/>
      <c r="N2015" s="29"/>
      <c r="O2015" s="29" t="n">
        <v>5.8</v>
      </c>
      <c r="P2015" s="30" t="n">
        <f aca="false">(O2015*INDEX(ExtShape_Vals,MATCH(E2015,ExtShape_Keys,0))*AlumCostPerKg+O2015*INDEX(Finish_Vals,MATCH(G2015,Finish_Keys,0)))</f>
        <v>253.663</v>
      </c>
      <c r="Q2015" s="31" t="n">
        <f aca="false">INDEX(Markup_Vals,MATCH("Extrusion Profiles &amp; Raw Stock",MarkupSub_Keys,0))</f>
        <v>0.18</v>
      </c>
      <c r="R2015" s="32" t="n">
        <f aca="false">P2015*(1+Q2015)</f>
        <v>299.32234</v>
      </c>
      <c r="S2015" s="32" t="n">
        <f aca="false">R2015*(1-TradeDiscount)</f>
        <v>263.4036592</v>
      </c>
      <c r="T2015" s="32" t="n">
        <f aca="false">R2015*(1-VolumeDiscount)</f>
        <v>239.457872</v>
      </c>
    </row>
    <row r="2016" customFormat="false" ht="15" hidden="false" customHeight="false" outlineLevel="0" collapsed="false">
      <c r="A2016" s="25" t="s">
        <v>4402</v>
      </c>
      <c r="B2016" s="25" t="s">
        <v>124</v>
      </c>
      <c r="C2016" s="25" t="s">
        <v>125</v>
      </c>
      <c r="D2016" s="25" t="s">
        <v>4403</v>
      </c>
      <c r="E2016" s="25" t="s">
        <v>109</v>
      </c>
      <c r="F2016" s="25" t="s">
        <v>4283</v>
      </c>
      <c r="G2016" s="25" t="s">
        <v>35</v>
      </c>
      <c r="H2016" s="25" t="s">
        <v>3148</v>
      </c>
      <c r="I2016" s="25" t="s">
        <v>190</v>
      </c>
      <c r="J2016" s="25" t="s">
        <v>4262</v>
      </c>
      <c r="K2016" s="25" t="s">
        <v>192</v>
      </c>
      <c r="L2016" s="25"/>
      <c r="M2016" s="25"/>
      <c r="N2016" s="25"/>
      <c r="O2016" s="25" t="n">
        <v>6.5</v>
      </c>
      <c r="P2016" s="26" t="n">
        <f aca="false">(O2016*INDEX(ExtShape_Vals,MATCH(E2016,ExtShape_Keys,0))*AlumCostPerKg+O2016*INDEX(Finish_Vals,MATCH(G2016,Finish_Keys,0)))</f>
        <v>199.7775</v>
      </c>
      <c r="Q2016" s="27" t="n">
        <f aca="false">INDEX(Markup_Vals,MATCH("Extrusion Profiles &amp; Raw Stock",MarkupSub_Keys,0))</f>
        <v>0.18</v>
      </c>
      <c r="R2016" s="28" t="n">
        <f aca="false">P2016*(1+Q2016)</f>
        <v>235.73745</v>
      </c>
      <c r="S2016" s="28" t="n">
        <f aca="false">R2016*(1-TradeDiscount)</f>
        <v>207.448956</v>
      </c>
      <c r="T2016" s="28" t="n">
        <f aca="false">R2016*(1-VolumeDiscount)</f>
        <v>188.58996</v>
      </c>
    </row>
    <row r="2017" customFormat="false" ht="15" hidden="false" customHeight="false" outlineLevel="0" collapsed="false">
      <c r="A2017" s="29" t="s">
        <v>4404</v>
      </c>
      <c r="B2017" s="29" t="s">
        <v>124</v>
      </c>
      <c r="C2017" s="29" t="s">
        <v>125</v>
      </c>
      <c r="D2017" s="29" t="s">
        <v>4405</v>
      </c>
      <c r="E2017" s="29" t="s">
        <v>109</v>
      </c>
      <c r="F2017" s="29" t="s">
        <v>4283</v>
      </c>
      <c r="G2017" s="29" t="s">
        <v>36</v>
      </c>
      <c r="H2017" s="29" t="s">
        <v>3148</v>
      </c>
      <c r="I2017" s="29" t="s">
        <v>190</v>
      </c>
      <c r="J2017" s="29" t="s">
        <v>4262</v>
      </c>
      <c r="K2017" s="29" t="s">
        <v>192</v>
      </c>
      <c r="L2017" s="29"/>
      <c r="M2017" s="29"/>
      <c r="N2017" s="29"/>
      <c r="O2017" s="29" t="n">
        <v>6.5</v>
      </c>
      <c r="P2017" s="30" t="n">
        <f aca="false">(O2017*INDEX(ExtShape_Vals,MATCH(E2017,ExtShape_Keys,0))*AlumCostPerKg+O2017*INDEX(Finish_Vals,MATCH(G2017,Finish_Keys,0)))</f>
        <v>284.2775</v>
      </c>
      <c r="Q2017" s="31" t="n">
        <f aca="false">INDEX(Markup_Vals,MATCH("Extrusion Profiles &amp; Raw Stock",MarkupSub_Keys,0))</f>
        <v>0.18</v>
      </c>
      <c r="R2017" s="32" t="n">
        <f aca="false">P2017*(1+Q2017)</f>
        <v>335.44745</v>
      </c>
      <c r="S2017" s="32" t="n">
        <f aca="false">R2017*(1-TradeDiscount)</f>
        <v>295.193756</v>
      </c>
      <c r="T2017" s="32" t="n">
        <f aca="false">R2017*(1-VolumeDiscount)</f>
        <v>268.35796</v>
      </c>
    </row>
    <row r="2018" customFormat="false" ht="15" hidden="false" customHeight="false" outlineLevel="0" collapsed="false">
      <c r="A2018" s="25" t="s">
        <v>4406</v>
      </c>
      <c r="B2018" s="25" t="s">
        <v>124</v>
      </c>
      <c r="C2018" s="25" t="s">
        <v>125</v>
      </c>
      <c r="D2018" s="25" t="s">
        <v>4407</v>
      </c>
      <c r="E2018" s="25" t="s">
        <v>109</v>
      </c>
      <c r="F2018" s="25" t="s">
        <v>4283</v>
      </c>
      <c r="G2018" s="25" t="s">
        <v>37</v>
      </c>
      <c r="H2018" s="25" t="s">
        <v>3148</v>
      </c>
      <c r="I2018" s="25" t="s">
        <v>190</v>
      </c>
      <c r="J2018" s="25" t="s">
        <v>4262</v>
      </c>
      <c r="K2018" s="25" t="s">
        <v>192</v>
      </c>
      <c r="L2018" s="25"/>
      <c r="M2018" s="25"/>
      <c r="N2018" s="25"/>
      <c r="O2018" s="25" t="n">
        <v>6.5</v>
      </c>
      <c r="P2018" s="26" t="n">
        <f aca="false">(O2018*INDEX(ExtShape_Vals,MATCH(E2018,ExtShape_Keys,0))*AlumCostPerKg+O2018*INDEX(Finish_Vals,MATCH(G2018,Finish_Keys,0)))</f>
        <v>284.2775</v>
      </c>
      <c r="Q2018" s="27" t="n">
        <f aca="false">INDEX(Markup_Vals,MATCH("Extrusion Profiles &amp; Raw Stock",MarkupSub_Keys,0))</f>
        <v>0.18</v>
      </c>
      <c r="R2018" s="28" t="n">
        <f aca="false">P2018*(1+Q2018)</f>
        <v>335.44745</v>
      </c>
      <c r="S2018" s="28" t="n">
        <f aca="false">R2018*(1-TradeDiscount)</f>
        <v>295.193756</v>
      </c>
      <c r="T2018" s="28" t="n">
        <f aca="false">R2018*(1-VolumeDiscount)</f>
        <v>268.35796</v>
      </c>
    </row>
    <row r="2019" customFormat="false" ht="15" hidden="false" customHeight="false" outlineLevel="0" collapsed="false">
      <c r="A2019" s="29" t="s">
        <v>4408</v>
      </c>
      <c r="B2019" s="29" t="s">
        <v>124</v>
      </c>
      <c r="C2019" s="29" t="s">
        <v>125</v>
      </c>
      <c r="D2019" s="29" t="s">
        <v>4409</v>
      </c>
      <c r="E2019" s="29" t="s">
        <v>110</v>
      </c>
      <c r="F2019" s="29" t="s">
        <v>4261</v>
      </c>
      <c r="G2019" s="29" t="s">
        <v>35</v>
      </c>
      <c r="H2019" s="29" t="s">
        <v>3148</v>
      </c>
      <c r="I2019" s="29" t="s">
        <v>190</v>
      </c>
      <c r="J2019" s="29" t="s">
        <v>4262</v>
      </c>
      <c r="K2019" s="29" t="s">
        <v>192</v>
      </c>
      <c r="L2019" s="29"/>
      <c r="M2019" s="29"/>
      <c r="N2019" s="29"/>
      <c r="O2019" s="29" t="n">
        <v>3</v>
      </c>
      <c r="P2019" s="30" t="n">
        <f aca="false">(O2019*INDEX(ExtShape_Vals,MATCH(E2019,ExtShape_Keys,0))*AlumCostPerKg+O2019*INDEX(Finish_Vals,MATCH(G2019,Finish_Keys,0)))</f>
        <v>86.1</v>
      </c>
      <c r="Q2019" s="31" t="n">
        <f aca="false">INDEX(Markup_Vals,MATCH("Extrusion Profiles &amp; Raw Stock",MarkupSub_Keys,0))</f>
        <v>0.18</v>
      </c>
      <c r="R2019" s="32" t="n">
        <f aca="false">P2019*(1+Q2019)</f>
        <v>101.598</v>
      </c>
      <c r="S2019" s="32" t="n">
        <f aca="false">R2019*(1-TradeDiscount)</f>
        <v>89.40624</v>
      </c>
      <c r="T2019" s="32" t="n">
        <f aca="false">R2019*(1-VolumeDiscount)</f>
        <v>81.2784</v>
      </c>
    </row>
    <row r="2020" customFormat="false" ht="15" hidden="false" customHeight="false" outlineLevel="0" collapsed="false">
      <c r="A2020" s="25" t="s">
        <v>4410</v>
      </c>
      <c r="B2020" s="25" t="s">
        <v>124</v>
      </c>
      <c r="C2020" s="25" t="s">
        <v>125</v>
      </c>
      <c r="D2020" s="25" t="s">
        <v>4411</v>
      </c>
      <c r="E2020" s="25" t="s">
        <v>110</v>
      </c>
      <c r="F2020" s="25" t="s">
        <v>4261</v>
      </c>
      <c r="G2020" s="25" t="s">
        <v>36</v>
      </c>
      <c r="H2020" s="25" t="s">
        <v>3148</v>
      </c>
      <c r="I2020" s="25" t="s">
        <v>190</v>
      </c>
      <c r="J2020" s="25" t="s">
        <v>4262</v>
      </c>
      <c r="K2020" s="25" t="s">
        <v>192</v>
      </c>
      <c r="L2020" s="25"/>
      <c r="M2020" s="25"/>
      <c r="N2020" s="25"/>
      <c r="O2020" s="25" t="n">
        <v>3</v>
      </c>
      <c r="P2020" s="26" t="n">
        <f aca="false">(O2020*INDEX(ExtShape_Vals,MATCH(E2020,ExtShape_Keys,0))*AlumCostPerKg+O2020*INDEX(Finish_Vals,MATCH(G2020,Finish_Keys,0)))</f>
        <v>125.1</v>
      </c>
      <c r="Q2020" s="27" t="n">
        <f aca="false">INDEX(Markup_Vals,MATCH("Extrusion Profiles &amp; Raw Stock",MarkupSub_Keys,0))</f>
        <v>0.18</v>
      </c>
      <c r="R2020" s="28" t="n">
        <f aca="false">P2020*(1+Q2020)</f>
        <v>147.618</v>
      </c>
      <c r="S2020" s="28" t="n">
        <f aca="false">R2020*(1-TradeDiscount)</f>
        <v>129.90384</v>
      </c>
      <c r="T2020" s="28" t="n">
        <f aca="false">R2020*(1-VolumeDiscount)</f>
        <v>118.0944</v>
      </c>
    </row>
    <row r="2021" customFormat="false" ht="15" hidden="false" customHeight="false" outlineLevel="0" collapsed="false">
      <c r="A2021" s="29" t="s">
        <v>4412</v>
      </c>
      <c r="B2021" s="29" t="s">
        <v>124</v>
      </c>
      <c r="C2021" s="29" t="s">
        <v>125</v>
      </c>
      <c r="D2021" s="29" t="s">
        <v>4413</v>
      </c>
      <c r="E2021" s="29" t="s">
        <v>110</v>
      </c>
      <c r="F2021" s="29" t="s">
        <v>4261</v>
      </c>
      <c r="G2021" s="29" t="s">
        <v>37</v>
      </c>
      <c r="H2021" s="29" t="s">
        <v>3148</v>
      </c>
      <c r="I2021" s="29" t="s">
        <v>190</v>
      </c>
      <c r="J2021" s="29" t="s">
        <v>4262</v>
      </c>
      <c r="K2021" s="29" t="s">
        <v>192</v>
      </c>
      <c r="L2021" s="29"/>
      <c r="M2021" s="29"/>
      <c r="N2021" s="29"/>
      <c r="O2021" s="29" t="n">
        <v>3</v>
      </c>
      <c r="P2021" s="30" t="n">
        <f aca="false">(O2021*INDEX(ExtShape_Vals,MATCH(E2021,ExtShape_Keys,0))*AlumCostPerKg+O2021*INDEX(Finish_Vals,MATCH(G2021,Finish_Keys,0)))</f>
        <v>125.1</v>
      </c>
      <c r="Q2021" s="31" t="n">
        <f aca="false">INDEX(Markup_Vals,MATCH("Extrusion Profiles &amp; Raw Stock",MarkupSub_Keys,0))</f>
        <v>0.18</v>
      </c>
      <c r="R2021" s="32" t="n">
        <f aca="false">P2021*(1+Q2021)</f>
        <v>147.618</v>
      </c>
      <c r="S2021" s="32" t="n">
        <f aca="false">R2021*(1-TradeDiscount)</f>
        <v>129.90384</v>
      </c>
      <c r="T2021" s="32" t="n">
        <f aca="false">R2021*(1-VolumeDiscount)</f>
        <v>118.0944</v>
      </c>
    </row>
    <row r="2022" customFormat="false" ht="15" hidden="false" customHeight="false" outlineLevel="0" collapsed="false">
      <c r="A2022" s="25" t="s">
        <v>4414</v>
      </c>
      <c r="B2022" s="25" t="s">
        <v>124</v>
      </c>
      <c r="C2022" s="25" t="s">
        <v>125</v>
      </c>
      <c r="D2022" s="25" t="s">
        <v>4415</v>
      </c>
      <c r="E2022" s="25" t="s">
        <v>110</v>
      </c>
      <c r="F2022" s="25" t="s">
        <v>4269</v>
      </c>
      <c r="G2022" s="25" t="s">
        <v>35</v>
      </c>
      <c r="H2022" s="25" t="s">
        <v>3148</v>
      </c>
      <c r="I2022" s="25" t="s">
        <v>190</v>
      </c>
      <c r="J2022" s="25" t="s">
        <v>4262</v>
      </c>
      <c r="K2022" s="25" t="s">
        <v>192</v>
      </c>
      <c r="L2022" s="25"/>
      <c r="M2022" s="25"/>
      <c r="N2022" s="25"/>
      <c r="O2022" s="25" t="n">
        <v>4</v>
      </c>
      <c r="P2022" s="26" t="n">
        <f aca="false">(O2022*INDEX(ExtShape_Vals,MATCH(E2022,ExtShape_Keys,0))*AlumCostPerKg+O2022*INDEX(Finish_Vals,MATCH(G2022,Finish_Keys,0)))</f>
        <v>114.8</v>
      </c>
      <c r="Q2022" s="27" t="n">
        <f aca="false">INDEX(Markup_Vals,MATCH("Extrusion Profiles &amp; Raw Stock",MarkupSub_Keys,0))</f>
        <v>0.18</v>
      </c>
      <c r="R2022" s="28" t="n">
        <f aca="false">P2022*(1+Q2022)</f>
        <v>135.464</v>
      </c>
      <c r="S2022" s="28" t="n">
        <f aca="false">R2022*(1-TradeDiscount)</f>
        <v>119.20832</v>
      </c>
      <c r="T2022" s="28" t="n">
        <f aca="false">R2022*(1-VolumeDiscount)</f>
        <v>108.3712</v>
      </c>
    </row>
    <row r="2023" customFormat="false" ht="15" hidden="false" customHeight="false" outlineLevel="0" collapsed="false">
      <c r="A2023" s="29" t="s">
        <v>4416</v>
      </c>
      <c r="B2023" s="29" t="s">
        <v>124</v>
      </c>
      <c r="C2023" s="29" t="s">
        <v>125</v>
      </c>
      <c r="D2023" s="29" t="s">
        <v>4417</v>
      </c>
      <c r="E2023" s="29" t="s">
        <v>110</v>
      </c>
      <c r="F2023" s="29" t="s">
        <v>4269</v>
      </c>
      <c r="G2023" s="29" t="s">
        <v>36</v>
      </c>
      <c r="H2023" s="29" t="s">
        <v>3148</v>
      </c>
      <c r="I2023" s="29" t="s">
        <v>190</v>
      </c>
      <c r="J2023" s="29" t="s">
        <v>4262</v>
      </c>
      <c r="K2023" s="29" t="s">
        <v>192</v>
      </c>
      <c r="L2023" s="29"/>
      <c r="M2023" s="29"/>
      <c r="N2023" s="29"/>
      <c r="O2023" s="29" t="n">
        <v>4</v>
      </c>
      <c r="P2023" s="30" t="n">
        <f aca="false">(O2023*INDEX(ExtShape_Vals,MATCH(E2023,ExtShape_Keys,0))*AlumCostPerKg+O2023*INDEX(Finish_Vals,MATCH(G2023,Finish_Keys,0)))</f>
        <v>166.8</v>
      </c>
      <c r="Q2023" s="31" t="n">
        <f aca="false">INDEX(Markup_Vals,MATCH("Extrusion Profiles &amp; Raw Stock",MarkupSub_Keys,0))</f>
        <v>0.18</v>
      </c>
      <c r="R2023" s="32" t="n">
        <f aca="false">P2023*(1+Q2023)</f>
        <v>196.824</v>
      </c>
      <c r="S2023" s="32" t="n">
        <f aca="false">R2023*(1-TradeDiscount)</f>
        <v>173.20512</v>
      </c>
      <c r="T2023" s="32" t="n">
        <f aca="false">R2023*(1-VolumeDiscount)</f>
        <v>157.4592</v>
      </c>
    </row>
    <row r="2024" customFormat="false" ht="15" hidden="false" customHeight="false" outlineLevel="0" collapsed="false">
      <c r="A2024" s="25" t="s">
        <v>4418</v>
      </c>
      <c r="B2024" s="25" t="s">
        <v>124</v>
      </c>
      <c r="C2024" s="25" t="s">
        <v>125</v>
      </c>
      <c r="D2024" s="25" t="s">
        <v>4419</v>
      </c>
      <c r="E2024" s="25" t="s">
        <v>110</v>
      </c>
      <c r="F2024" s="25" t="s">
        <v>4269</v>
      </c>
      <c r="G2024" s="25" t="s">
        <v>37</v>
      </c>
      <c r="H2024" s="25" t="s">
        <v>3148</v>
      </c>
      <c r="I2024" s="25" t="s">
        <v>190</v>
      </c>
      <c r="J2024" s="25" t="s">
        <v>4262</v>
      </c>
      <c r="K2024" s="25" t="s">
        <v>192</v>
      </c>
      <c r="L2024" s="25"/>
      <c r="M2024" s="25"/>
      <c r="N2024" s="25"/>
      <c r="O2024" s="25" t="n">
        <v>4</v>
      </c>
      <c r="P2024" s="26" t="n">
        <f aca="false">(O2024*INDEX(ExtShape_Vals,MATCH(E2024,ExtShape_Keys,0))*AlumCostPerKg+O2024*INDEX(Finish_Vals,MATCH(G2024,Finish_Keys,0)))</f>
        <v>166.8</v>
      </c>
      <c r="Q2024" s="27" t="n">
        <f aca="false">INDEX(Markup_Vals,MATCH("Extrusion Profiles &amp; Raw Stock",MarkupSub_Keys,0))</f>
        <v>0.18</v>
      </c>
      <c r="R2024" s="28" t="n">
        <f aca="false">P2024*(1+Q2024)</f>
        <v>196.824</v>
      </c>
      <c r="S2024" s="28" t="n">
        <f aca="false">R2024*(1-TradeDiscount)</f>
        <v>173.20512</v>
      </c>
      <c r="T2024" s="28" t="n">
        <f aca="false">R2024*(1-VolumeDiscount)</f>
        <v>157.4592</v>
      </c>
    </row>
    <row r="2025" customFormat="false" ht="15" hidden="false" customHeight="false" outlineLevel="0" collapsed="false">
      <c r="A2025" s="29" t="s">
        <v>4420</v>
      </c>
      <c r="B2025" s="29" t="s">
        <v>124</v>
      </c>
      <c r="C2025" s="29" t="s">
        <v>125</v>
      </c>
      <c r="D2025" s="29" t="s">
        <v>4421</v>
      </c>
      <c r="E2025" s="29" t="s">
        <v>110</v>
      </c>
      <c r="F2025" s="29" t="s">
        <v>4276</v>
      </c>
      <c r="G2025" s="29" t="s">
        <v>35</v>
      </c>
      <c r="H2025" s="29" t="s">
        <v>3148</v>
      </c>
      <c r="I2025" s="29" t="s">
        <v>190</v>
      </c>
      <c r="J2025" s="29" t="s">
        <v>4262</v>
      </c>
      <c r="K2025" s="29" t="s">
        <v>192</v>
      </c>
      <c r="L2025" s="29"/>
      <c r="M2025" s="29"/>
      <c r="N2025" s="29"/>
      <c r="O2025" s="29" t="n">
        <v>5.8</v>
      </c>
      <c r="P2025" s="30" t="n">
        <f aca="false">(O2025*INDEX(ExtShape_Vals,MATCH(E2025,ExtShape_Keys,0))*AlumCostPerKg+O2025*INDEX(Finish_Vals,MATCH(G2025,Finish_Keys,0)))</f>
        <v>166.46</v>
      </c>
      <c r="Q2025" s="31" t="n">
        <f aca="false">INDEX(Markup_Vals,MATCH("Extrusion Profiles &amp; Raw Stock",MarkupSub_Keys,0))</f>
        <v>0.18</v>
      </c>
      <c r="R2025" s="32" t="n">
        <f aca="false">P2025*(1+Q2025)</f>
        <v>196.4228</v>
      </c>
      <c r="S2025" s="32" t="n">
        <f aca="false">R2025*(1-TradeDiscount)</f>
        <v>172.852064</v>
      </c>
      <c r="T2025" s="32" t="n">
        <f aca="false">R2025*(1-VolumeDiscount)</f>
        <v>157.13824</v>
      </c>
    </row>
    <row r="2026" customFormat="false" ht="15" hidden="false" customHeight="false" outlineLevel="0" collapsed="false">
      <c r="A2026" s="25" t="s">
        <v>4422</v>
      </c>
      <c r="B2026" s="25" t="s">
        <v>124</v>
      </c>
      <c r="C2026" s="25" t="s">
        <v>125</v>
      </c>
      <c r="D2026" s="25" t="s">
        <v>4423</v>
      </c>
      <c r="E2026" s="25" t="s">
        <v>110</v>
      </c>
      <c r="F2026" s="25" t="s">
        <v>4276</v>
      </c>
      <c r="G2026" s="25" t="s">
        <v>36</v>
      </c>
      <c r="H2026" s="25" t="s">
        <v>3148</v>
      </c>
      <c r="I2026" s="25" t="s">
        <v>190</v>
      </c>
      <c r="J2026" s="25" t="s">
        <v>4262</v>
      </c>
      <c r="K2026" s="25" t="s">
        <v>192</v>
      </c>
      <c r="L2026" s="25"/>
      <c r="M2026" s="25"/>
      <c r="N2026" s="25"/>
      <c r="O2026" s="25" t="n">
        <v>5.8</v>
      </c>
      <c r="P2026" s="26" t="n">
        <f aca="false">(O2026*INDEX(ExtShape_Vals,MATCH(E2026,ExtShape_Keys,0))*AlumCostPerKg+O2026*INDEX(Finish_Vals,MATCH(G2026,Finish_Keys,0)))</f>
        <v>241.86</v>
      </c>
      <c r="Q2026" s="27" t="n">
        <f aca="false">INDEX(Markup_Vals,MATCH("Extrusion Profiles &amp; Raw Stock",MarkupSub_Keys,0))</f>
        <v>0.18</v>
      </c>
      <c r="R2026" s="28" t="n">
        <f aca="false">P2026*(1+Q2026)</f>
        <v>285.3948</v>
      </c>
      <c r="S2026" s="28" t="n">
        <f aca="false">R2026*(1-TradeDiscount)</f>
        <v>251.147424</v>
      </c>
      <c r="T2026" s="28" t="n">
        <f aca="false">R2026*(1-VolumeDiscount)</f>
        <v>228.31584</v>
      </c>
    </row>
    <row r="2027" customFormat="false" ht="15" hidden="false" customHeight="false" outlineLevel="0" collapsed="false">
      <c r="A2027" s="29" t="s">
        <v>4424</v>
      </c>
      <c r="B2027" s="29" t="s">
        <v>124</v>
      </c>
      <c r="C2027" s="29" t="s">
        <v>125</v>
      </c>
      <c r="D2027" s="29" t="s">
        <v>4425</v>
      </c>
      <c r="E2027" s="29" t="s">
        <v>110</v>
      </c>
      <c r="F2027" s="29" t="s">
        <v>4276</v>
      </c>
      <c r="G2027" s="29" t="s">
        <v>37</v>
      </c>
      <c r="H2027" s="29" t="s">
        <v>3148</v>
      </c>
      <c r="I2027" s="29" t="s">
        <v>190</v>
      </c>
      <c r="J2027" s="29" t="s">
        <v>4262</v>
      </c>
      <c r="K2027" s="29" t="s">
        <v>192</v>
      </c>
      <c r="L2027" s="29"/>
      <c r="M2027" s="29"/>
      <c r="N2027" s="29"/>
      <c r="O2027" s="29" t="n">
        <v>5.8</v>
      </c>
      <c r="P2027" s="30" t="n">
        <f aca="false">(O2027*INDEX(ExtShape_Vals,MATCH(E2027,ExtShape_Keys,0))*AlumCostPerKg+O2027*INDEX(Finish_Vals,MATCH(G2027,Finish_Keys,0)))</f>
        <v>241.86</v>
      </c>
      <c r="Q2027" s="31" t="n">
        <f aca="false">INDEX(Markup_Vals,MATCH("Extrusion Profiles &amp; Raw Stock",MarkupSub_Keys,0))</f>
        <v>0.18</v>
      </c>
      <c r="R2027" s="32" t="n">
        <f aca="false">P2027*(1+Q2027)</f>
        <v>285.3948</v>
      </c>
      <c r="S2027" s="32" t="n">
        <f aca="false">R2027*(1-TradeDiscount)</f>
        <v>251.147424</v>
      </c>
      <c r="T2027" s="32" t="n">
        <f aca="false">R2027*(1-VolumeDiscount)</f>
        <v>228.31584</v>
      </c>
    </row>
    <row r="2028" customFormat="false" ht="15" hidden="false" customHeight="false" outlineLevel="0" collapsed="false">
      <c r="A2028" s="25" t="s">
        <v>4426</v>
      </c>
      <c r="B2028" s="25" t="s">
        <v>124</v>
      </c>
      <c r="C2028" s="25" t="s">
        <v>125</v>
      </c>
      <c r="D2028" s="25" t="s">
        <v>4427</v>
      </c>
      <c r="E2028" s="25" t="s">
        <v>110</v>
      </c>
      <c r="F2028" s="25" t="s">
        <v>4283</v>
      </c>
      <c r="G2028" s="25" t="s">
        <v>35</v>
      </c>
      <c r="H2028" s="25" t="s">
        <v>3148</v>
      </c>
      <c r="I2028" s="25" t="s">
        <v>190</v>
      </c>
      <c r="J2028" s="25" t="s">
        <v>4262</v>
      </c>
      <c r="K2028" s="25" t="s">
        <v>192</v>
      </c>
      <c r="L2028" s="25"/>
      <c r="M2028" s="25"/>
      <c r="N2028" s="25"/>
      <c r="O2028" s="25" t="n">
        <v>6.5</v>
      </c>
      <c r="P2028" s="26" t="n">
        <f aca="false">(O2028*INDEX(ExtShape_Vals,MATCH(E2028,ExtShape_Keys,0))*AlumCostPerKg+O2028*INDEX(Finish_Vals,MATCH(G2028,Finish_Keys,0)))</f>
        <v>186.55</v>
      </c>
      <c r="Q2028" s="27" t="n">
        <f aca="false">INDEX(Markup_Vals,MATCH("Extrusion Profiles &amp; Raw Stock",MarkupSub_Keys,0))</f>
        <v>0.18</v>
      </c>
      <c r="R2028" s="28" t="n">
        <f aca="false">P2028*(1+Q2028)</f>
        <v>220.129</v>
      </c>
      <c r="S2028" s="28" t="n">
        <f aca="false">R2028*(1-TradeDiscount)</f>
        <v>193.71352</v>
      </c>
      <c r="T2028" s="28" t="n">
        <f aca="false">R2028*(1-VolumeDiscount)</f>
        <v>176.1032</v>
      </c>
    </row>
    <row r="2029" customFormat="false" ht="15" hidden="false" customHeight="false" outlineLevel="0" collapsed="false">
      <c r="A2029" s="29" t="s">
        <v>4428</v>
      </c>
      <c r="B2029" s="29" t="s">
        <v>124</v>
      </c>
      <c r="C2029" s="29" t="s">
        <v>125</v>
      </c>
      <c r="D2029" s="29" t="s">
        <v>4429</v>
      </c>
      <c r="E2029" s="29" t="s">
        <v>110</v>
      </c>
      <c r="F2029" s="29" t="s">
        <v>4283</v>
      </c>
      <c r="G2029" s="29" t="s">
        <v>36</v>
      </c>
      <c r="H2029" s="29" t="s">
        <v>3148</v>
      </c>
      <c r="I2029" s="29" t="s">
        <v>190</v>
      </c>
      <c r="J2029" s="29" t="s">
        <v>4262</v>
      </c>
      <c r="K2029" s="29" t="s">
        <v>192</v>
      </c>
      <c r="L2029" s="29"/>
      <c r="M2029" s="29"/>
      <c r="N2029" s="29"/>
      <c r="O2029" s="29" t="n">
        <v>6.5</v>
      </c>
      <c r="P2029" s="30" t="n">
        <f aca="false">(O2029*INDEX(ExtShape_Vals,MATCH(E2029,ExtShape_Keys,0))*AlumCostPerKg+O2029*INDEX(Finish_Vals,MATCH(G2029,Finish_Keys,0)))</f>
        <v>271.05</v>
      </c>
      <c r="Q2029" s="31" t="n">
        <f aca="false">INDEX(Markup_Vals,MATCH("Extrusion Profiles &amp; Raw Stock",MarkupSub_Keys,0))</f>
        <v>0.18</v>
      </c>
      <c r="R2029" s="32" t="n">
        <f aca="false">P2029*(1+Q2029)</f>
        <v>319.839</v>
      </c>
      <c r="S2029" s="32" t="n">
        <f aca="false">R2029*(1-TradeDiscount)</f>
        <v>281.45832</v>
      </c>
      <c r="T2029" s="32" t="n">
        <f aca="false">R2029*(1-VolumeDiscount)</f>
        <v>255.8712</v>
      </c>
    </row>
    <row r="2030" customFormat="false" ht="15" hidden="false" customHeight="false" outlineLevel="0" collapsed="false">
      <c r="A2030" s="25" t="s">
        <v>4430</v>
      </c>
      <c r="B2030" s="25" t="s">
        <v>124</v>
      </c>
      <c r="C2030" s="25" t="s">
        <v>125</v>
      </c>
      <c r="D2030" s="25" t="s">
        <v>4431</v>
      </c>
      <c r="E2030" s="25" t="s">
        <v>110</v>
      </c>
      <c r="F2030" s="25" t="s">
        <v>4283</v>
      </c>
      <c r="G2030" s="25" t="s">
        <v>37</v>
      </c>
      <c r="H2030" s="25" t="s">
        <v>3148</v>
      </c>
      <c r="I2030" s="25" t="s">
        <v>190</v>
      </c>
      <c r="J2030" s="25" t="s">
        <v>4262</v>
      </c>
      <c r="K2030" s="25" t="s">
        <v>192</v>
      </c>
      <c r="L2030" s="25"/>
      <c r="M2030" s="25"/>
      <c r="N2030" s="25"/>
      <c r="O2030" s="25" t="n">
        <v>6.5</v>
      </c>
      <c r="P2030" s="26" t="n">
        <f aca="false">(O2030*INDEX(ExtShape_Vals,MATCH(E2030,ExtShape_Keys,0))*AlumCostPerKg+O2030*INDEX(Finish_Vals,MATCH(G2030,Finish_Keys,0)))</f>
        <v>271.05</v>
      </c>
      <c r="Q2030" s="27" t="n">
        <f aca="false">INDEX(Markup_Vals,MATCH("Extrusion Profiles &amp; Raw Stock",MarkupSub_Keys,0))</f>
        <v>0.18</v>
      </c>
      <c r="R2030" s="28" t="n">
        <f aca="false">P2030*(1+Q2030)</f>
        <v>319.839</v>
      </c>
      <c r="S2030" s="28" t="n">
        <f aca="false">R2030*(1-TradeDiscount)</f>
        <v>281.45832</v>
      </c>
      <c r="T2030" s="28" t="n">
        <f aca="false">R2030*(1-VolumeDiscount)</f>
        <v>255.8712</v>
      </c>
    </row>
    <row r="2031" customFormat="false" ht="15" hidden="false" customHeight="false" outlineLevel="0" collapsed="false">
      <c r="A2031" s="29" t="s">
        <v>4432</v>
      </c>
      <c r="B2031" s="29" t="s">
        <v>124</v>
      </c>
      <c r="C2031" s="29" t="s">
        <v>125</v>
      </c>
      <c r="D2031" s="29" t="s">
        <v>4433</v>
      </c>
      <c r="E2031" s="29" t="s">
        <v>111</v>
      </c>
      <c r="F2031" s="29" t="s">
        <v>4261</v>
      </c>
      <c r="G2031" s="29" t="s">
        <v>35</v>
      </c>
      <c r="H2031" s="29" t="s">
        <v>3148</v>
      </c>
      <c r="I2031" s="29" t="s">
        <v>190</v>
      </c>
      <c r="J2031" s="29" t="s">
        <v>4262</v>
      </c>
      <c r="K2031" s="29" t="s">
        <v>192</v>
      </c>
      <c r="L2031" s="29"/>
      <c r="M2031" s="29"/>
      <c r="N2031" s="29"/>
      <c r="O2031" s="29" t="n">
        <v>3</v>
      </c>
      <c r="P2031" s="30" t="n">
        <f aca="false">(O2031*INDEX(ExtShape_Vals,MATCH(E2031,ExtShape_Keys,0))*AlumCostPerKg+O2031*INDEX(Finish_Vals,MATCH(G2031,Finish_Keys,0)))</f>
        <v>104.97</v>
      </c>
      <c r="Q2031" s="31" t="n">
        <f aca="false">INDEX(Markup_Vals,MATCH("Extrusion Profiles &amp; Raw Stock",MarkupSub_Keys,0))</f>
        <v>0.18</v>
      </c>
      <c r="R2031" s="32" t="n">
        <f aca="false">P2031*(1+Q2031)</f>
        <v>123.8646</v>
      </c>
      <c r="S2031" s="32" t="n">
        <f aca="false">R2031*(1-TradeDiscount)</f>
        <v>109.000848</v>
      </c>
      <c r="T2031" s="32" t="n">
        <f aca="false">R2031*(1-VolumeDiscount)</f>
        <v>99.09168</v>
      </c>
    </row>
    <row r="2032" customFormat="false" ht="15" hidden="false" customHeight="false" outlineLevel="0" collapsed="false">
      <c r="A2032" s="25" t="s">
        <v>4434</v>
      </c>
      <c r="B2032" s="25" t="s">
        <v>124</v>
      </c>
      <c r="C2032" s="25" t="s">
        <v>125</v>
      </c>
      <c r="D2032" s="25" t="s">
        <v>4435</v>
      </c>
      <c r="E2032" s="25" t="s">
        <v>111</v>
      </c>
      <c r="F2032" s="25" t="s">
        <v>4261</v>
      </c>
      <c r="G2032" s="25" t="s">
        <v>36</v>
      </c>
      <c r="H2032" s="25" t="s">
        <v>3148</v>
      </c>
      <c r="I2032" s="25" t="s">
        <v>190</v>
      </c>
      <c r="J2032" s="25" t="s">
        <v>4262</v>
      </c>
      <c r="K2032" s="25" t="s">
        <v>192</v>
      </c>
      <c r="L2032" s="25"/>
      <c r="M2032" s="25"/>
      <c r="N2032" s="25"/>
      <c r="O2032" s="25" t="n">
        <v>3</v>
      </c>
      <c r="P2032" s="26" t="n">
        <f aca="false">(O2032*INDEX(ExtShape_Vals,MATCH(E2032,ExtShape_Keys,0))*AlumCostPerKg+O2032*INDEX(Finish_Vals,MATCH(G2032,Finish_Keys,0)))</f>
        <v>143.97</v>
      </c>
      <c r="Q2032" s="27" t="n">
        <f aca="false">INDEX(Markup_Vals,MATCH("Extrusion Profiles &amp; Raw Stock",MarkupSub_Keys,0))</f>
        <v>0.18</v>
      </c>
      <c r="R2032" s="28" t="n">
        <f aca="false">P2032*(1+Q2032)</f>
        <v>169.8846</v>
      </c>
      <c r="S2032" s="28" t="n">
        <f aca="false">R2032*(1-TradeDiscount)</f>
        <v>149.498448</v>
      </c>
      <c r="T2032" s="28" t="n">
        <f aca="false">R2032*(1-VolumeDiscount)</f>
        <v>135.90768</v>
      </c>
    </row>
    <row r="2033" customFormat="false" ht="15" hidden="false" customHeight="false" outlineLevel="0" collapsed="false">
      <c r="A2033" s="29" t="s">
        <v>4436</v>
      </c>
      <c r="B2033" s="29" t="s">
        <v>124</v>
      </c>
      <c r="C2033" s="29" t="s">
        <v>125</v>
      </c>
      <c r="D2033" s="29" t="s">
        <v>4437</v>
      </c>
      <c r="E2033" s="29" t="s">
        <v>111</v>
      </c>
      <c r="F2033" s="29" t="s">
        <v>4261</v>
      </c>
      <c r="G2033" s="29" t="s">
        <v>37</v>
      </c>
      <c r="H2033" s="29" t="s">
        <v>3148</v>
      </c>
      <c r="I2033" s="29" t="s">
        <v>190</v>
      </c>
      <c r="J2033" s="29" t="s">
        <v>4262</v>
      </c>
      <c r="K2033" s="29" t="s">
        <v>192</v>
      </c>
      <c r="L2033" s="29"/>
      <c r="M2033" s="29"/>
      <c r="N2033" s="29"/>
      <c r="O2033" s="29" t="n">
        <v>3</v>
      </c>
      <c r="P2033" s="30" t="n">
        <f aca="false">(O2033*INDEX(ExtShape_Vals,MATCH(E2033,ExtShape_Keys,0))*AlumCostPerKg+O2033*INDEX(Finish_Vals,MATCH(G2033,Finish_Keys,0)))</f>
        <v>143.97</v>
      </c>
      <c r="Q2033" s="31" t="n">
        <f aca="false">INDEX(Markup_Vals,MATCH("Extrusion Profiles &amp; Raw Stock",MarkupSub_Keys,0))</f>
        <v>0.18</v>
      </c>
      <c r="R2033" s="32" t="n">
        <f aca="false">P2033*(1+Q2033)</f>
        <v>169.8846</v>
      </c>
      <c r="S2033" s="32" t="n">
        <f aca="false">R2033*(1-TradeDiscount)</f>
        <v>149.498448</v>
      </c>
      <c r="T2033" s="32" t="n">
        <f aca="false">R2033*(1-VolumeDiscount)</f>
        <v>135.90768</v>
      </c>
    </row>
    <row r="2034" customFormat="false" ht="15" hidden="false" customHeight="false" outlineLevel="0" collapsed="false">
      <c r="A2034" s="25" t="s">
        <v>4438</v>
      </c>
      <c r="B2034" s="25" t="s">
        <v>124</v>
      </c>
      <c r="C2034" s="25" t="s">
        <v>125</v>
      </c>
      <c r="D2034" s="25" t="s">
        <v>4439</v>
      </c>
      <c r="E2034" s="25" t="s">
        <v>111</v>
      </c>
      <c r="F2034" s="25" t="s">
        <v>4269</v>
      </c>
      <c r="G2034" s="25" t="s">
        <v>35</v>
      </c>
      <c r="H2034" s="25" t="s">
        <v>3148</v>
      </c>
      <c r="I2034" s="25" t="s">
        <v>190</v>
      </c>
      <c r="J2034" s="25" t="s">
        <v>4262</v>
      </c>
      <c r="K2034" s="25" t="s">
        <v>192</v>
      </c>
      <c r="L2034" s="25"/>
      <c r="M2034" s="25"/>
      <c r="N2034" s="25"/>
      <c r="O2034" s="25" t="n">
        <v>4</v>
      </c>
      <c r="P2034" s="26" t="n">
        <f aca="false">(O2034*INDEX(ExtShape_Vals,MATCH(E2034,ExtShape_Keys,0))*AlumCostPerKg+O2034*INDEX(Finish_Vals,MATCH(G2034,Finish_Keys,0)))</f>
        <v>139.96</v>
      </c>
      <c r="Q2034" s="27" t="n">
        <f aca="false">INDEX(Markup_Vals,MATCH("Extrusion Profiles &amp; Raw Stock",MarkupSub_Keys,0))</f>
        <v>0.18</v>
      </c>
      <c r="R2034" s="28" t="n">
        <f aca="false">P2034*(1+Q2034)</f>
        <v>165.1528</v>
      </c>
      <c r="S2034" s="28" t="n">
        <f aca="false">R2034*(1-TradeDiscount)</f>
        <v>145.334464</v>
      </c>
      <c r="T2034" s="28" t="n">
        <f aca="false">R2034*(1-VolumeDiscount)</f>
        <v>132.12224</v>
      </c>
    </row>
    <row r="2035" customFormat="false" ht="15" hidden="false" customHeight="false" outlineLevel="0" collapsed="false">
      <c r="A2035" s="29" t="s">
        <v>4440</v>
      </c>
      <c r="B2035" s="29" t="s">
        <v>124</v>
      </c>
      <c r="C2035" s="29" t="s">
        <v>125</v>
      </c>
      <c r="D2035" s="29" t="s">
        <v>4441</v>
      </c>
      <c r="E2035" s="29" t="s">
        <v>111</v>
      </c>
      <c r="F2035" s="29" t="s">
        <v>4269</v>
      </c>
      <c r="G2035" s="29" t="s">
        <v>36</v>
      </c>
      <c r="H2035" s="29" t="s">
        <v>3148</v>
      </c>
      <c r="I2035" s="29" t="s">
        <v>190</v>
      </c>
      <c r="J2035" s="29" t="s">
        <v>4262</v>
      </c>
      <c r="K2035" s="29" t="s">
        <v>192</v>
      </c>
      <c r="L2035" s="29"/>
      <c r="M2035" s="29"/>
      <c r="N2035" s="29"/>
      <c r="O2035" s="29" t="n">
        <v>4</v>
      </c>
      <c r="P2035" s="30" t="n">
        <f aca="false">(O2035*INDEX(ExtShape_Vals,MATCH(E2035,ExtShape_Keys,0))*AlumCostPerKg+O2035*INDEX(Finish_Vals,MATCH(G2035,Finish_Keys,0)))</f>
        <v>191.96</v>
      </c>
      <c r="Q2035" s="31" t="n">
        <f aca="false">INDEX(Markup_Vals,MATCH("Extrusion Profiles &amp; Raw Stock",MarkupSub_Keys,0))</f>
        <v>0.18</v>
      </c>
      <c r="R2035" s="32" t="n">
        <f aca="false">P2035*(1+Q2035)</f>
        <v>226.5128</v>
      </c>
      <c r="S2035" s="32" t="n">
        <f aca="false">R2035*(1-TradeDiscount)</f>
        <v>199.331264</v>
      </c>
      <c r="T2035" s="32" t="n">
        <f aca="false">R2035*(1-VolumeDiscount)</f>
        <v>181.21024</v>
      </c>
    </row>
    <row r="2036" customFormat="false" ht="15" hidden="false" customHeight="false" outlineLevel="0" collapsed="false">
      <c r="A2036" s="25" t="s">
        <v>4442</v>
      </c>
      <c r="B2036" s="25" t="s">
        <v>124</v>
      </c>
      <c r="C2036" s="25" t="s">
        <v>125</v>
      </c>
      <c r="D2036" s="25" t="s">
        <v>4443</v>
      </c>
      <c r="E2036" s="25" t="s">
        <v>111</v>
      </c>
      <c r="F2036" s="25" t="s">
        <v>4269</v>
      </c>
      <c r="G2036" s="25" t="s">
        <v>37</v>
      </c>
      <c r="H2036" s="25" t="s">
        <v>3148</v>
      </c>
      <c r="I2036" s="25" t="s">
        <v>190</v>
      </c>
      <c r="J2036" s="25" t="s">
        <v>4262</v>
      </c>
      <c r="K2036" s="25" t="s">
        <v>192</v>
      </c>
      <c r="L2036" s="25"/>
      <c r="M2036" s="25"/>
      <c r="N2036" s="25"/>
      <c r="O2036" s="25" t="n">
        <v>4</v>
      </c>
      <c r="P2036" s="26" t="n">
        <f aca="false">(O2036*INDEX(ExtShape_Vals,MATCH(E2036,ExtShape_Keys,0))*AlumCostPerKg+O2036*INDEX(Finish_Vals,MATCH(G2036,Finish_Keys,0)))</f>
        <v>191.96</v>
      </c>
      <c r="Q2036" s="27" t="n">
        <f aca="false">INDEX(Markup_Vals,MATCH("Extrusion Profiles &amp; Raw Stock",MarkupSub_Keys,0))</f>
        <v>0.18</v>
      </c>
      <c r="R2036" s="28" t="n">
        <f aca="false">P2036*(1+Q2036)</f>
        <v>226.5128</v>
      </c>
      <c r="S2036" s="28" t="n">
        <f aca="false">R2036*(1-TradeDiscount)</f>
        <v>199.331264</v>
      </c>
      <c r="T2036" s="28" t="n">
        <f aca="false">R2036*(1-VolumeDiscount)</f>
        <v>181.21024</v>
      </c>
    </row>
    <row r="2037" customFormat="false" ht="15" hidden="false" customHeight="false" outlineLevel="0" collapsed="false">
      <c r="A2037" s="29" t="s">
        <v>4444</v>
      </c>
      <c r="B2037" s="29" t="s">
        <v>124</v>
      </c>
      <c r="C2037" s="29" t="s">
        <v>125</v>
      </c>
      <c r="D2037" s="29" t="s">
        <v>4445</v>
      </c>
      <c r="E2037" s="29" t="s">
        <v>111</v>
      </c>
      <c r="F2037" s="29" t="s">
        <v>4276</v>
      </c>
      <c r="G2037" s="29" t="s">
        <v>35</v>
      </c>
      <c r="H2037" s="29" t="s">
        <v>3148</v>
      </c>
      <c r="I2037" s="29" t="s">
        <v>190</v>
      </c>
      <c r="J2037" s="29" t="s">
        <v>4262</v>
      </c>
      <c r="K2037" s="29" t="s">
        <v>192</v>
      </c>
      <c r="L2037" s="29"/>
      <c r="M2037" s="29"/>
      <c r="N2037" s="29"/>
      <c r="O2037" s="29" t="n">
        <v>5.8</v>
      </c>
      <c r="P2037" s="30" t="n">
        <f aca="false">(O2037*INDEX(ExtShape_Vals,MATCH(E2037,ExtShape_Keys,0))*AlumCostPerKg+O2037*INDEX(Finish_Vals,MATCH(G2037,Finish_Keys,0)))</f>
        <v>202.942</v>
      </c>
      <c r="Q2037" s="31" t="n">
        <f aca="false">INDEX(Markup_Vals,MATCH("Extrusion Profiles &amp; Raw Stock",MarkupSub_Keys,0))</f>
        <v>0.18</v>
      </c>
      <c r="R2037" s="32" t="n">
        <f aca="false">P2037*(1+Q2037)</f>
        <v>239.47156</v>
      </c>
      <c r="S2037" s="32" t="n">
        <f aca="false">R2037*(1-TradeDiscount)</f>
        <v>210.7349728</v>
      </c>
      <c r="T2037" s="32" t="n">
        <f aca="false">R2037*(1-VolumeDiscount)</f>
        <v>191.577248</v>
      </c>
    </row>
    <row r="2038" customFormat="false" ht="15" hidden="false" customHeight="false" outlineLevel="0" collapsed="false">
      <c r="A2038" s="25" t="s">
        <v>4446</v>
      </c>
      <c r="B2038" s="25" t="s">
        <v>124</v>
      </c>
      <c r="C2038" s="25" t="s">
        <v>125</v>
      </c>
      <c r="D2038" s="25" t="s">
        <v>4447</v>
      </c>
      <c r="E2038" s="25" t="s">
        <v>111</v>
      </c>
      <c r="F2038" s="25" t="s">
        <v>4276</v>
      </c>
      <c r="G2038" s="25" t="s">
        <v>36</v>
      </c>
      <c r="H2038" s="25" t="s">
        <v>3148</v>
      </c>
      <c r="I2038" s="25" t="s">
        <v>190</v>
      </c>
      <c r="J2038" s="25" t="s">
        <v>4262</v>
      </c>
      <c r="K2038" s="25" t="s">
        <v>192</v>
      </c>
      <c r="L2038" s="25"/>
      <c r="M2038" s="25"/>
      <c r="N2038" s="25"/>
      <c r="O2038" s="25" t="n">
        <v>5.8</v>
      </c>
      <c r="P2038" s="26" t="n">
        <f aca="false">(O2038*INDEX(ExtShape_Vals,MATCH(E2038,ExtShape_Keys,0))*AlumCostPerKg+O2038*INDEX(Finish_Vals,MATCH(G2038,Finish_Keys,0)))</f>
        <v>278.342</v>
      </c>
      <c r="Q2038" s="27" t="n">
        <f aca="false">INDEX(Markup_Vals,MATCH("Extrusion Profiles &amp; Raw Stock",MarkupSub_Keys,0))</f>
        <v>0.18</v>
      </c>
      <c r="R2038" s="28" t="n">
        <f aca="false">P2038*(1+Q2038)</f>
        <v>328.44356</v>
      </c>
      <c r="S2038" s="28" t="n">
        <f aca="false">R2038*(1-TradeDiscount)</f>
        <v>289.0303328</v>
      </c>
      <c r="T2038" s="28" t="n">
        <f aca="false">R2038*(1-VolumeDiscount)</f>
        <v>262.754848</v>
      </c>
    </row>
    <row r="2039" customFormat="false" ht="15" hidden="false" customHeight="false" outlineLevel="0" collapsed="false">
      <c r="A2039" s="29" t="s">
        <v>4448</v>
      </c>
      <c r="B2039" s="29" t="s">
        <v>124</v>
      </c>
      <c r="C2039" s="29" t="s">
        <v>125</v>
      </c>
      <c r="D2039" s="29" t="s">
        <v>4449</v>
      </c>
      <c r="E2039" s="29" t="s">
        <v>111</v>
      </c>
      <c r="F2039" s="29" t="s">
        <v>4276</v>
      </c>
      <c r="G2039" s="29" t="s">
        <v>37</v>
      </c>
      <c r="H2039" s="29" t="s">
        <v>3148</v>
      </c>
      <c r="I2039" s="29" t="s">
        <v>190</v>
      </c>
      <c r="J2039" s="29" t="s">
        <v>4262</v>
      </c>
      <c r="K2039" s="29" t="s">
        <v>192</v>
      </c>
      <c r="L2039" s="29"/>
      <c r="M2039" s="29"/>
      <c r="N2039" s="29"/>
      <c r="O2039" s="29" t="n">
        <v>5.8</v>
      </c>
      <c r="P2039" s="30" t="n">
        <f aca="false">(O2039*INDEX(ExtShape_Vals,MATCH(E2039,ExtShape_Keys,0))*AlumCostPerKg+O2039*INDEX(Finish_Vals,MATCH(G2039,Finish_Keys,0)))</f>
        <v>278.342</v>
      </c>
      <c r="Q2039" s="31" t="n">
        <f aca="false">INDEX(Markup_Vals,MATCH("Extrusion Profiles &amp; Raw Stock",MarkupSub_Keys,0))</f>
        <v>0.18</v>
      </c>
      <c r="R2039" s="32" t="n">
        <f aca="false">P2039*(1+Q2039)</f>
        <v>328.44356</v>
      </c>
      <c r="S2039" s="32" t="n">
        <f aca="false">R2039*(1-TradeDiscount)</f>
        <v>289.0303328</v>
      </c>
      <c r="T2039" s="32" t="n">
        <f aca="false">R2039*(1-VolumeDiscount)</f>
        <v>262.754848</v>
      </c>
    </row>
    <row r="2040" customFormat="false" ht="15" hidden="false" customHeight="false" outlineLevel="0" collapsed="false">
      <c r="A2040" s="25" t="s">
        <v>4450</v>
      </c>
      <c r="B2040" s="25" t="s">
        <v>124</v>
      </c>
      <c r="C2040" s="25" t="s">
        <v>125</v>
      </c>
      <c r="D2040" s="25" t="s">
        <v>4451</v>
      </c>
      <c r="E2040" s="25" t="s">
        <v>111</v>
      </c>
      <c r="F2040" s="25" t="s">
        <v>4283</v>
      </c>
      <c r="G2040" s="25" t="s">
        <v>35</v>
      </c>
      <c r="H2040" s="25" t="s">
        <v>3148</v>
      </c>
      <c r="I2040" s="25" t="s">
        <v>190</v>
      </c>
      <c r="J2040" s="25" t="s">
        <v>4262</v>
      </c>
      <c r="K2040" s="25" t="s">
        <v>192</v>
      </c>
      <c r="L2040" s="25"/>
      <c r="M2040" s="25"/>
      <c r="N2040" s="25"/>
      <c r="O2040" s="25" t="n">
        <v>6.5</v>
      </c>
      <c r="P2040" s="26" t="n">
        <f aca="false">(O2040*INDEX(ExtShape_Vals,MATCH(E2040,ExtShape_Keys,0))*AlumCostPerKg+O2040*INDEX(Finish_Vals,MATCH(G2040,Finish_Keys,0)))</f>
        <v>227.435</v>
      </c>
      <c r="Q2040" s="27" t="n">
        <f aca="false">INDEX(Markup_Vals,MATCH("Extrusion Profiles &amp; Raw Stock",MarkupSub_Keys,0))</f>
        <v>0.18</v>
      </c>
      <c r="R2040" s="28" t="n">
        <f aca="false">P2040*(1+Q2040)</f>
        <v>268.3733</v>
      </c>
      <c r="S2040" s="28" t="n">
        <f aca="false">R2040*(1-TradeDiscount)</f>
        <v>236.168504</v>
      </c>
      <c r="T2040" s="28" t="n">
        <f aca="false">R2040*(1-VolumeDiscount)</f>
        <v>214.69864</v>
      </c>
    </row>
    <row r="2041" customFormat="false" ht="15" hidden="false" customHeight="false" outlineLevel="0" collapsed="false">
      <c r="A2041" s="29" t="s">
        <v>4452</v>
      </c>
      <c r="B2041" s="29" t="s">
        <v>124</v>
      </c>
      <c r="C2041" s="29" t="s">
        <v>125</v>
      </c>
      <c r="D2041" s="29" t="s">
        <v>4453</v>
      </c>
      <c r="E2041" s="29" t="s">
        <v>111</v>
      </c>
      <c r="F2041" s="29" t="s">
        <v>4283</v>
      </c>
      <c r="G2041" s="29" t="s">
        <v>36</v>
      </c>
      <c r="H2041" s="29" t="s">
        <v>3148</v>
      </c>
      <c r="I2041" s="29" t="s">
        <v>190</v>
      </c>
      <c r="J2041" s="29" t="s">
        <v>4262</v>
      </c>
      <c r="K2041" s="29" t="s">
        <v>192</v>
      </c>
      <c r="L2041" s="29"/>
      <c r="M2041" s="29"/>
      <c r="N2041" s="29"/>
      <c r="O2041" s="29" t="n">
        <v>6.5</v>
      </c>
      <c r="P2041" s="30" t="n">
        <f aca="false">(O2041*INDEX(ExtShape_Vals,MATCH(E2041,ExtShape_Keys,0))*AlumCostPerKg+O2041*INDEX(Finish_Vals,MATCH(G2041,Finish_Keys,0)))</f>
        <v>311.935</v>
      </c>
      <c r="Q2041" s="31" t="n">
        <f aca="false">INDEX(Markup_Vals,MATCH("Extrusion Profiles &amp; Raw Stock",MarkupSub_Keys,0))</f>
        <v>0.18</v>
      </c>
      <c r="R2041" s="32" t="n">
        <f aca="false">P2041*(1+Q2041)</f>
        <v>368.0833</v>
      </c>
      <c r="S2041" s="32" t="n">
        <f aca="false">R2041*(1-TradeDiscount)</f>
        <v>323.913304</v>
      </c>
      <c r="T2041" s="32" t="n">
        <f aca="false">R2041*(1-VolumeDiscount)</f>
        <v>294.46664</v>
      </c>
    </row>
    <row r="2042" customFormat="false" ht="15" hidden="false" customHeight="false" outlineLevel="0" collapsed="false">
      <c r="A2042" s="25" t="s">
        <v>4454</v>
      </c>
      <c r="B2042" s="25" t="s">
        <v>124</v>
      </c>
      <c r="C2042" s="25" t="s">
        <v>125</v>
      </c>
      <c r="D2042" s="25" t="s">
        <v>4455</v>
      </c>
      <c r="E2042" s="25" t="s">
        <v>111</v>
      </c>
      <c r="F2042" s="25" t="s">
        <v>4283</v>
      </c>
      <c r="G2042" s="25" t="s">
        <v>37</v>
      </c>
      <c r="H2042" s="25" t="s">
        <v>3148</v>
      </c>
      <c r="I2042" s="25" t="s">
        <v>190</v>
      </c>
      <c r="J2042" s="25" t="s">
        <v>4262</v>
      </c>
      <c r="K2042" s="25" t="s">
        <v>192</v>
      </c>
      <c r="L2042" s="25"/>
      <c r="M2042" s="25"/>
      <c r="N2042" s="25"/>
      <c r="O2042" s="25" t="n">
        <v>6.5</v>
      </c>
      <c r="P2042" s="26" t="n">
        <f aca="false">(O2042*INDEX(ExtShape_Vals,MATCH(E2042,ExtShape_Keys,0))*AlumCostPerKg+O2042*INDEX(Finish_Vals,MATCH(G2042,Finish_Keys,0)))</f>
        <v>311.935</v>
      </c>
      <c r="Q2042" s="27" t="n">
        <f aca="false">INDEX(Markup_Vals,MATCH("Extrusion Profiles &amp; Raw Stock",MarkupSub_Keys,0))</f>
        <v>0.18</v>
      </c>
      <c r="R2042" s="28" t="n">
        <f aca="false">P2042*(1+Q2042)</f>
        <v>368.0833</v>
      </c>
      <c r="S2042" s="28" t="n">
        <f aca="false">R2042*(1-TradeDiscount)</f>
        <v>323.913304</v>
      </c>
      <c r="T2042" s="28" t="n">
        <f aca="false">R2042*(1-VolumeDiscount)</f>
        <v>294.46664</v>
      </c>
    </row>
    <row r="2043" customFormat="false" ht="15" hidden="false" customHeight="false" outlineLevel="0" collapsed="false">
      <c r="A2043" s="29" t="s">
        <v>4456</v>
      </c>
      <c r="B2043" s="29" t="s">
        <v>124</v>
      </c>
      <c r="C2043" s="29" t="s">
        <v>125</v>
      </c>
      <c r="D2043" s="29" t="s">
        <v>4457</v>
      </c>
      <c r="E2043" s="29" t="s">
        <v>112</v>
      </c>
      <c r="F2043" s="29" t="s">
        <v>4261</v>
      </c>
      <c r="G2043" s="29" t="s">
        <v>35</v>
      </c>
      <c r="H2043" s="29" t="s">
        <v>3148</v>
      </c>
      <c r="I2043" s="29" t="s">
        <v>190</v>
      </c>
      <c r="J2043" s="29" t="s">
        <v>4262</v>
      </c>
      <c r="K2043" s="29" t="s">
        <v>192</v>
      </c>
      <c r="L2043" s="29"/>
      <c r="M2043" s="29"/>
      <c r="N2043" s="29"/>
      <c r="O2043" s="29" t="n">
        <v>3</v>
      </c>
      <c r="P2043" s="30" t="n">
        <f aca="false">(O2043*INDEX(ExtShape_Vals,MATCH(E2043,ExtShape_Keys,0))*AlumCostPerKg+O2043*INDEX(Finish_Vals,MATCH(G2043,Finish_Keys,0)))</f>
        <v>88.32</v>
      </c>
      <c r="Q2043" s="31" t="n">
        <f aca="false">INDEX(Markup_Vals,MATCH("Extrusion Profiles &amp; Raw Stock",MarkupSub_Keys,0))</f>
        <v>0.18</v>
      </c>
      <c r="R2043" s="32" t="n">
        <f aca="false">P2043*(1+Q2043)</f>
        <v>104.2176</v>
      </c>
      <c r="S2043" s="32" t="n">
        <f aca="false">R2043*(1-TradeDiscount)</f>
        <v>91.711488</v>
      </c>
      <c r="T2043" s="32" t="n">
        <f aca="false">R2043*(1-VolumeDiscount)</f>
        <v>83.37408</v>
      </c>
    </row>
    <row r="2044" customFormat="false" ht="15" hidden="false" customHeight="false" outlineLevel="0" collapsed="false">
      <c r="A2044" s="25" t="s">
        <v>4458</v>
      </c>
      <c r="B2044" s="25" t="s">
        <v>124</v>
      </c>
      <c r="C2044" s="25" t="s">
        <v>125</v>
      </c>
      <c r="D2044" s="25" t="s">
        <v>4459</v>
      </c>
      <c r="E2044" s="25" t="s">
        <v>112</v>
      </c>
      <c r="F2044" s="25" t="s">
        <v>4261</v>
      </c>
      <c r="G2044" s="25" t="s">
        <v>36</v>
      </c>
      <c r="H2044" s="25" t="s">
        <v>3148</v>
      </c>
      <c r="I2044" s="25" t="s">
        <v>190</v>
      </c>
      <c r="J2044" s="25" t="s">
        <v>4262</v>
      </c>
      <c r="K2044" s="25" t="s">
        <v>192</v>
      </c>
      <c r="L2044" s="25"/>
      <c r="M2044" s="25"/>
      <c r="N2044" s="25"/>
      <c r="O2044" s="25" t="n">
        <v>3</v>
      </c>
      <c r="P2044" s="26" t="n">
        <f aca="false">(O2044*INDEX(ExtShape_Vals,MATCH(E2044,ExtShape_Keys,0))*AlumCostPerKg+O2044*INDEX(Finish_Vals,MATCH(G2044,Finish_Keys,0)))</f>
        <v>127.32</v>
      </c>
      <c r="Q2044" s="27" t="n">
        <f aca="false">INDEX(Markup_Vals,MATCH("Extrusion Profiles &amp; Raw Stock",MarkupSub_Keys,0))</f>
        <v>0.18</v>
      </c>
      <c r="R2044" s="28" t="n">
        <f aca="false">P2044*(1+Q2044)</f>
        <v>150.2376</v>
      </c>
      <c r="S2044" s="28" t="n">
        <f aca="false">R2044*(1-TradeDiscount)</f>
        <v>132.209088</v>
      </c>
      <c r="T2044" s="28" t="n">
        <f aca="false">R2044*(1-VolumeDiscount)</f>
        <v>120.19008</v>
      </c>
    </row>
    <row r="2045" customFormat="false" ht="15" hidden="false" customHeight="false" outlineLevel="0" collapsed="false">
      <c r="A2045" s="29" t="s">
        <v>4460</v>
      </c>
      <c r="B2045" s="29" t="s">
        <v>124</v>
      </c>
      <c r="C2045" s="29" t="s">
        <v>125</v>
      </c>
      <c r="D2045" s="29" t="s">
        <v>4461</v>
      </c>
      <c r="E2045" s="29" t="s">
        <v>112</v>
      </c>
      <c r="F2045" s="29" t="s">
        <v>4261</v>
      </c>
      <c r="G2045" s="29" t="s">
        <v>37</v>
      </c>
      <c r="H2045" s="29" t="s">
        <v>3148</v>
      </c>
      <c r="I2045" s="29" t="s">
        <v>190</v>
      </c>
      <c r="J2045" s="29" t="s">
        <v>4262</v>
      </c>
      <c r="K2045" s="29" t="s">
        <v>192</v>
      </c>
      <c r="L2045" s="29"/>
      <c r="M2045" s="29"/>
      <c r="N2045" s="29"/>
      <c r="O2045" s="29" t="n">
        <v>3</v>
      </c>
      <c r="P2045" s="30" t="n">
        <f aca="false">(O2045*INDEX(ExtShape_Vals,MATCH(E2045,ExtShape_Keys,0))*AlumCostPerKg+O2045*INDEX(Finish_Vals,MATCH(G2045,Finish_Keys,0)))</f>
        <v>127.32</v>
      </c>
      <c r="Q2045" s="31" t="n">
        <f aca="false">INDEX(Markup_Vals,MATCH("Extrusion Profiles &amp; Raw Stock",MarkupSub_Keys,0))</f>
        <v>0.18</v>
      </c>
      <c r="R2045" s="32" t="n">
        <f aca="false">P2045*(1+Q2045)</f>
        <v>150.2376</v>
      </c>
      <c r="S2045" s="32" t="n">
        <f aca="false">R2045*(1-TradeDiscount)</f>
        <v>132.209088</v>
      </c>
      <c r="T2045" s="32" t="n">
        <f aca="false">R2045*(1-VolumeDiscount)</f>
        <v>120.19008</v>
      </c>
    </row>
    <row r="2046" customFormat="false" ht="15" hidden="false" customHeight="false" outlineLevel="0" collapsed="false">
      <c r="A2046" s="25" t="s">
        <v>4462</v>
      </c>
      <c r="B2046" s="25" t="s">
        <v>124</v>
      </c>
      <c r="C2046" s="25" t="s">
        <v>125</v>
      </c>
      <c r="D2046" s="25" t="s">
        <v>4463</v>
      </c>
      <c r="E2046" s="25" t="s">
        <v>112</v>
      </c>
      <c r="F2046" s="25" t="s">
        <v>4269</v>
      </c>
      <c r="G2046" s="25" t="s">
        <v>35</v>
      </c>
      <c r="H2046" s="25" t="s">
        <v>3148</v>
      </c>
      <c r="I2046" s="25" t="s">
        <v>190</v>
      </c>
      <c r="J2046" s="25" t="s">
        <v>4262</v>
      </c>
      <c r="K2046" s="25" t="s">
        <v>192</v>
      </c>
      <c r="L2046" s="25"/>
      <c r="M2046" s="25"/>
      <c r="N2046" s="25"/>
      <c r="O2046" s="25" t="n">
        <v>4</v>
      </c>
      <c r="P2046" s="26" t="n">
        <f aca="false">(O2046*INDEX(ExtShape_Vals,MATCH(E2046,ExtShape_Keys,0))*AlumCostPerKg+O2046*INDEX(Finish_Vals,MATCH(G2046,Finish_Keys,0)))</f>
        <v>117.76</v>
      </c>
      <c r="Q2046" s="27" t="n">
        <f aca="false">INDEX(Markup_Vals,MATCH("Extrusion Profiles &amp; Raw Stock",MarkupSub_Keys,0))</f>
        <v>0.18</v>
      </c>
      <c r="R2046" s="28" t="n">
        <f aca="false">P2046*(1+Q2046)</f>
        <v>138.9568</v>
      </c>
      <c r="S2046" s="28" t="n">
        <f aca="false">R2046*(1-TradeDiscount)</f>
        <v>122.281984</v>
      </c>
      <c r="T2046" s="28" t="n">
        <f aca="false">R2046*(1-VolumeDiscount)</f>
        <v>111.16544</v>
      </c>
    </row>
    <row r="2047" customFormat="false" ht="15" hidden="false" customHeight="false" outlineLevel="0" collapsed="false">
      <c r="A2047" s="29" t="s">
        <v>4464</v>
      </c>
      <c r="B2047" s="29" t="s">
        <v>124</v>
      </c>
      <c r="C2047" s="29" t="s">
        <v>125</v>
      </c>
      <c r="D2047" s="29" t="s">
        <v>4465</v>
      </c>
      <c r="E2047" s="29" t="s">
        <v>112</v>
      </c>
      <c r="F2047" s="29" t="s">
        <v>4269</v>
      </c>
      <c r="G2047" s="29" t="s">
        <v>36</v>
      </c>
      <c r="H2047" s="29" t="s">
        <v>3148</v>
      </c>
      <c r="I2047" s="29" t="s">
        <v>190</v>
      </c>
      <c r="J2047" s="29" t="s">
        <v>4262</v>
      </c>
      <c r="K2047" s="29" t="s">
        <v>192</v>
      </c>
      <c r="L2047" s="29"/>
      <c r="M2047" s="29"/>
      <c r="N2047" s="29"/>
      <c r="O2047" s="29" t="n">
        <v>4</v>
      </c>
      <c r="P2047" s="30" t="n">
        <f aca="false">(O2047*INDEX(ExtShape_Vals,MATCH(E2047,ExtShape_Keys,0))*AlumCostPerKg+O2047*INDEX(Finish_Vals,MATCH(G2047,Finish_Keys,0)))</f>
        <v>169.76</v>
      </c>
      <c r="Q2047" s="31" t="n">
        <f aca="false">INDEX(Markup_Vals,MATCH("Extrusion Profiles &amp; Raw Stock",MarkupSub_Keys,0))</f>
        <v>0.18</v>
      </c>
      <c r="R2047" s="32" t="n">
        <f aca="false">P2047*(1+Q2047)</f>
        <v>200.3168</v>
      </c>
      <c r="S2047" s="32" t="n">
        <f aca="false">R2047*(1-TradeDiscount)</f>
        <v>176.278784</v>
      </c>
      <c r="T2047" s="32" t="n">
        <f aca="false">R2047*(1-VolumeDiscount)</f>
        <v>160.25344</v>
      </c>
    </row>
    <row r="2048" customFormat="false" ht="15" hidden="false" customHeight="false" outlineLevel="0" collapsed="false">
      <c r="A2048" s="25" t="s">
        <v>4466</v>
      </c>
      <c r="B2048" s="25" t="s">
        <v>124</v>
      </c>
      <c r="C2048" s="25" t="s">
        <v>125</v>
      </c>
      <c r="D2048" s="25" t="s">
        <v>4467</v>
      </c>
      <c r="E2048" s="25" t="s">
        <v>112</v>
      </c>
      <c r="F2048" s="25" t="s">
        <v>4269</v>
      </c>
      <c r="G2048" s="25" t="s">
        <v>37</v>
      </c>
      <c r="H2048" s="25" t="s">
        <v>3148</v>
      </c>
      <c r="I2048" s="25" t="s">
        <v>190</v>
      </c>
      <c r="J2048" s="25" t="s">
        <v>4262</v>
      </c>
      <c r="K2048" s="25" t="s">
        <v>192</v>
      </c>
      <c r="L2048" s="25"/>
      <c r="M2048" s="25"/>
      <c r="N2048" s="25"/>
      <c r="O2048" s="25" t="n">
        <v>4</v>
      </c>
      <c r="P2048" s="26" t="n">
        <f aca="false">(O2048*INDEX(ExtShape_Vals,MATCH(E2048,ExtShape_Keys,0))*AlumCostPerKg+O2048*INDEX(Finish_Vals,MATCH(G2048,Finish_Keys,0)))</f>
        <v>169.76</v>
      </c>
      <c r="Q2048" s="27" t="n">
        <f aca="false">INDEX(Markup_Vals,MATCH("Extrusion Profiles &amp; Raw Stock",MarkupSub_Keys,0))</f>
        <v>0.18</v>
      </c>
      <c r="R2048" s="28" t="n">
        <f aca="false">P2048*(1+Q2048)</f>
        <v>200.3168</v>
      </c>
      <c r="S2048" s="28" t="n">
        <f aca="false">R2048*(1-TradeDiscount)</f>
        <v>176.278784</v>
      </c>
      <c r="T2048" s="28" t="n">
        <f aca="false">R2048*(1-VolumeDiscount)</f>
        <v>160.25344</v>
      </c>
    </row>
    <row r="2049" customFormat="false" ht="15" hidden="false" customHeight="false" outlineLevel="0" collapsed="false">
      <c r="A2049" s="29" t="s">
        <v>4468</v>
      </c>
      <c r="B2049" s="29" t="s">
        <v>124</v>
      </c>
      <c r="C2049" s="29" t="s">
        <v>125</v>
      </c>
      <c r="D2049" s="29" t="s">
        <v>4469</v>
      </c>
      <c r="E2049" s="29" t="s">
        <v>112</v>
      </c>
      <c r="F2049" s="29" t="s">
        <v>4276</v>
      </c>
      <c r="G2049" s="29" t="s">
        <v>35</v>
      </c>
      <c r="H2049" s="29" t="s">
        <v>3148</v>
      </c>
      <c r="I2049" s="29" t="s">
        <v>190</v>
      </c>
      <c r="J2049" s="29" t="s">
        <v>4262</v>
      </c>
      <c r="K2049" s="29" t="s">
        <v>192</v>
      </c>
      <c r="L2049" s="29"/>
      <c r="M2049" s="29"/>
      <c r="N2049" s="29"/>
      <c r="O2049" s="29" t="n">
        <v>5.8</v>
      </c>
      <c r="P2049" s="30" t="n">
        <f aca="false">(O2049*INDEX(ExtShape_Vals,MATCH(E2049,ExtShape_Keys,0))*AlumCostPerKg+O2049*INDEX(Finish_Vals,MATCH(G2049,Finish_Keys,0)))</f>
        <v>170.752</v>
      </c>
      <c r="Q2049" s="31" t="n">
        <f aca="false">INDEX(Markup_Vals,MATCH("Extrusion Profiles &amp; Raw Stock",MarkupSub_Keys,0))</f>
        <v>0.18</v>
      </c>
      <c r="R2049" s="32" t="n">
        <f aca="false">P2049*(1+Q2049)</f>
        <v>201.48736</v>
      </c>
      <c r="S2049" s="32" t="n">
        <f aca="false">R2049*(1-TradeDiscount)</f>
        <v>177.3088768</v>
      </c>
      <c r="T2049" s="32" t="n">
        <f aca="false">R2049*(1-VolumeDiscount)</f>
        <v>161.189888</v>
      </c>
    </row>
    <row r="2050" customFormat="false" ht="15" hidden="false" customHeight="false" outlineLevel="0" collapsed="false">
      <c r="A2050" s="25" t="s">
        <v>4470</v>
      </c>
      <c r="B2050" s="25" t="s">
        <v>124</v>
      </c>
      <c r="C2050" s="25" t="s">
        <v>125</v>
      </c>
      <c r="D2050" s="25" t="s">
        <v>4471</v>
      </c>
      <c r="E2050" s="25" t="s">
        <v>112</v>
      </c>
      <c r="F2050" s="25" t="s">
        <v>4276</v>
      </c>
      <c r="G2050" s="25" t="s">
        <v>36</v>
      </c>
      <c r="H2050" s="25" t="s">
        <v>3148</v>
      </c>
      <c r="I2050" s="25" t="s">
        <v>190</v>
      </c>
      <c r="J2050" s="25" t="s">
        <v>4262</v>
      </c>
      <c r="K2050" s="25" t="s">
        <v>192</v>
      </c>
      <c r="L2050" s="25"/>
      <c r="M2050" s="25"/>
      <c r="N2050" s="25"/>
      <c r="O2050" s="25" t="n">
        <v>5.8</v>
      </c>
      <c r="P2050" s="26" t="n">
        <f aca="false">(O2050*INDEX(ExtShape_Vals,MATCH(E2050,ExtShape_Keys,0))*AlumCostPerKg+O2050*INDEX(Finish_Vals,MATCH(G2050,Finish_Keys,0)))</f>
        <v>246.152</v>
      </c>
      <c r="Q2050" s="27" t="n">
        <f aca="false">INDEX(Markup_Vals,MATCH("Extrusion Profiles &amp; Raw Stock",MarkupSub_Keys,0))</f>
        <v>0.18</v>
      </c>
      <c r="R2050" s="28" t="n">
        <f aca="false">P2050*(1+Q2050)</f>
        <v>290.45936</v>
      </c>
      <c r="S2050" s="28" t="n">
        <f aca="false">R2050*(1-TradeDiscount)</f>
        <v>255.6042368</v>
      </c>
      <c r="T2050" s="28" t="n">
        <f aca="false">R2050*(1-VolumeDiscount)</f>
        <v>232.367488</v>
      </c>
    </row>
    <row r="2051" customFormat="false" ht="15" hidden="false" customHeight="false" outlineLevel="0" collapsed="false">
      <c r="A2051" s="29" t="s">
        <v>4472</v>
      </c>
      <c r="B2051" s="29" t="s">
        <v>124</v>
      </c>
      <c r="C2051" s="29" t="s">
        <v>125</v>
      </c>
      <c r="D2051" s="29" t="s">
        <v>4473</v>
      </c>
      <c r="E2051" s="29" t="s">
        <v>112</v>
      </c>
      <c r="F2051" s="29" t="s">
        <v>4276</v>
      </c>
      <c r="G2051" s="29" t="s">
        <v>37</v>
      </c>
      <c r="H2051" s="29" t="s">
        <v>3148</v>
      </c>
      <c r="I2051" s="29" t="s">
        <v>190</v>
      </c>
      <c r="J2051" s="29" t="s">
        <v>4262</v>
      </c>
      <c r="K2051" s="29" t="s">
        <v>192</v>
      </c>
      <c r="L2051" s="29"/>
      <c r="M2051" s="29"/>
      <c r="N2051" s="29"/>
      <c r="O2051" s="29" t="n">
        <v>5.8</v>
      </c>
      <c r="P2051" s="30" t="n">
        <f aca="false">(O2051*INDEX(ExtShape_Vals,MATCH(E2051,ExtShape_Keys,0))*AlumCostPerKg+O2051*INDEX(Finish_Vals,MATCH(G2051,Finish_Keys,0)))</f>
        <v>246.152</v>
      </c>
      <c r="Q2051" s="31" t="n">
        <f aca="false">INDEX(Markup_Vals,MATCH("Extrusion Profiles &amp; Raw Stock",MarkupSub_Keys,0))</f>
        <v>0.18</v>
      </c>
      <c r="R2051" s="32" t="n">
        <f aca="false">P2051*(1+Q2051)</f>
        <v>290.45936</v>
      </c>
      <c r="S2051" s="32" t="n">
        <f aca="false">R2051*(1-TradeDiscount)</f>
        <v>255.6042368</v>
      </c>
      <c r="T2051" s="32" t="n">
        <f aca="false">R2051*(1-VolumeDiscount)</f>
        <v>232.367488</v>
      </c>
    </row>
    <row r="2052" customFormat="false" ht="15" hidden="false" customHeight="false" outlineLevel="0" collapsed="false">
      <c r="A2052" s="25" t="s">
        <v>4474</v>
      </c>
      <c r="B2052" s="25" t="s">
        <v>124</v>
      </c>
      <c r="C2052" s="25" t="s">
        <v>125</v>
      </c>
      <c r="D2052" s="25" t="s">
        <v>4475</v>
      </c>
      <c r="E2052" s="25" t="s">
        <v>112</v>
      </c>
      <c r="F2052" s="25" t="s">
        <v>4283</v>
      </c>
      <c r="G2052" s="25" t="s">
        <v>35</v>
      </c>
      <c r="H2052" s="25" t="s">
        <v>3148</v>
      </c>
      <c r="I2052" s="25" t="s">
        <v>190</v>
      </c>
      <c r="J2052" s="25" t="s">
        <v>4262</v>
      </c>
      <c r="K2052" s="25" t="s">
        <v>192</v>
      </c>
      <c r="L2052" s="25"/>
      <c r="M2052" s="25"/>
      <c r="N2052" s="25"/>
      <c r="O2052" s="25" t="n">
        <v>6.5</v>
      </c>
      <c r="P2052" s="26" t="n">
        <f aca="false">(O2052*INDEX(ExtShape_Vals,MATCH(E2052,ExtShape_Keys,0))*AlumCostPerKg+O2052*INDEX(Finish_Vals,MATCH(G2052,Finish_Keys,0)))</f>
        <v>191.36</v>
      </c>
      <c r="Q2052" s="27" t="n">
        <f aca="false">INDEX(Markup_Vals,MATCH("Extrusion Profiles &amp; Raw Stock",MarkupSub_Keys,0))</f>
        <v>0.18</v>
      </c>
      <c r="R2052" s="28" t="n">
        <f aca="false">P2052*(1+Q2052)</f>
        <v>225.8048</v>
      </c>
      <c r="S2052" s="28" t="n">
        <f aca="false">R2052*(1-TradeDiscount)</f>
        <v>198.708224</v>
      </c>
      <c r="T2052" s="28" t="n">
        <f aca="false">R2052*(1-VolumeDiscount)</f>
        <v>180.64384</v>
      </c>
    </row>
    <row r="2053" customFormat="false" ht="15" hidden="false" customHeight="false" outlineLevel="0" collapsed="false">
      <c r="A2053" s="29" t="s">
        <v>4476</v>
      </c>
      <c r="B2053" s="29" t="s">
        <v>124</v>
      </c>
      <c r="C2053" s="29" t="s">
        <v>125</v>
      </c>
      <c r="D2053" s="29" t="s">
        <v>4477</v>
      </c>
      <c r="E2053" s="29" t="s">
        <v>112</v>
      </c>
      <c r="F2053" s="29" t="s">
        <v>4283</v>
      </c>
      <c r="G2053" s="29" t="s">
        <v>36</v>
      </c>
      <c r="H2053" s="29" t="s">
        <v>3148</v>
      </c>
      <c r="I2053" s="29" t="s">
        <v>190</v>
      </c>
      <c r="J2053" s="29" t="s">
        <v>4262</v>
      </c>
      <c r="K2053" s="29" t="s">
        <v>192</v>
      </c>
      <c r="L2053" s="29"/>
      <c r="M2053" s="29"/>
      <c r="N2053" s="29"/>
      <c r="O2053" s="29" t="n">
        <v>6.5</v>
      </c>
      <c r="P2053" s="30" t="n">
        <f aca="false">(O2053*INDEX(ExtShape_Vals,MATCH(E2053,ExtShape_Keys,0))*AlumCostPerKg+O2053*INDEX(Finish_Vals,MATCH(G2053,Finish_Keys,0)))</f>
        <v>275.86</v>
      </c>
      <c r="Q2053" s="31" t="n">
        <f aca="false">INDEX(Markup_Vals,MATCH("Extrusion Profiles &amp; Raw Stock",MarkupSub_Keys,0))</f>
        <v>0.18</v>
      </c>
      <c r="R2053" s="32" t="n">
        <f aca="false">P2053*(1+Q2053)</f>
        <v>325.5148</v>
      </c>
      <c r="S2053" s="32" t="n">
        <f aca="false">R2053*(1-TradeDiscount)</f>
        <v>286.453024</v>
      </c>
      <c r="T2053" s="32" t="n">
        <f aca="false">R2053*(1-VolumeDiscount)</f>
        <v>260.41184</v>
      </c>
    </row>
    <row r="2054" customFormat="false" ht="15" hidden="false" customHeight="false" outlineLevel="0" collapsed="false">
      <c r="A2054" s="25" t="s">
        <v>4478</v>
      </c>
      <c r="B2054" s="25" t="s">
        <v>124</v>
      </c>
      <c r="C2054" s="25" t="s">
        <v>125</v>
      </c>
      <c r="D2054" s="25" t="s">
        <v>4479</v>
      </c>
      <c r="E2054" s="25" t="s">
        <v>112</v>
      </c>
      <c r="F2054" s="25" t="s">
        <v>4283</v>
      </c>
      <c r="G2054" s="25" t="s">
        <v>37</v>
      </c>
      <c r="H2054" s="25" t="s">
        <v>3148</v>
      </c>
      <c r="I2054" s="25" t="s">
        <v>190</v>
      </c>
      <c r="J2054" s="25" t="s">
        <v>4262</v>
      </c>
      <c r="K2054" s="25" t="s">
        <v>192</v>
      </c>
      <c r="L2054" s="25"/>
      <c r="M2054" s="25"/>
      <c r="N2054" s="25"/>
      <c r="O2054" s="25" t="n">
        <v>6.5</v>
      </c>
      <c r="P2054" s="26" t="n">
        <f aca="false">(O2054*INDEX(ExtShape_Vals,MATCH(E2054,ExtShape_Keys,0))*AlumCostPerKg+O2054*INDEX(Finish_Vals,MATCH(G2054,Finish_Keys,0)))</f>
        <v>275.86</v>
      </c>
      <c r="Q2054" s="27" t="n">
        <f aca="false">INDEX(Markup_Vals,MATCH("Extrusion Profiles &amp; Raw Stock",MarkupSub_Keys,0))</f>
        <v>0.18</v>
      </c>
      <c r="R2054" s="28" t="n">
        <f aca="false">P2054*(1+Q2054)</f>
        <v>325.5148</v>
      </c>
      <c r="S2054" s="28" t="n">
        <f aca="false">R2054*(1-TradeDiscount)</f>
        <v>286.453024</v>
      </c>
      <c r="T2054" s="28" t="n">
        <f aca="false">R2054*(1-VolumeDiscount)</f>
        <v>260.41184</v>
      </c>
    </row>
    <row r="2055" customFormat="false" ht="15" hidden="false" customHeight="false" outlineLevel="0" collapsed="false">
      <c r="A2055" s="29" t="s">
        <v>4480</v>
      </c>
      <c r="B2055" s="29" t="s">
        <v>124</v>
      </c>
      <c r="C2055" s="29" t="s">
        <v>125</v>
      </c>
      <c r="D2055" s="29" t="s">
        <v>4481</v>
      </c>
      <c r="E2055" s="29" t="s">
        <v>113</v>
      </c>
      <c r="F2055" s="29" t="s">
        <v>4261</v>
      </c>
      <c r="G2055" s="29" t="s">
        <v>35</v>
      </c>
      <c r="H2055" s="29" t="s">
        <v>3148</v>
      </c>
      <c r="I2055" s="29" t="s">
        <v>190</v>
      </c>
      <c r="J2055" s="29" t="s">
        <v>4262</v>
      </c>
      <c r="K2055" s="29" t="s">
        <v>192</v>
      </c>
      <c r="L2055" s="29"/>
      <c r="M2055" s="29"/>
      <c r="N2055" s="29"/>
      <c r="O2055" s="29" t="n">
        <v>3</v>
      </c>
      <c r="P2055" s="30" t="n">
        <f aca="false">(O2055*INDEX(ExtShape_Vals,MATCH(E2055,ExtShape_Keys,0))*AlumCostPerKg+O2055*INDEX(Finish_Vals,MATCH(G2055,Finish_Keys,0)))</f>
        <v>92.76</v>
      </c>
      <c r="Q2055" s="31" t="n">
        <f aca="false">INDEX(Markup_Vals,MATCH("Extrusion Profiles &amp; Raw Stock",MarkupSub_Keys,0))</f>
        <v>0.18</v>
      </c>
      <c r="R2055" s="32" t="n">
        <f aca="false">P2055*(1+Q2055)</f>
        <v>109.4568</v>
      </c>
      <c r="S2055" s="32" t="n">
        <f aca="false">R2055*(1-TradeDiscount)</f>
        <v>96.321984</v>
      </c>
      <c r="T2055" s="32" t="n">
        <f aca="false">R2055*(1-VolumeDiscount)</f>
        <v>87.56544</v>
      </c>
    </row>
    <row r="2056" customFormat="false" ht="15" hidden="false" customHeight="false" outlineLevel="0" collapsed="false">
      <c r="A2056" s="25" t="s">
        <v>4482</v>
      </c>
      <c r="B2056" s="25" t="s">
        <v>124</v>
      </c>
      <c r="C2056" s="25" t="s">
        <v>125</v>
      </c>
      <c r="D2056" s="25" t="s">
        <v>4483</v>
      </c>
      <c r="E2056" s="25" t="s">
        <v>113</v>
      </c>
      <c r="F2056" s="25" t="s">
        <v>4261</v>
      </c>
      <c r="G2056" s="25" t="s">
        <v>36</v>
      </c>
      <c r="H2056" s="25" t="s">
        <v>3148</v>
      </c>
      <c r="I2056" s="25" t="s">
        <v>190</v>
      </c>
      <c r="J2056" s="25" t="s">
        <v>4262</v>
      </c>
      <c r="K2056" s="25" t="s">
        <v>192</v>
      </c>
      <c r="L2056" s="25"/>
      <c r="M2056" s="25"/>
      <c r="N2056" s="25"/>
      <c r="O2056" s="25" t="n">
        <v>3</v>
      </c>
      <c r="P2056" s="26" t="n">
        <f aca="false">(O2056*INDEX(ExtShape_Vals,MATCH(E2056,ExtShape_Keys,0))*AlumCostPerKg+O2056*INDEX(Finish_Vals,MATCH(G2056,Finish_Keys,0)))</f>
        <v>131.76</v>
      </c>
      <c r="Q2056" s="27" t="n">
        <f aca="false">INDEX(Markup_Vals,MATCH("Extrusion Profiles &amp; Raw Stock",MarkupSub_Keys,0))</f>
        <v>0.18</v>
      </c>
      <c r="R2056" s="28" t="n">
        <f aca="false">P2056*(1+Q2056)</f>
        <v>155.4768</v>
      </c>
      <c r="S2056" s="28" t="n">
        <f aca="false">R2056*(1-TradeDiscount)</f>
        <v>136.819584</v>
      </c>
      <c r="T2056" s="28" t="n">
        <f aca="false">R2056*(1-VolumeDiscount)</f>
        <v>124.38144</v>
      </c>
    </row>
    <row r="2057" customFormat="false" ht="15" hidden="false" customHeight="false" outlineLevel="0" collapsed="false">
      <c r="A2057" s="29" t="s">
        <v>4484</v>
      </c>
      <c r="B2057" s="29" t="s">
        <v>124</v>
      </c>
      <c r="C2057" s="29" t="s">
        <v>125</v>
      </c>
      <c r="D2057" s="29" t="s">
        <v>4485</v>
      </c>
      <c r="E2057" s="29" t="s">
        <v>113</v>
      </c>
      <c r="F2057" s="29" t="s">
        <v>4261</v>
      </c>
      <c r="G2057" s="29" t="s">
        <v>37</v>
      </c>
      <c r="H2057" s="29" t="s">
        <v>3148</v>
      </c>
      <c r="I2057" s="29" t="s">
        <v>190</v>
      </c>
      <c r="J2057" s="29" t="s">
        <v>4262</v>
      </c>
      <c r="K2057" s="29" t="s">
        <v>192</v>
      </c>
      <c r="L2057" s="29"/>
      <c r="M2057" s="29"/>
      <c r="N2057" s="29"/>
      <c r="O2057" s="29" t="n">
        <v>3</v>
      </c>
      <c r="P2057" s="30" t="n">
        <f aca="false">(O2057*INDEX(ExtShape_Vals,MATCH(E2057,ExtShape_Keys,0))*AlumCostPerKg+O2057*INDEX(Finish_Vals,MATCH(G2057,Finish_Keys,0)))</f>
        <v>131.76</v>
      </c>
      <c r="Q2057" s="31" t="n">
        <f aca="false">INDEX(Markup_Vals,MATCH("Extrusion Profiles &amp; Raw Stock",MarkupSub_Keys,0))</f>
        <v>0.18</v>
      </c>
      <c r="R2057" s="32" t="n">
        <f aca="false">P2057*(1+Q2057)</f>
        <v>155.4768</v>
      </c>
      <c r="S2057" s="32" t="n">
        <f aca="false">R2057*(1-TradeDiscount)</f>
        <v>136.819584</v>
      </c>
      <c r="T2057" s="32" t="n">
        <f aca="false">R2057*(1-VolumeDiscount)</f>
        <v>124.38144</v>
      </c>
    </row>
    <row r="2058" customFormat="false" ht="15" hidden="false" customHeight="false" outlineLevel="0" collapsed="false">
      <c r="A2058" s="25" t="s">
        <v>4486</v>
      </c>
      <c r="B2058" s="25" t="s">
        <v>124</v>
      </c>
      <c r="C2058" s="25" t="s">
        <v>125</v>
      </c>
      <c r="D2058" s="25" t="s">
        <v>4487</v>
      </c>
      <c r="E2058" s="25" t="s">
        <v>113</v>
      </c>
      <c r="F2058" s="25" t="s">
        <v>4269</v>
      </c>
      <c r="G2058" s="25" t="s">
        <v>35</v>
      </c>
      <c r="H2058" s="25" t="s">
        <v>3148</v>
      </c>
      <c r="I2058" s="25" t="s">
        <v>190</v>
      </c>
      <c r="J2058" s="25" t="s">
        <v>4262</v>
      </c>
      <c r="K2058" s="25" t="s">
        <v>192</v>
      </c>
      <c r="L2058" s="25"/>
      <c r="M2058" s="25"/>
      <c r="N2058" s="25"/>
      <c r="O2058" s="25" t="n">
        <v>4</v>
      </c>
      <c r="P2058" s="26" t="n">
        <f aca="false">(O2058*INDEX(ExtShape_Vals,MATCH(E2058,ExtShape_Keys,0))*AlumCostPerKg+O2058*INDEX(Finish_Vals,MATCH(G2058,Finish_Keys,0)))</f>
        <v>123.68</v>
      </c>
      <c r="Q2058" s="27" t="n">
        <f aca="false">INDEX(Markup_Vals,MATCH("Extrusion Profiles &amp; Raw Stock",MarkupSub_Keys,0))</f>
        <v>0.18</v>
      </c>
      <c r="R2058" s="28" t="n">
        <f aca="false">P2058*(1+Q2058)</f>
        <v>145.9424</v>
      </c>
      <c r="S2058" s="28" t="n">
        <f aca="false">R2058*(1-TradeDiscount)</f>
        <v>128.429312</v>
      </c>
      <c r="T2058" s="28" t="n">
        <f aca="false">R2058*(1-VolumeDiscount)</f>
        <v>116.75392</v>
      </c>
    </row>
    <row r="2059" customFormat="false" ht="15" hidden="false" customHeight="false" outlineLevel="0" collapsed="false">
      <c r="A2059" s="29" t="s">
        <v>4488</v>
      </c>
      <c r="B2059" s="29" t="s">
        <v>124</v>
      </c>
      <c r="C2059" s="29" t="s">
        <v>125</v>
      </c>
      <c r="D2059" s="29" t="s">
        <v>4489</v>
      </c>
      <c r="E2059" s="29" t="s">
        <v>113</v>
      </c>
      <c r="F2059" s="29" t="s">
        <v>4269</v>
      </c>
      <c r="G2059" s="29" t="s">
        <v>36</v>
      </c>
      <c r="H2059" s="29" t="s">
        <v>3148</v>
      </c>
      <c r="I2059" s="29" t="s">
        <v>190</v>
      </c>
      <c r="J2059" s="29" t="s">
        <v>4262</v>
      </c>
      <c r="K2059" s="29" t="s">
        <v>192</v>
      </c>
      <c r="L2059" s="29"/>
      <c r="M2059" s="29"/>
      <c r="N2059" s="29"/>
      <c r="O2059" s="29" t="n">
        <v>4</v>
      </c>
      <c r="P2059" s="30" t="n">
        <f aca="false">(O2059*INDEX(ExtShape_Vals,MATCH(E2059,ExtShape_Keys,0))*AlumCostPerKg+O2059*INDEX(Finish_Vals,MATCH(G2059,Finish_Keys,0)))</f>
        <v>175.68</v>
      </c>
      <c r="Q2059" s="31" t="n">
        <f aca="false">INDEX(Markup_Vals,MATCH("Extrusion Profiles &amp; Raw Stock",MarkupSub_Keys,0))</f>
        <v>0.18</v>
      </c>
      <c r="R2059" s="32" t="n">
        <f aca="false">P2059*(1+Q2059)</f>
        <v>207.3024</v>
      </c>
      <c r="S2059" s="32" t="n">
        <f aca="false">R2059*(1-TradeDiscount)</f>
        <v>182.426112</v>
      </c>
      <c r="T2059" s="32" t="n">
        <f aca="false">R2059*(1-VolumeDiscount)</f>
        <v>165.84192</v>
      </c>
    </row>
    <row r="2060" customFormat="false" ht="15" hidden="false" customHeight="false" outlineLevel="0" collapsed="false">
      <c r="A2060" s="25" t="s">
        <v>4490</v>
      </c>
      <c r="B2060" s="25" t="s">
        <v>124</v>
      </c>
      <c r="C2060" s="25" t="s">
        <v>125</v>
      </c>
      <c r="D2060" s="25" t="s">
        <v>4491</v>
      </c>
      <c r="E2060" s="25" t="s">
        <v>113</v>
      </c>
      <c r="F2060" s="25" t="s">
        <v>4269</v>
      </c>
      <c r="G2060" s="25" t="s">
        <v>37</v>
      </c>
      <c r="H2060" s="25" t="s">
        <v>3148</v>
      </c>
      <c r="I2060" s="25" t="s">
        <v>190</v>
      </c>
      <c r="J2060" s="25" t="s">
        <v>4262</v>
      </c>
      <c r="K2060" s="25" t="s">
        <v>192</v>
      </c>
      <c r="L2060" s="25"/>
      <c r="M2060" s="25"/>
      <c r="N2060" s="25"/>
      <c r="O2060" s="25" t="n">
        <v>4</v>
      </c>
      <c r="P2060" s="26" t="n">
        <f aca="false">(O2060*INDEX(ExtShape_Vals,MATCH(E2060,ExtShape_Keys,0))*AlumCostPerKg+O2060*INDEX(Finish_Vals,MATCH(G2060,Finish_Keys,0)))</f>
        <v>175.68</v>
      </c>
      <c r="Q2060" s="27" t="n">
        <f aca="false">INDEX(Markup_Vals,MATCH("Extrusion Profiles &amp; Raw Stock",MarkupSub_Keys,0))</f>
        <v>0.18</v>
      </c>
      <c r="R2060" s="28" t="n">
        <f aca="false">P2060*(1+Q2060)</f>
        <v>207.3024</v>
      </c>
      <c r="S2060" s="28" t="n">
        <f aca="false">R2060*(1-TradeDiscount)</f>
        <v>182.426112</v>
      </c>
      <c r="T2060" s="28" t="n">
        <f aca="false">R2060*(1-VolumeDiscount)</f>
        <v>165.84192</v>
      </c>
    </row>
    <row r="2061" customFormat="false" ht="15" hidden="false" customHeight="false" outlineLevel="0" collapsed="false">
      <c r="A2061" s="29" t="s">
        <v>4492</v>
      </c>
      <c r="B2061" s="29" t="s">
        <v>124</v>
      </c>
      <c r="C2061" s="29" t="s">
        <v>125</v>
      </c>
      <c r="D2061" s="29" t="s">
        <v>4493</v>
      </c>
      <c r="E2061" s="29" t="s">
        <v>113</v>
      </c>
      <c r="F2061" s="29" t="s">
        <v>4276</v>
      </c>
      <c r="G2061" s="29" t="s">
        <v>35</v>
      </c>
      <c r="H2061" s="29" t="s">
        <v>3148</v>
      </c>
      <c r="I2061" s="29" t="s">
        <v>190</v>
      </c>
      <c r="J2061" s="29" t="s">
        <v>4262</v>
      </c>
      <c r="K2061" s="29" t="s">
        <v>192</v>
      </c>
      <c r="L2061" s="29"/>
      <c r="M2061" s="29"/>
      <c r="N2061" s="29"/>
      <c r="O2061" s="29" t="n">
        <v>5.8</v>
      </c>
      <c r="P2061" s="30" t="n">
        <f aca="false">(O2061*INDEX(ExtShape_Vals,MATCH(E2061,ExtShape_Keys,0))*AlumCostPerKg+O2061*INDEX(Finish_Vals,MATCH(G2061,Finish_Keys,0)))</f>
        <v>179.336</v>
      </c>
      <c r="Q2061" s="31" t="n">
        <f aca="false">INDEX(Markup_Vals,MATCH("Extrusion Profiles &amp; Raw Stock",MarkupSub_Keys,0))</f>
        <v>0.18</v>
      </c>
      <c r="R2061" s="32" t="n">
        <f aca="false">P2061*(1+Q2061)</f>
        <v>211.61648</v>
      </c>
      <c r="S2061" s="32" t="n">
        <f aca="false">R2061*(1-TradeDiscount)</f>
        <v>186.2225024</v>
      </c>
      <c r="T2061" s="32" t="n">
        <f aca="false">R2061*(1-VolumeDiscount)</f>
        <v>169.293184</v>
      </c>
    </row>
    <row r="2062" customFormat="false" ht="15" hidden="false" customHeight="false" outlineLevel="0" collapsed="false">
      <c r="A2062" s="25" t="s">
        <v>4494</v>
      </c>
      <c r="B2062" s="25" t="s">
        <v>124</v>
      </c>
      <c r="C2062" s="25" t="s">
        <v>125</v>
      </c>
      <c r="D2062" s="25" t="s">
        <v>4495</v>
      </c>
      <c r="E2062" s="25" t="s">
        <v>113</v>
      </c>
      <c r="F2062" s="25" t="s">
        <v>4276</v>
      </c>
      <c r="G2062" s="25" t="s">
        <v>36</v>
      </c>
      <c r="H2062" s="25" t="s">
        <v>3148</v>
      </c>
      <c r="I2062" s="25" t="s">
        <v>190</v>
      </c>
      <c r="J2062" s="25" t="s">
        <v>4262</v>
      </c>
      <c r="K2062" s="25" t="s">
        <v>192</v>
      </c>
      <c r="L2062" s="25"/>
      <c r="M2062" s="25"/>
      <c r="N2062" s="25"/>
      <c r="O2062" s="25" t="n">
        <v>5.8</v>
      </c>
      <c r="P2062" s="26" t="n">
        <f aca="false">(O2062*INDEX(ExtShape_Vals,MATCH(E2062,ExtShape_Keys,0))*AlumCostPerKg+O2062*INDEX(Finish_Vals,MATCH(G2062,Finish_Keys,0)))</f>
        <v>254.736</v>
      </c>
      <c r="Q2062" s="27" t="n">
        <f aca="false">INDEX(Markup_Vals,MATCH("Extrusion Profiles &amp; Raw Stock",MarkupSub_Keys,0))</f>
        <v>0.18</v>
      </c>
      <c r="R2062" s="28" t="n">
        <f aca="false">P2062*(1+Q2062)</f>
        <v>300.58848</v>
      </c>
      <c r="S2062" s="28" t="n">
        <f aca="false">R2062*(1-TradeDiscount)</f>
        <v>264.5178624</v>
      </c>
      <c r="T2062" s="28" t="n">
        <f aca="false">R2062*(1-VolumeDiscount)</f>
        <v>240.470784</v>
      </c>
    </row>
    <row r="2063" customFormat="false" ht="15" hidden="false" customHeight="false" outlineLevel="0" collapsed="false">
      <c r="A2063" s="29" t="s">
        <v>4496</v>
      </c>
      <c r="B2063" s="29" t="s">
        <v>124</v>
      </c>
      <c r="C2063" s="29" t="s">
        <v>125</v>
      </c>
      <c r="D2063" s="29" t="s">
        <v>4497</v>
      </c>
      <c r="E2063" s="29" t="s">
        <v>113</v>
      </c>
      <c r="F2063" s="29" t="s">
        <v>4276</v>
      </c>
      <c r="G2063" s="29" t="s">
        <v>37</v>
      </c>
      <c r="H2063" s="29" t="s">
        <v>3148</v>
      </c>
      <c r="I2063" s="29" t="s">
        <v>190</v>
      </c>
      <c r="J2063" s="29" t="s">
        <v>4262</v>
      </c>
      <c r="K2063" s="29" t="s">
        <v>192</v>
      </c>
      <c r="L2063" s="29"/>
      <c r="M2063" s="29"/>
      <c r="N2063" s="29"/>
      <c r="O2063" s="29" t="n">
        <v>5.8</v>
      </c>
      <c r="P2063" s="30" t="n">
        <f aca="false">(O2063*INDEX(ExtShape_Vals,MATCH(E2063,ExtShape_Keys,0))*AlumCostPerKg+O2063*INDEX(Finish_Vals,MATCH(G2063,Finish_Keys,0)))</f>
        <v>254.736</v>
      </c>
      <c r="Q2063" s="31" t="n">
        <f aca="false">INDEX(Markup_Vals,MATCH("Extrusion Profiles &amp; Raw Stock",MarkupSub_Keys,0))</f>
        <v>0.18</v>
      </c>
      <c r="R2063" s="32" t="n">
        <f aca="false">P2063*(1+Q2063)</f>
        <v>300.58848</v>
      </c>
      <c r="S2063" s="32" t="n">
        <f aca="false">R2063*(1-TradeDiscount)</f>
        <v>264.5178624</v>
      </c>
      <c r="T2063" s="32" t="n">
        <f aca="false">R2063*(1-VolumeDiscount)</f>
        <v>240.470784</v>
      </c>
    </row>
    <row r="2064" customFormat="false" ht="15" hidden="false" customHeight="false" outlineLevel="0" collapsed="false">
      <c r="A2064" s="25" t="s">
        <v>4498</v>
      </c>
      <c r="B2064" s="25" t="s">
        <v>124</v>
      </c>
      <c r="C2064" s="25" t="s">
        <v>125</v>
      </c>
      <c r="D2064" s="25" t="s">
        <v>4499</v>
      </c>
      <c r="E2064" s="25" t="s">
        <v>113</v>
      </c>
      <c r="F2064" s="25" t="s">
        <v>4283</v>
      </c>
      <c r="G2064" s="25" t="s">
        <v>35</v>
      </c>
      <c r="H2064" s="25" t="s">
        <v>3148</v>
      </c>
      <c r="I2064" s="25" t="s">
        <v>190</v>
      </c>
      <c r="J2064" s="25" t="s">
        <v>4262</v>
      </c>
      <c r="K2064" s="25" t="s">
        <v>192</v>
      </c>
      <c r="L2064" s="25"/>
      <c r="M2064" s="25"/>
      <c r="N2064" s="25"/>
      <c r="O2064" s="25" t="n">
        <v>6.5</v>
      </c>
      <c r="P2064" s="26" t="n">
        <f aca="false">(O2064*INDEX(ExtShape_Vals,MATCH(E2064,ExtShape_Keys,0))*AlumCostPerKg+O2064*INDEX(Finish_Vals,MATCH(G2064,Finish_Keys,0)))</f>
        <v>200.98</v>
      </c>
      <c r="Q2064" s="27" t="n">
        <f aca="false">INDEX(Markup_Vals,MATCH("Extrusion Profiles &amp; Raw Stock",MarkupSub_Keys,0))</f>
        <v>0.18</v>
      </c>
      <c r="R2064" s="28" t="n">
        <f aca="false">P2064*(1+Q2064)</f>
        <v>237.1564</v>
      </c>
      <c r="S2064" s="28" t="n">
        <f aca="false">R2064*(1-TradeDiscount)</f>
        <v>208.697632</v>
      </c>
      <c r="T2064" s="28" t="n">
        <f aca="false">R2064*(1-VolumeDiscount)</f>
        <v>189.72512</v>
      </c>
    </row>
    <row r="2065" customFormat="false" ht="15" hidden="false" customHeight="false" outlineLevel="0" collapsed="false">
      <c r="A2065" s="29" t="s">
        <v>4500</v>
      </c>
      <c r="B2065" s="29" t="s">
        <v>124</v>
      </c>
      <c r="C2065" s="29" t="s">
        <v>125</v>
      </c>
      <c r="D2065" s="29" t="s">
        <v>4501</v>
      </c>
      <c r="E2065" s="29" t="s">
        <v>113</v>
      </c>
      <c r="F2065" s="29" t="s">
        <v>4283</v>
      </c>
      <c r="G2065" s="29" t="s">
        <v>36</v>
      </c>
      <c r="H2065" s="29" t="s">
        <v>3148</v>
      </c>
      <c r="I2065" s="29" t="s">
        <v>190</v>
      </c>
      <c r="J2065" s="29" t="s">
        <v>4262</v>
      </c>
      <c r="K2065" s="29" t="s">
        <v>192</v>
      </c>
      <c r="L2065" s="29"/>
      <c r="M2065" s="29"/>
      <c r="N2065" s="29"/>
      <c r="O2065" s="29" t="n">
        <v>6.5</v>
      </c>
      <c r="P2065" s="30" t="n">
        <f aca="false">(O2065*INDEX(ExtShape_Vals,MATCH(E2065,ExtShape_Keys,0))*AlumCostPerKg+O2065*INDEX(Finish_Vals,MATCH(G2065,Finish_Keys,0)))</f>
        <v>285.48</v>
      </c>
      <c r="Q2065" s="31" t="n">
        <f aca="false">INDEX(Markup_Vals,MATCH("Extrusion Profiles &amp; Raw Stock",MarkupSub_Keys,0))</f>
        <v>0.18</v>
      </c>
      <c r="R2065" s="32" t="n">
        <f aca="false">P2065*(1+Q2065)</f>
        <v>336.8664</v>
      </c>
      <c r="S2065" s="32" t="n">
        <f aca="false">R2065*(1-TradeDiscount)</f>
        <v>296.442432</v>
      </c>
      <c r="T2065" s="32" t="n">
        <f aca="false">R2065*(1-VolumeDiscount)</f>
        <v>269.49312</v>
      </c>
    </row>
    <row r="2066" customFormat="false" ht="15" hidden="false" customHeight="false" outlineLevel="0" collapsed="false">
      <c r="A2066" s="25" t="s">
        <v>4502</v>
      </c>
      <c r="B2066" s="25" t="s">
        <v>124</v>
      </c>
      <c r="C2066" s="25" t="s">
        <v>125</v>
      </c>
      <c r="D2066" s="25" t="s">
        <v>4503</v>
      </c>
      <c r="E2066" s="25" t="s">
        <v>113</v>
      </c>
      <c r="F2066" s="25" t="s">
        <v>4283</v>
      </c>
      <c r="G2066" s="25" t="s">
        <v>37</v>
      </c>
      <c r="H2066" s="25" t="s">
        <v>3148</v>
      </c>
      <c r="I2066" s="25" t="s">
        <v>190</v>
      </c>
      <c r="J2066" s="25" t="s">
        <v>4262</v>
      </c>
      <c r="K2066" s="25" t="s">
        <v>192</v>
      </c>
      <c r="L2066" s="25"/>
      <c r="M2066" s="25"/>
      <c r="N2066" s="25"/>
      <c r="O2066" s="25" t="n">
        <v>6.5</v>
      </c>
      <c r="P2066" s="26" t="n">
        <f aca="false">(O2066*INDEX(ExtShape_Vals,MATCH(E2066,ExtShape_Keys,0))*AlumCostPerKg+O2066*INDEX(Finish_Vals,MATCH(G2066,Finish_Keys,0)))</f>
        <v>285.48</v>
      </c>
      <c r="Q2066" s="27" t="n">
        <f aca="false">INDEX(Markup_Vals,MATCH("Extrusion Profiles &amp; Raw Stock",MarkupSub_Keys,0))</f>
        <v>0.18</v>
      </c>
      <c r="R2066" s="28" t="n">
        <f aca="false">P2066*(1+Q2066)</f>
        <v>336.8664</v>
      </c>
      <c r="S2066" s="28" t="n">
        <f aca="false">R2066*(1-TradeDiscount)</f>
        <v>296.442432</v>
      </c>
      <c r="T2066" s="28" t="n">
        <f aca="false">R2066*(1-VolumeDiscount)</f>
        <v>269.49312</v>
      </c>
    </row>
    <row r="2067" customFormat="false" ht="15" hidden="false" customHeight="false" outlineLevel="0" collapsed="false">
      <c r="A2067" s="29" t="s">
        <v>4504</v>
      </c>
      <c r="B2067" s="29" t="s">
        <v>124</v>
      </c>
      <c r="C2067" s="29" t="s">
        <v>125</v>
      </c>
      <c r="D2067" s="29" t="s">
        <v>4505</v>
      </c>
      <c r="E2067" s="29" t="s">
        <v>114</v>
      </c>
      <c r="F2067" s="29" t="s">
        <v>4261</v>
      </c>
      <c r="G2067" s="29" t="s">
        <v>35</v>
      </c>
      <c r="H2067" s="29" t="s">
        <v>3148</v>
      </c>
      <c r="I2067" s="29" t="s">
        <v>190</v>
      </c>
      <c r="J2067" s="29" t="s">
        <v>4262</v>
      </c>
      <c r="K2067" s="29" t="s">
        <v>192</v>
      </c>
      <c r="L2067" s="29"/>
      <c r="M2067" s="29"/>
      <c r="N2067" s="29"/>
      <c r="O2067" s="29" t="n">
        <v>3</v>
      </c>
      <c r="P2067" s="30" t="n">
        <f aca="false">(O2067*INDEX(ExtShape_Vals,MATCH(E2067,ExtShape_Keys,0))*AlumCostPerKg+O2067*INDEX(Finish_Vals,MATCH(G2067,Finish_Keys,0)))</f>
        <v>86.655</v>
      </c>
      <c r="Q2067" s="31" t="n">
        <f aca="false">INDEX(Markup_Vals,MATCH("Extrusion Profiles &amp; Raw Stock",MarkupSub_Keys,0))</f>
        <v>0.18</v>
      </c>
      <c r="R2067" s="32" t="n">
        <f aca="false">P2067*(1+Q2067)</f>
        <v>102.2529</v>
      </c>
      <c r="S2067" s="32" t="n">
        <f aca="false">R2067*(1-TradeDiscount)</f>
        <v>89.982552</v>
      </c>
      <c r="T2067" s="32" t="n">
        <f aca="false">R2067*(1-VolumeDiscount)</f>
        <v>81.80232</v>
      </c>
    </row>
    <row r="2068" customFormat="false" ht="15" hidden="false" customHeight="false" outlineLevel="0" collapsed="false">
      <c r="A2068" s="25" t="s">
        <v>4506</v>
      </c>
      <c r="B2068" s="25" t="s">
        <v>124</v>
      </c>
      <c r="C2068" s="25" t="s">
        <v>125</v>
      </c>
      <c r="D2068" s="25" t="s">
        <v>4507</v>
      </c>
      <c r="E2068" s="25" t="s">
        <v>114</v>
      </c>
      <c r="F2068" s="25" t="s">
        <v>4261</v>
      </c>
      <c r="G2068" s="25" t="s">
        <v>36</v>
      </c>
      <c r="H2068" s="25" t="s">
        <v>3148</v>
      </c>
      <c r="I2068" s="25" t="s">
        <v>190</v>
      </c>
      <c r="J2068" s="25" t="s">
        <v>4262</v>
      </c>
      <c r="K2068" s="25" t="s">
        <v>192</v>
      </c>
      <c r="L2068" s="25"/>
      <c r="M2068" s="25"/>
      <c r="N2068" s="25"/>
      <c r="O2068" s="25" t="n">
        <v>3</v>
      </c>
      <c r="P2068" s="26" t="n">
        <f aca="false">(O2068*INDEX(ExtShape_Vals,MATCH(E2068,ExtShape_Keys,0))*AlumCostPerKg+O2068*INDEX(Finish_Vals,MATCH(G2068,Finish_Keys,0)))</f>
        <v>125.655</v>
      </c>
      <c r="Q2068" s="27" t="n">
        <f aca="false">INDEX(Markup_Vals,MATCH("Extrusion Profiles &amp; Raw Stock",MarkupSub_Keys,0))</f>
        <v>0.18</v>
      </c>
      <c r="R2068" s="28" t="n">
        <f aca="false">P2068*(1+Q2068)</f>
        <v>148.2729</v>
      </c>
      <c r="S2068" s="28" t="n">
        <f aca="false">R2068*(1-TradeDiscount)</f>
        <v>130.480152</v>
      </c>
      <c r="T2068" s="28" t="n">
        <f aca="false">R2068*(1-VolumeDiscount)</f>
        <v>118.61832</v>
      </c>
    </row>
    <row r="2069" customFormat="false" ht="15" hidden="false" customHeight="false" outlineLevel="0" collapsed="false">
      <c r="A2069" s="29" t="s">
        <v>4508</v>
      </c>
      <c r="B2069" s="29" t="s">
        <v>124</v>
      </c>
      <c r="C2069" s="29" t="s">
        <v>125</v>
      </c>
      <c r="D2069" s="29" t="s">
        <v>4509</v>
      </c>
      <c r="E2069" s="29" t="s">
        <v>114</v>
      </c>
      <c r="F2069" s="29" t="s">
        <v>4261</v>
      </c>
      <c r="G2069" s="29" t="s">
        <v>37</v>
      </c>
      <c r="H2069" s="29" t="s">
        <v>3148</v>
      </c>
      <c r="I2069" s="29" t="s">
        <v>190</v>
      </c>
      <c r="J2069" s="29" t="s">
        <v>4262</v>
      </c>
      <c r="K2069" s="29" t="s">
        <v>192</v>
      </c>
      <c r="L2069" s="29"/>
      <c r="M2069" s="29"/>
      <c r="N2069" s="29"/>
      <c r="O2069" s="29" t="n">
        <v>3</v>
      </c>
      <c r="P2069" s="30" t="n">
        <f aca="false">(O2069*INDEX(ExtShape_Vals,MATCH(E2069,ExtShape_Keys,0))*AlumCostPerKg+O2069*INDEX(Finish_Vals,MATCH(G2069,Finish_Keys,0)))</f>
        <v>125.655</v>
      </c>
      <c r="Q2069" s="31" t="n">
        <f aca="false">INDEX(Markup_Vals,MATCH("Extrusion Profiles &amp; Raw Stock",MarkupSub_Keys,0))</f>
        <v>0.18</v>
      </c>
      <c r="R2069" s="32" t="n">
        <f aca="false">P2069*(1+Q2069)</f>
        <v>148.2729</v>
      </c>
      <c r="S2069" s="32" t="n">
        <f aca="false">R2069*(1-TradeDiscount)</f>
        <v>130.480152</v>
      </c>
      <c r="T2069" s="32" t="n">
        <f aca="false">R2069*(1-VolumeDiscount)</f>
        <v>118.61832</v>
      </c>
    </row>
    <row r="2070" customFormat="false" ht="15" hidden="false" customHeight="false" outlineLevel="0" collapsed="false">
      <c r="A2070" s="25" t="s">
        <v>4510</v>
      </c>
      <c r="B2070" s="25" t="s">
        <v>124</v>
      </c>
      <c r="C2070" s="25" t="s">
        <v>125</v>
      </c>
      <c r="D2070" s="25" t="s">
        <v>4511</v>
      </c>
      <c r="E2070" s="25" t="s">
        <v>114</v>
      </c>
      <c r="F2070" s="25" t="s">
        <v>4269</v>
      </c>
      <c r="G2070" s="25" t="s">
        <v>35</v>
      </c>
      <c r="H2070" s="25" t="s">
        <v>3148</v>
      </c>
      <c r="I2070" s="25" t="s">
        <v>190</v>
      </c>
      <c r="J2070" s="25" t="s">
        <v>4262</v>
      </c>
      <c r="K2070" s="25" t="s">
        <v>192</v>
      </c>
      <c r="L2070" s="25"/>
      <c r="M2070" s="25"/>
      <c r="N2070" s="25"/>
      <c r="O2070" s="25" t="n">
        <v>4</v>
      </c>
      <c r="P2070" s="26" t="n">
        <f aca="false">(O2070*INDEX(ExtShape_Vals,MATCH(E2070,ExtShape_Keys,0))*AlumCostPerKg+O2070*INDEX(Finish_Vals,MATCH(G2070,Finish_Keys,0)))</f>
        <v>115.54</v>
      </c>
      <c r="Q2070" s="27" t="n">
        <f aca="false">INDEX(Markup_Vals,MATCH("Extrusion Profiles &amp; Raw Stock",MarkupSub_Keys,0))</f>
        <v>0.18</v>
      </c>
      <c r="R2070" s="28" t="n">
        <f aca="false">P2070*(1+Q2070)</f>
        <v>136.3372</v>
      </c>
      <c r="S2070" s="28" t="n">
        <f aca="false">R2070*(1-TradeDiscount)</f>
        <v>119.976736</v>
      </c>
      <c r="T2070" s="28" t="n">
        <f aca="false">R2070*(1-VolumeDiscount)</f>
        <v>109.06976</v>
      </c>
    </row>
    <row r="2071" customFormat="false" ht="15" hidden="false" customHeight="false" outlineLevel="0" collapsed="false">
      <c r="A2071" s="29" t="s">
        <v>4512</v>
      </c>
      <c r="B2071" s="29" t="s">
        <v>124</v>
      </c>
      <c r="C2071" s="29" t="s">
        <v>125</v>
      </c>
      <c r="D2071" s="29" t="s">
        <v>4513</v>
      </c>
      <c r="E2071" s="29" t="s">
        <v>114</v>
      </c>
      <c r="F2071" s="29" t="s">
        <v>4269</v>
      </c>
      <c r="G2071" s="29" t="s">
        <v>36</v>
      </c>
      <c r="H2071" s="29" t="s">
        <v>3148</v>
      </c>
      <c r="I2071" s="29" t="s">
        <v>190</v>
      </c>
      <c r="J2071" s="29" t="s">
        <v>4262</v>
      </c>
      <c r="K2071" s="29" t="s">
        <v>192</v>
      </c>
      <c r="L2071" s="29"/>
      <c r="M2071" s="29"/>
      <c r="N2071" s="29"/>
      <c r="O2071" s="29" t="n">
        <v>4</v>
      </c>
      <c r="P2071" s="30" t="n">
        <f aca="false">(O2071*INDEX(ExtShape_Vals,MATCH(E2071,ExtShape_Keys,0))*AlumCostPerKg+O2071*INDEX(Finish_Vals,MATCH(G2071,Finish_Keys,0)))</f>
        <v>167.54</v>
      </c>
      <c r="Q2071" s="31" t="n">
        <f aca="false">INDEX(Markup_Vals,MATCH("Extrusion Profiles &amp; Raw Stock",MarkupSub_Keys,0))</f>
        <v>0.18</v>
      </c>
      <c r="R2071" s="32" t="n">
        <f aca="false">P2071*(1+Q2071)</f>
        <v>197.6972</v>
      </c>
      <c r="S2071" s="32" t="n">
        <f aca="false">R2071*(1-TradeDiscount)</f>
        <v>173.973536</v>
      </c>
      <c r="T2071" s="32" t="n">
        <f aca="false">R2071*(1-VolumeDiscount)</f>
        <v>158.15776</v>
      </c>
    </row>
    <row r="2072" customFormat="false" ht="15" hidden="false" customHeight="false" outlineLevel="0" collapsed="false">
      <c r="A2072" s="25" t="s">
        <v>4514</v>
      </c>
      <c r="B2072" s="25" t="s">
        <v>124</v>
      </c>
      <c r="C2072" s="25" t="s">
        <v>125</v>
      </c>
      <c r="D2072" s="25" t="s">
        <v>4515</v>
      </c>
      <c r="E2072" s="25" t="s">
        <v>114</v>
      </c>
      <c r="F2072" s="25" t="s">
        <v>4269</v>
      </c>
      <c r="G2072" s="25" t="s">
        <v>37</v>
      </c>
      <c r="H2072" s="25" t="s">
        <v>3148</v>
      </c>
      <c r="I2072" s="25" t="s">
        <v>190</v>
      </c>
      <c r="J2072" s="25" t="s">
        <v>4262</v>
      </c>
      <c r="K2072" s="25" t="s">
        <v>192</v>
      </c>
      <c r="L2072" s="25"/>
      <c r="M2072" s="25"/>
      <c r="N2072" s="25"/>
      <c r="O2072" s="25" t="n">
        <v>4</v>
      </c>
      <c r="P2072" s="26" t="n">
        <f aca="false">(O2072*INDEX(ExtShape_Vals,MATCH(E2072,ExtShape_Keys,0))*AlumCostPerKg+O2072*INDEX(Finish_Vals,MATCH(G2072,Finish_Keys,0)))</f>
        <v>167.54</v>
      </c>
      <c r="Q2072" s="27" t="n">
        <f aca="false">INDEX(Markup_Vals,MATCH("Extrusion Profiles &amp; Raw Stock",MarkupSub_Keys,0))</f>
        <v>0.18</v>
      </c>
      <c r="R2072" s="28" t="n">
        <f aca="false">P2072*(1+Q2072)</f>
        <v>197.6972</v>
      </c>
      <c r="S2072" s="28" t="n">
        <f aca="false">R2072*(1-TradeDiscount)</f>
        <v>173.973536</v>
      </c>
      <c r="T2072" s="28" t="n">
        <f aca="false">R2072*(1-VolumeDiscount)</f>
        <v>158.15776</v>
      </c>
    </row>
    <row r="2073" customFormat="false" ht="15" hidden="false" customHeight="false" outlineLevel="0" collapsed="false">
      <c r="A2073" s="29" t="s">
        <v>4516</v>
      </c>
      <c r="B2073" s="29" t="s">
        <v>124</v>
      </c>
      <c r="C2073" s="29" t="s">
        <v>125</v>
      </c>
      <c r="D2073" s="29" t="s">
        <v>4517</v>
      </c>
      <c r="E2073" s="29" t="s">
        <v>114</v>
      </c>
      <c r="F2073" s="29" t="s">
        <v>4276</v>
      </c>
      <c r="G2073" s="29" t="s">
        <v>35</v>
      </c>
      <c r="H2073" s="29" t="s">
        <v>3148</v>
      </c>
      <c r="I2073" s="29" t="s">
        <v>190</v>
      </c>
      <c r="J2073" s="29" t="s">
        <v>4262</v>
      </c>
      <c r="K2073" s="29" t="s">
        <v>192</v>
      </c>
      <c r="L2073" s="29"/>
      <c r="M2073" s="29"/>
      <c r="N2073" s="29"/>
      <c r="O2073" s="29" t="n">
        <v>5.8</v>
      </c>
      <c r="P2073" s="30" t="n">
        <f aca="false">(O2073*INDEX(ExtShape_Vals,MATCH(E2073,ExtShape_Keys,0))*AlumCostPerKg+O2073*INDEX(Finish_Vals,MATCH(G2073,Finish_Keys,0)))</f>
        <v>167.533</v>
      </c>
      <c r="Q2073" s="31" t="n">
        <f aca="false">INDEX(Markup_Vals,MATCH("Extrusion Profiles &amp; Raw Stock",MarkupSub_Keys,0))</f>
        <v>0.18</v>
      </c>
      <c r="R2073" s="32" t="n">
        <f aca="false">P2073*(1+Q2073)</f>
        <v>197.68894</v>
      </c>
      <c r="S2073" s="32" t="n">
        <f aca="false">R2073*(1-TradeDiscount)</f>
        <v>173.9662672</v>
      </c>
      <c r="T2073" s="32" t="n">
        <f aca="false">R2073*(1-VolumeDiscount)</f>
        <v>158.151152</v>
      </c>
    </row>
    <row r="2074" customFormat="false" ht="15" hidden="false" customHeight="false" outlineLevel="0" collapsed="false">
      <c r="A2074" s="25" t="s">
        <v>4518</v>
      </c>
      <c r="B2074" s="25" t="s">
        <v>124</v>
      </c>
      <c r="C2074" s="25" t="s">
        <v>125</v>
      </c>
      <c r="D2074" s="25" t="s">
        <v>4519</v>
      </c>
      <c r="E2074" s="25" t="s">
        <v>114</v>
      </c>
      <c r="F2074" s="25" t="s">
        <v>4276</v>
      </c>
      <c r="G2074" s="25" t="s">
        <v>36</v>
      </c>
      <c r="H2074" s="25" t="s">
        <v>3148</v>
      </c>
      <c r="I2074" s="25" t="s">
        <v>190</v>
      </c>
      <c r="J2074" s="25" t="s">
        <v>4262</v>
      </c>
      <c r="K2074" s="25" t="s">
        <v>192</v>
      </c>
      <c r="L2074" s="25"/>
      <c r="M2074" s="25"/>
      <c r="N2074" s="25"/>
      <c r="O2074" s="25" t="n">
        <v>5.8</v>
      </c>
      <c r="P2074" s="26" t="n">
        <f aca="false">(O2074*INDEX(ExtShape_Vals,MATCH(E2074,ExtShape_Keys,0))*AlumCostPerKg+O2074*INDEX(Finish_Vals,MATCH(G2074,Finish_Keys,0)))</f>
        <v>242.933</v>
      </c>
      <c r="Q2074" s="27" t="n">
        <f aca="false">INDEX(Markup_Vals,MATCH("Extrusion Profiles &amp; Raw Stock",MarkupSub_Keys,0))</f>
        <v>0.18</v>
      </c>
      <c r="R2074" s="28" t="n">
        <f aca="false">P2074*(1+Q2074)</f>
        <v>286.66094</v>
      </c>
      <c r="S2074" s="28" t="n">
        <f aca="false">R2074*(1-TradeDiscount)</f>
        <v>252.2616272</v>
      </c>
      <c r="T2074" s="28" t="n">
        <f aca="false">R2074*(1-VolumeDiscount)</f>
        <v>229.328752</v>
      </c>
    </row>
    <row r="2075" customFormat="false" ht="15" hidden="false" customHeight="false" outlineLevel="0" collapsed="false">
      <c r="A2075" s="29" t="s">
        <v>4520</v>
      </c>
      <c r="B2075" s="29" t="s">
        <v>124</v>
      </c>
      <c r="C2075" s="29" t="s">
        <v>125</v>
      </c>
      <c r="D2075" s="29" t="s">
        <v>4521</v>
      </c>
      <c r="E2075" s="29" t="s">
        <v>114</v>
      </c>
      <c r="F2075" s="29" t="s">
        <v>4276</v>
      </c>
      <c r="G2075" s="29" t="s">
        <v>37</v>
      </c>
      <c r="H2075" s="29" t="s">
        <v>3148</v>
      </c>
      <c r="I2075" s="29" t="s">
        <v>190</v>
      </c>
      <c r="J2075" s="29" t="s">
        <v>4262</v>
      </c>
      <c r="K2075" s="29" t="s">
        <v>192</v>
      </c>
      <c r="L2075" s="29"/>
      <c r="M2075" s="29"/>
      <c r="N2075" s="29"/>
      <c r="O2075" s="29" t="n">
        <v>5.8</v>
      </c>
      <c r="P2075" s="30" t="n">
        <f aca="false">(O2075*INDEX(ExtShape_Vals,MATCH(E2075,ExtShape_Keys,0))*AlumCostPerKg+O2075*INDEX(Finish_Vals,MATCH(G2075,Finish_Keys,0)))</f>
        <v>242.933</v>
      </c>
      <c r="Q2075" s="31" t="n">
        <f aca="false">INDEX(Markup_Vals,MATCH("Extrusion Profiles &amp; Raw Stock",MarkupSub_Keys,0))</f>
        <v>0.18</v>
      </c>
      <c r="R2075" s="32" t="n">
        <f aca="false">P2075*(1+Q2075)</f>
        <v>286.66094</v>
      </c>
      <c r="S2075" s="32" t="n">
        <f aca="false">R2075*(1-TradeDiscount)</f>
        <v>252.2616272</v>
      </c>
      <c r="T2075" s="32" t="n">
        <f aca="false">R2075*(1-VolumeDiscount)</f>
        <v>229.328752</v>
      </c>
    </row>
    <row r="2076" customFormat="false" ht="15" hidden="false" customHeight="false" outlineLevel="0" collapsed="false">
      <c r="A2076" s="25" t="s">
        <v>4522</v>
      </c>
      <c r="B2076" s="25" t="s">
        <v>124</v>
      </c>
      <c r="C2076" s="25" t="s">
        <v>125</v>
      </c>
      <c r="D2076" s="25" t="s">
        <v>4523</v>
      </c>
      <c r="E2076" s="25" t="s">
        <v>114</v>
      </c>
      <c r="F2076" s="25" t="s">
        <v>4283</v>
      </c>
      <c r="G2076" s="25" t="s">
        <v>35</v>
      </c>
      <c r="H2076" s="25" t="s">
        <v>3148</v>
      </c>
      <c r="I2076" s="25" t="s">
        <v>190</v>
      </c>
      <c r="J2076" s="25" t="s">
        <v>4262</v>
      </c>
      <c r="K2076" s="25" t="s">
        <v>192</v>
      </c>
      <c r="L2076" s="25"/>
      <c r="M2076" s="25"/>
      <c r="N2076" s="25"/>
      <c r="O2076" s="25" t="n">
        <v>6.5</v>
      </c>
      <c r="P2076" s="26" t="n">
        <f aca="false">(O2076*INDEX(ExtShape_Vals,MATCH(E2076,ExtShape_Keys,0))*AlumCostPerKg+O2076*INDEX(Finish_Vals,MATCH(G2076,Finish_Keys,0)))</f>
        <v>187.7525</v>
      </c>
      <c r="Q2076" s="27" t="n">
        <f aca="false">INDEX(Markup_Vals,MATCH("Extrusion Profiles &amp; Raw Stock",MarkupSub_Keys,0))</f>
        <v>0.18</v>
      </c>
      <c r="R2076" s="28" t="n">
        <f aca="false">P2076*(1+Q2076)</f>
        <v>221.54795</v>
      </c>
      <c r="S2076" s="28" t="n">
        <f aca="false">R2076*(1-TradeDiscount)</f>
        <v>194.962196</v>
      </c>
      <c r="T2076" s="28" t="n">
        <f aca="false">R2076*(1-VolumeDiscount)</f>
        <v>177.23836</v>
      </c>
    </row>
    <row r="2077" customFormat="false" ht="15" hidden="false" customHeight="false" outlineLevel="0" collapsed="false">
      <c r="A2077" s="29" t="s">
        <v>4524</v>
      </c>
      <c r="B2077" s="29" t="s">
        <v>124</v>
      </c>
      <c r="C2077" s="29" t="s">
        <v>125</v>
      </c>
      <c r="D2077" s="29" t="s">
        <v>4525</v>
      </c>
      <c r="E2077" s="29" t="s">
        <v>114</v>
      </c>
      <c r="F2077" s="29" t="s">
        <v>4283</v>
      </c>
      <c r="G2077" s="29" t="s">
        <v>36</v>
      </c>
      <c r="H2077" s="29" t="s">
        <v>3148</v>
      </c>
      <c r="I2077" s="29" t="s">
        <v>190</v>
      </c>
      <c r="J2077" s="29" t="s">
        <v>4262</v>
      </c>
      <c r="K2077" s="29" t="s">
        <v>192</v>
      </c>
      <c r="L2077" s="29"/>
      <c r="M2077" s="29"/>
      <c r="N2077" s="29"/>
      <c r="O2077" s="29" t="n">
        <v>6.5</v>
      </c>
      <c r="P2077" s="30" t="n">
        <f aca="false">(O2077*INDEX(ExtShape_Vals,MATCH(E2077,ExtShape_Keys,0))*AlumCostPerKg+O2077*INDEX(Finish_Vals,MATCH(G2077,Finish_Keys,0)))</f>
        <v>272.2525</v>
      </c>
      <c r="Q2077" s="31" t="n">
        <f aca="false">INDEX(Markup_Vals,MATCH("Extrusion Profiles &amp; Raw Stock",MarkupSub_Keys,0))</f>
        <v>0.18</v>
      </c>
      <c r="R2077" s="32" t="n">
        <f aca="false">P2077*(1+Q2077)</f>
        <v>321.25795</v>
      </c>
      <c r="S2077" s="32" t="n">
        <f aca="false">R2077*(1-TradeDiscount)</f>
        <v>282.706996</v>
      </c>
      <c r="T2077" s="32" t="n">
        <f aca="false">R2077*(1-VolumeDiscount)</f>
        <v>257.00636</v>
      </c>
    </row>
    <row r="2078" customFormat="false" ht="15" hidden="false" customHeight="false" outlineLevel="0" collapsed="false">
      <c r="A2078" s="25" t="s">
        <v>4526</v>
      </c>
      <c r="B2078" s="25" t="s">
        <v>124</v>
      </c>
      <c r="C2078" s="25" t="s">
        <v>125</v>
      </c>
      <c r="D2078" s="25" t="s">
        <v>4527</v>
      </c>
      <c r="E2078" s="25" t="s">
        <v>114</v>
      </c>
      <c r="F2078" s="25" t="s">
        <v>4283</v>
      </c>
      <c r="G2078" s="25" t="s">
        <v>37</v>
      </c>
      <c r="H2078" s="25" t="s">
        <v>3148</v>
      </c>
      <c r="I2078" s="25" t="s">
        <v>190</v>
      </c>
      <c r="J2078" s="25" t="s">
        <v>4262</v>
      </c>
      <c r="K2078" s="25" t="s">
        <v>192</v>
      </c>
      <c r="L2078" s="25"/>
      <c r="M2078" s="25"/>
      <c r="N2078" s="25"/>
      <c r="O2078" s="25" t="n">
        <v>6.5</v>
      </c>
      <c r="P2078" s="26" t="n">
        <f aca="false">(O2078*INDEX(ExtShape_Vals,MATCH(E2078,ExtShape_Keys,0))*AlumCostPerKg+O2078*INDEX(Finish_Vals,MATCH(G2078,Finish_Keys,0)))</f>
        <v>272.2525</v>
      </c>
      <c r="Q2078" s="27" t="n">
        <f aca="false">INDEX(Markup_Vals,MATCH("Extrusion Profiles &amp; Raw Stock",MarkupSub_Keys,0))</f>
        <v>0.18</v>
      </c>
      <c r="R2078" s="28" t="n">
        <f aca="false">P2078*(1+Q2078)</f>
        <v>321.25795</v>
      </c>
      <c r="S2078" s="28" t="n">
        <f aca="false">R2078*(1-TradeDiscount)</f>
        <v>282.706996</v>
      </c>
      <c r="T2078" s="28" t="n">
        <f aca="false">R2078*(1-VolumeDiscount)</f>
        <v>257.00636</v>
      </c>
    </row>
    <row r="2079" customFormat="false" ht="15" hidden="false" customHeight="false" outlineLevel="0" collapsed="false">
      <c r="A2079" s="29" t="s">
        <v>4528</v>
      </c>
      <c r="B2079" s="29" t="s">
        <v>124</v>
      </c>
      <c r="C2079" s="29" t="s">
        <v>125</v>
      </c>
      <c r="D2079" s="29" t="s">
        <v>4529</v>
      </c>
      <c r="E2079" s="29" t="s">
        <v>115</v>
      </c>
      <c r="F2079" s="29" t="s">
        <v>4261</v>
      </c>
      <c r="G2079" s="29" t="s">
        <v>35</v>
      </c>
      <c r="H2079" s="29" t="s">
        <v>3148</v>
      </c>
      <c r="I2079" s="29" t="s">
        <v>190</v>
      </c>
      <c r="J2079" s="29" t="s">
        <v>4262</v>
      </c>
      <c r="K2079" s="29" t="s">
        <v>192</v>
      </c>
      <c r="L2079" s="29"/>
      <c r="M2079" s="29"/>
      <c r="N2079" s="29"/>
      <c r="O2079" s="29" t="n">
        <v>3</v>
      </c>
      <c r="P2079" s="30" t="n">
        <f aca="false">(O2079*INDEX(ExtShape_Vals,MATCH(E2079,ExtShape_Keys,0))*AlumCostPerKg+O2079*INDEX(Finish_Vals,MATCH(G2079,Finish_Keys,0)))</f>
        <v>87.765</v>
      </c>
      <c r="Q2079" s="31" t="n">
        <f aca="false">INDEX(Markup_Vals,MATCH("Extrusion Profiles &amp; Raw Stock",MarkupSub_Keys,0))</f>
        <v>0.18</v>
      </c>
      <c r="R2079" s="32" t="n">
        <f aca="false">P2079*(1+Q2079)</f>
        <v>103.5627</v>
      </c>
      <c r="S2079" s="32" t="n">
        <f aca="false">R2079*(1-TradeDiscount)</f>
        <v>91.135176</v>
      </c>
      <c r="T2079" s="32" t="n">
        <f aca="false">R2079*(1-VolumeDiscount)</f>
        <v>82.85016</v>
      </c>
    </row>
    <row r="2080" customFormat="false" ht="15" hidden="false" customHeight="false" outlineLevel="0" collapsed="false">
      <c r="A2080" s="25" t="s">
        <v>4530</v>
      </c>
      <c r="B2080" s="25" t="s">
        <v>124</v>
      </c>
      <c r="C2080" s="25" t="s">
        <v>125</v>
      </c>
      <c r="D2080" s="25" t="s">
        <v>4531</v>
      </c>
      <c r="E2080" s="25" t="s">
        <v>115</v>
      </c>
      <c r="F2080" s="25" t="s">
        <v>4261</v>
      </c>
      <c r="G2080" s="25" t="s">
        <v>36</v>
      </c>
      <c r="H2080" s="25" t="s">
        <v>3148</v>
      </c>
      <c r="I2080" s="25" t="s">
        <v>190</v>
      </c>
      <c r="J2080" s="25" t="s">
        <v>4262</v>
      </c>
      <c r="K2080" s="25" t="s">
        <v>192</v>
      </c>
      <c r="L2080" s="25"/>
      <c r="M2080" s="25"/>
      <c r="N2080" s="25"/>
      <c r="O2080" s="25" t="n">
        <v>3</v>
      </c>
      <c r="P2080" s="26" t="n">
        <f aca="false">(O2080*INDEX(ExtShape_Vals,MATCH(E2080,ExtShape_Keys,0))*AlumCostPerKg+O2080*INDEX(Finish_Vals,MATCH(G2080,Finish_Keys,0)))</f>
        <v>126.765</v>
      </c>
      <c r="Q2080" s="27" t="n">
        <f aca="false">INDEX(Markup_Vals,MATCH("Extrusion Profiles &amp; Raw Stock",MarkupSub_Keys,0))</f>
        <v>0.18</v>
      </c>
      <c r="R2080" s="28" t="n">
        <f aca="false">P2080*(1+Q2080)</f>
        <v>149.5827</v>
      </c>
      <c r="S2080" s="28" t="n">
        <f aca="false">R2080*(1-TradeDiscount)</f>
        <v>131.632776</v>
      </c>
      <c r="T2080" s="28" t="n">
        <f aca="false">R2080*(1-VolumeDiscount)</f>
        <v>119.66616</v>
      </c>
    </row>
    <row r="2081" customFormat="false" ht="15" hidden="false" customHeight="false" outlineLevel="0" collapsed="false">
      <c r="A2081" s="29" t="s">
        <v>4532</v>
      </c>
      <c r="B2081" s="29" t="s">
        <v>124</v>
      </c>
      <c r="C2081" s="29" t="s">
        <v>125</v>
      </c>
      <c r="D2081" s="29" t="s">
        <v>4533</v>
      </c>
      <c r="E2081" s="29" t="s">
        <v>115</v>
      </c>
      <c r="F2081" s="29" t="s">
        <v>4261</v>
      </c>
      <c r="G2081" s="29" t="s">
        <v>37</v>
      </c>
      <c r="H2081" s="29" t="s">
        <v>3148</v>
      </c>
      <c r="I2081" s="29" t="s">
        <v>190</v>
      </c>
      <c r="J2081" s="29" t="s">
        <v>4262</v>
      </c>
      <c r="K2081" s="29" t="s">
        <v>192</v>
      </c>
      <c r="L2081" s="29"/>
      <c r="M2081" s="29"/>
      <c r="N2081" s="29"/>
      <c r="O2081" s="29" t="n">
        <v>3</v>
      </c>
      <c r="P2081" s="30" t="n">
        <f aca="false">(O2081*INDEX(ExtShape_Vals,MATCH(E2081,ExtShape_Keys,0))*AlumCostPerKg+O2081*INDEX(Finish_Vals,MATCH(G2081,Finish_Keys,0)))</f>
        <v>126.765</v>
      </c>
      <c r="Q2081" s="31" t="n">
        <f aca="false">INDEX(Markup_Vals,MATCH("Extrusion Profiles &amp; Raw Stock",MarkupSub_Keys,0))</f>
        <v>0.18</v>
      </c>
      <c r="R2081" s="32" t="n">
        <f aca="false">P2081*(1+Q2081)</f>
        <v>149.5827</v>
      </c>
      <c r="S2081" s="32" t="n">
        <f aca="false">R2081*(1-TradeDiscount)</f>
        <v>131.632776</v>
      </c>
      <c r="T2081" s="32" t="n">
        <f aca="false">R2081*(1-VolumeDiscount)</f>
        <v>119.66616</v>
      </c>
    </row>
    <row r="2082" customFormat="false" ht="15" hidden="false" customHeight="false" outlineLevel="0" collapsed="false">
      <c r="A2082" s="25" t="s">
        <v>4534</v>
      </c>
      <c r="B2082" s="25" t="s">
        <v>124</v>
      </c>
      <c r="C2082" s="25" t="s">
        <v>125</v>
      </c>
      <c r="D2082" s="25" t="s">
        <v>4535</v>
      </c>
      <c r="E2082" s="25" t="s">
        <v>115</v>
      </c>
      <c r="F2082" s="25" t="s">
        <v>4269</v>
      </c>
      <c r="G2082" s="25" t="s">
        <v>35</v>
      </c>
      <c r="H2082" s="25" t="s">
        <v>3148</v>
      </c>
      <c r="I2082" s="25" t="s">
        <v>190</v>
      </c>
      <c r="J2082" s="25" t="s">
        <v>4262</v>
      </c>
      <c r="K2082" s="25" t="s">
        <v>192</v>
      </c>
      <c r="L2082" s="25"/>
      <c r="M2082" s="25"/>
      <c r="N2082" s="25"/>
      <c r="O2082" s="25" t="n">
        <v>4</v>
      </c>
      <c r="P2082" s="26" t="n">
        <f aca="false">(O2082*INDEX(ExtShape_Vals,MATCH(E2082,ExtShape_Keys,0))*AlumCostPerKg+O2082*INDEX(Finish_Vals,MATCH(G2082,Finish_Keys,0)))</f>
        <v>117.02</v>
      </c>
      <c r="Q2082" s="27" t="n">
        <f aca="false">INDEX(Markup_Vals,MATCH("Extrusion Profiles &amp; Raw Stock",MarkupSub_Keys,0))</f>
        <v>0.18</v>
      </c>
      <c r="R2082" s="28" t="n">
        <f aca="false">P2082*(1+Q2082)</f>
        <v>138.0836</v>
      </c>
      <c r="S2082" s="28" t="n">
        <f aca="false">R2082*(1-TradeDiscount)</f>
        <v>121.513568</v>
      </c>
      <c r="T2082" s="28" t="n">
        <f aca="false">R2082*(1-VolumeDiscount)</f>
        <v>110.46688</v>
      </c>
    </row>
    <row r="2083" customFormat="false" ht="15" hidden="false" customHeight="false" outlineLevel="0" collapsed="false">
      <c r="A2083" s="29" t="s">
        <v>4536</v>
      </c>
      <c r="B2083" s="29" t="s">
        <v>124</v>
      </c>
      <c r="C2083" s="29" t="s">
        <v>125</v>
      </c>
      <c r="D2083" s="29" t="s">
        <v>4537</v>
      </c>
      <c r="E2083" s="29" t="s">
        <v>115</v>
      </c>
      <c r="F2083" s="29" t="s">
        <v>4269</v>
      </c>
      <c r="G2083" s="29" t="s">
        <v>36</v>
      </c>
      <c r="H2083" s="29" t="s">
        <v>3148</v>
      </c>
      <c r="I2083" s="29" t="s">
        <v>190</v>
      </c>
      <c r="J2083" s="29" t="s">
        <v>4262</v>
      </c>
      <c r="K2083" s="29" t="s">
        <v>192</v>
      </c>
      <c r="L2083" s="29"/>
      <c r="M2083" s="29"/>
      <c r="N2083" s="29"/>
      <c r="O2083" s="29" t="n">
        <v>4</v>
      </c>
      <c r="P2083" s="30" t="n">
        <f aca="false">(O2083*INDEX(ExtShape_Vals,MATCH(E2083,ExtShape_Keys,0))*AlumCostPerKg+O2083*INDEX(Finish_Vals,MATCH(G2083,Finish_Keys,0)))</f>
        <v>169.02</v>
      </c>
      <c r="Q2083" s="31" t="n">
        <f aca="false">INDEX(Markup_Vals,MATCH("Extrusion Profiles &amp; Raw Stock",MarkupSub_Keys,0))</f>
        <v>0.18</v>
      </c>
      <c r="R2083" s="32" t="n">
        <f aca="false">P2083*(1+Q2083)</f>
        <v>199.4436</v>
      </c>
      <c r="S2083" s="32" t="n">
        <f aca="false">R2083*(1-TradeDiscount)</f>
        <v>175.510368</v>
      </c>
      <c r="T2083" s="32" t="n">
        <f aca="false">R2083*(1-VolumeDiscount)</f>
        <v>159.55488</v>
      </c>
    </row>
    <row r="2084" customFormat="false" ht="15" hidden="false" customHeight="false" outlineLevel="0" collapsed="false">
      <c r="A2084" s="25" t="s">
        <v>4538</v>
      </c>
      <c r="B2084" s="25" t="s">
        <v>124</v>
      </c>
      <c r="C2084" s="25" t="s">
        <v>125</v>
      </c>
      <c r="D2084" s="25" t="s">
        <v>4539</v>
      </c>
      <c r="E2084" s="25" t="s">
        <v>115</v>
      </c>
      <c r="F2084" s="25" t="s">
        <v>4269</v>
      </c>
      <c r="G2084" s="25" t="s">
        <v>37</v>
      </c>
      <c r="H2084" s="25" t="s">
        <v>3148</v>
      </c>
      <c r="I2084" s="25" t="s">
        <v>190</v>
      </c>
      <c r="J2084" s="25" t="s">
        <v>4262</v>
      </c>
      <c r="K2084" s="25" t="s">
        <v>192</v>
      </c>
      <c r="L2084" s="25"/>
      <c r="M2084" s="25"/>
      <c r="N2084" s="25"/>
      <c r="O2084" s="25" t="n">
        <v>4</v>
      </c>
      <c r="P2084" s="26" t="n">
        <f aca="false">(O2084*INDEX(ExtShape_Vals,MATCH(E2084,ExtShape_Keys,0))*AlumCostPerKg+O2084*INDEX(Finish_Vals,MATCH(G2084,Finish_Keys,0)))</f>
        <v>169.02</v>
      </c>
      <c r="Q2084" s="27" t="n">
        <f aca="false">INDEX(Markup_Vals,MATCH("Extrusion Profiles &amp; Raw Stock",MarkupSub_Keys,0))</f>
        <v>0.18</v>
      </c>
      <c r="R2084" s="28" t="n">
        <f aca="false">P2084*(1+Q2084)</f>
        <v>199.4436</v>
      </c>
      <c r="S2084" s="28" t="n">
        <f aca="false">R2084*(1-TradeDiscount)</f>
        <v>175.510368</v>
      </c>
      <c r="T2084" s="28" t="n">
        <f aca="false">R2084*(1-VolumeDiscount)</f>
        <v>159.55488</v>
      </c>
    </row>
    <row r="2085" customFormat="false" ht="15" hidden="false" customHeight="false" outlineLevel="0" collapsed="false">
      <c r="A2085" s="29" t="s">
        <v>4540</v>
      </c>
      <c r="B2085" s="29" t="s">
        <v>124</v>
      </c>
      <c r="C2085" s="29" t="s">
        <v>125</v>
      </c>
      <c r="D2085" s="29" t="s">
        <v>4541</v>
      </c>
      <c r="E2085" s="29" t="s">
        <v>115</v>
      </c>
      <c r="F2085" s="29" t="s">
        <v>4276</v>
      </c>
      <c r="G2085" s="29" t="s">
        <v>35</v>
      </c>
      <c r="H2085" s="29" t="s">
        <v>3148</v>
      </c>
      <c r="I2085" s="29" t="s">
        <v>190</v>
      </c>
      <c r="J2085" s="29" t="s">
        <v>4262</v>
      </c>
      <c r="K2085" s="29" t="s">
        <v>192</v>
      </c>
      <c r="L2085" s="29"/>
      <c r="M2085" s="29"/>
      <c r="N2085" s="29"/>
      <c r="O2085" s="29" t="n">
        <v>5.8</v>
      </c>
      <c r="P2085" s="30" t="n">
        <f aca="false">(O2085*INDEX(ExtShape_Vals,MATCH(E2085,ExtShape_Keys,0))*AlumCostPerKg+O2085*INDEX(Finish_Vals,MATCH(G2085,Finish_Keys,0)))</f>
        <v>169.679</v>
      </c>
      <c r="Q2085" s="31" t="n">
        <f aca="false">INDEX(Markup_Vals,MATCH("Extrusion Profiles &amp; Raw Stock",MarkupSub_Keys,0))</f>
        <v>0.18</v>
      </c>
      <c r="R2085" s="32" t="n">
        <f aca="false">P2085*(1+Q2085)</f>
        <v>200.22122</v>
      </c>
      <c r="S2085" s="32" t="n">
        <f aca="false">R2085*(1-TradeDiscount)</f>
        <v>176.1946736</v>
      </c>
      <c r="T2085" s="32" t="n">
        <f aca="false">R2085*(1-VolumeDiscount)</f>
        <v>160.176976</v>
      </c>
    </row>
    <row r="2086" customFormat="false" ht="15" hidden="false" customHeight="false" outlineLevel="0" collapsed="false">
      <c r="A2086" s="25" t="s">
        <v>4542</v>
      </c>
      <c r="B2086" s="25" t="s">
        <v>124</v>
      </c>
      <c r="C2086" s="25" t="s">
        <v>125</v>
      </c>
      <c r="D2086" s="25" t="s">
        <v>4543</v>
      </c>
      <c r="E2086" s="25" t="s">
        <v>115</v>
      </c>
      <c r="F2086" s="25" t="s">
        <v>4276</v>
      </c>
      <c r="G2086" s="25" t="s">
        <v>36</v>
      </c>
      <c r="H2086" s="25" t="s">
        <v>3148</v>
      </c>
      <c r="I2086" s="25" t="s">
        <v>190</v>
      </c>
      <c r="J2086" s="25" t="s">
        <v>4262</v>
      </c>
      <c r="K2086" s="25" t="s">
        <v>192</v>
      </c>
      <c r="L2086" s="25"/>
      <c r="M2086" s="25"/>
      <c r="N2086" s="25"/>
      <c r="O2086" s="25" t="n">
        <v>5.8</v>
      </c>
      <c r="P2086" s="26" t="n">
        <f aca="false">(O2086*INDEX(ExtShape_Vals,MATCH(E2086,ExtShape_Keys,0))*AlumCostPerKg+O2086*INDEX(Finish_Vals,MATCH(G2086,Finish_Keys,0)))</f>
        <v>245.079</v>
      </c>
      <c r="Q2086" s="27" t="n">
        <f aca="false">INDEX(Markup_Vals,MATCH("Extrusion Profiles &amp; Raw Stock",MarkupSub_Keys,0))</f>
        <v>0.18</v>
      </c>
      <c r="R2086" s="28" t="n">
        <f aca="false">P2086*(1+Q2086)</f>
        <v>289.19322</v>
      </c>
      <c r="S2086" s="28" t="n">
        <f aca="false">R2086*(1-TradeDiscount)</f>
        <v>254.4900336</v>
      </c>
      <c r="T2086" s="28" t="n">
        <f aca="false">R2086*(1-VolumeDiscount)</f>
        <v>231.354576</v>
      </c>
    </row>
    <row r="2087" customFormat="false" ht="15" hidden="false" customHeight="false" outlineLevel="0" collapsed="false">
      <c r="A2087" s="29" t="s">
        <v>4544</v>
      </c>
      <c r="B2087" s="29" t="s">
        <v>124</v>
      </c>
      <c r="C2087" s="29" t="s">
        <v>125</v>
      </c>
      <c r="D2087" s="29" t="s">
        <v>4545</v>
      </c>
      <c r="E2087" s="29" t="s">
        <v>115</v>
      </c>
      <c r="F2087" s="29" t="s">
        <v>4276</v>
      </c>
      <c r="G2087" s="29" t="s">
        <v>37</v>
      </c>
      <c r="H2087" s="29" t="s">
        <v>3148</v>
      </c>
      <c r="I2087" s="29" t="s">
        <v>190</v>
      </c>
      <c r="J2087" s="29" t="s">
        <v>4262</v>
      </c>
      <c r="K2087" s="29" t="s">
        <v>192</v>
      </c>
      <c r="L2087" s="29"/>
      <c r="M2087" s="29"/>
      <c r="N2087" s="29"/>
      <c r="O2087" s="29" t="n">
        <v>5.8</v>
      </c>
      <c r="P2087" s="30" t="n">
        <f aca="false">(O2087*INDEX(ExtShape_Vals,MATCH(E2087,ExtShape_Keys,0))*AlumCostPerKg+O2087*INDEX(Finish_Vals,MATCH(G2087,Finish_Keys,0)))</f>
        <v>245.079</v>
      </c>
      <c r="Q2087" s="31" t="n">
        <f aca="false">INDEX(Markup_Vals,MATCH("Extrusion Profiles &amp; Raw Stock",MarkupSub_Keys,0))</f>
        <v>0.18</v>
      </c>
      <c r="R2087" s="32" t="n">
        <f aca="false">P2087*(1+Q2087)</f>
        <v>289.19322</v>
      </c>
      <c r="S2087" s="32" t="n">
        <f aca="false">R2087*(1-TradeDiscount)</f>
        <v>254.4900336</v>
      </c>
      <c r="T2087" s="32" t="n">
        <f aca="false">R2087*(1-VolumeDiscount)</f>
        <v>231.354576</v>
      </c>
    </row>
    <row r="2088" customFormat="false" ht="15" hidden="false" customHeight="false" outlineLevel="0" collapsed="false">
      <c r="A2088" s="25" t="s">
        <v>4546</v>
      </c>
      <c r="B2088" s="25" t="s">
        <v>124</v>
      </c>
      <c r="C2088" s="25" t="s">
        <v>125</v>
      </c>
      <c r="D2088" s="25" t="s">
        <v>4547</v>
      </c>
      <c r="E2088" s="25" t="s">
        <v>115</v>
      </c>
      <c r="F2088" s="25" t="s">
        <v>4283</v>
      </c>
      <c r="G2088" s="25" t="s">
        <v>35</v>
      </c>
      <c r="H2088" s="25" t="s">
        <v>3148</v>
      </c>
      <c r="I2088" s="25" t="s">
        <v>190</v>
      </c>
      <c r="J2088" s="25" t="s">
        <v>4262</v>
      </c>
      <c r="K2088" s="25" t="s">
        <v>192</v>
      </c>
      <c r="L2088" s="25"/>
      <c r="M2088" s="25"/>
      <c r="N2088" s="25"/>
      <c r="O2088" s="25" t="n">
        <v>6.5</v>
      </c>
      <c r="P2088" s="26" t="n">
        <f aca="false">(O2088*INDEX(ExtShape_Vals,MATCH(E2088,ExtShape_Keys,0))*AlumCostPerKg+O2088*INDEX(Finish_Vals,MATCH(G2088,Finish_Keys,0)))</f>
        <v>190.1575</v>
      </c>
      <c r="Q2088" s="27" t="n">
        <f aca="false">INDEX(Markup_Vals,MATCH("Extrusion Profiles &amp; Raw Stock",MarkupSub_Keys,0))</f>
        <v>0.18</v>
      </c>
      <c r="R2088" s="28" t="n">
        <f aca="false">P2088*(1+Q2088)</f>
        <v>224.38585</v>
      </c>
      <c r="S2088" s="28" t="n">
        <f aca="false">R2088*(1-TradeDiscount)</f>
        <v>197.459548</v>
      </c>
      <c r="T2088" s="28" t="n">
        <f aca="false">R2088*(1-VolumeDiscount)</f>
        <v>179.50868</v>
      </c>
    </row>
    <row r="2089" customFormat="false" ht="15" hidden="false" customHeight="false" outlineLevel="0" collapsed="false">
      <c r="A2089" s="29" t="s">
        <v>4548</v>
      </c>
      <c r="B2089" s="29" t="s">
        <v>124</v>
      </c>
      <c r="C2089" s="29" t="s">
        <v>125</v>
      </c>
      <c r="D2089" s="29" t="s">
        <v>4549</v>
      </c>
      <c r="E2089" s="29" t="s">
        <v>115</v>
      </c>
      <c r="F2089" s="29" t="s">
        <v>4283</v>
      </c>
      <c r="G2089" s="29" t="s">
        <v>36</v>
      </c>
      <c r="H2089" s="29" t="s">
        <v>3148</v>
      </c>
      <c r="I2089" s="29" t="s">
        <v>190</v>
      </c>
      <c r="J2089" s="29" t="s">
        <v>4262</v>
      </c>
      <c r="K2089" s="29" t="s">
        <v>192</v>
      </c>
      <c r="L2089" s="29"/>
      <c r="M2089" s="29"/>
      <c r="N2089" s="29"/>
      <c r="O2089" s="29" t="n">
        <v>6.5</v>
      </c>
      <c r="P2089" s="30" t="n">
        <f aca="false">(O2089*INDEX(ExtShape_Vals,MATCH(E2089,ExtShape_Keys,0))*AlumCostPerKg+O2089*INDEX(Finish_Vals,MATCH(G2089,Finish_Keys,0)))</f>
        <v>274.6575</v>
      </c>
      <c r="Q2089" s="31" t="n">
        <f aca="false">INDEX(Markup_Vals,MATCH("Extrusion Profiles &amp; Raw Stock",MarkupSub_Keys,0))</f>
        <v>0.18</v>
      </c>
      <c r="R2089" s="32" t="n">
        <f aca="false">P2089*(1+Q2089)</f>
        <v>324.09585</v>
      </c>
      <c r="S2089" s="32" t="n">
        <f aca="false">R2089*(1-TradeDiscount)</f>
        <v>285.204348</v>
      </c>
      <c r="T2089" s="32" t="n">
        <f aca="false">R2089*(1-VolumeDiscount)</f>
        <v>259.27668</v>
      </c>
    </row>
    <row r="2090" customFormat="false" ht="15" hidden="false" customHeight="false" outlineLevel="0" collapsed="false">
      <c r="A2090" s="25" t="s">
        <v>4550</v>
      </c>
      <c r="B2090" s="25" t="s">
        <v>124</v>
      </c>
      <c r="C2090" s="25" t="s">
        <v>125</v>
      </c>
      <c r="D2090" s="25" t="s">
        <v>4551</v>
      </c>
      <c r="E2090" s="25" t="s">
        <v>115</v>
      </c>
      <c r="F2090" s="25" t="s">
        <v>4283</v>
      </c>
      <c r="G2090" s="25" t="s">
        <v>37</v>
      </c>
      <c r="H2090" s="25" t="s">
        <v>3148</v>
      </c>
      <c r="I2090" s="25" t="s">
        <v>190</v>
      </c>
      <c r="J2090" s="25" t="s">
        <v>4262</v>
      </c>
      <c r="K2090" s="25" t="s">
        <v>192</v>
      </c>
      <c r="L2090" s="25"/>
      <c r="M2090" s="25"/>
      <c r="N2090" s="25"/>
      <c r="O2090" s="25" t="n">
        <v>6.5</v>
      </c>
      <c r="P2090" s="26" t="n">
        <f aca="false">(O2090*INDEX(ExtShape_Vals,MATCH(E2090,ExtShape_Keys,0))*AlumCostPerKg+O2090*INDEX(Finish_Vals,MATCH(G2090,Finish_Keys,0)))</f>
        <v>274.6575</v>
      </c>
      <c r="Q2090" s="27" t="n">
        <f aca="false">INDEX(Markup_Vals,MATCH("Extrusion Profiles &amp; Raw Stock",MarkupSub_Keys,0))</f>
        <v>0.18</v>
      </c>
      <c r="R2090" s="28" t="n">
        <f aca="false">P2090*(1+Q2090)</f>
        <v>324.09585</v>
      </c>
      <c r="S2090" s="28" t="n">
        <f aca="false">R2090*(1-TradeDiscount)</f>
        <v>285.204348</v>
      </c>
      <c r="T2090" s="28" t="n">
        <f aca="false">R2090*(1-VolumeDiscount)</f>
        <v>259.27668</v>
      </c>
    </row>
    <row r="2091" customFormat="false" ht="15" hidden="false" customHeight="false" outlineLevel="0" collapsed="false">
      <c r="A2091" s="29" t="s">
        <v>4552</v>
      </c>
      <c r="B2091" s="29" t="s">
        <v>124</v>
      </c>
      <c r="C2091" s="29" t="s">
        <v>126</v>
      </c>
      <c r="D2091" s="29" t="s">
        <v>4553</v>
      </c>
      <c r="E2091" s="29" t="s">
        <v>4554</v>
      </c>
      <c r="F2091" s="29" t="s">
        <v>4555</v>
      </c>
      <c r="G2091" s="29" t="s">
        <v>4556</v>
      </c>
      <c r="H2091" s="29" t="s">
        <v>3148</v>
      </c>
      <c r="I2091" s="29" t="s">
        <v>4557</v>
      </c>
      <c r="J2091" s="29" t="s">
        <v>4558</v>
      </c>
      <c r="K2091" s="29" t="s">
        <v>192</v>
      </c>
      <c r="L2091" s="29"/>
      <c r="M2091" s="29"/>
      <c r="N2091" s="29"/>
      <c r="O2091" s="29"/>
      <c r="P2091" s="34" t="n">
        <v>145</v>
      </c>
      <c r="Q2091" s="31" t="n">
        <f aca="false">INDEX(Markup_Vals,MATCH("Hardware &amp; Ironmongery",MarkupSub_Keys,0))</f>
        <v>0.48</v>
      </c>
      <c r="R2091" s="32" t="n">
        <f aca="false">P2091*(1+Q2091)</f>
        <v>214.6</v>
      </c>
      <c r="S2091" s="32" t="n">
        <f aca="false">R2091*(1-TradeDiscount)</f>
        <v>188.848</v>
      </c>
      <c r="T2091" s="32" t="n">
        <f aca="false">R2091*(1-VolumeDiscount)</f>
        <v>171.68</v>
      </c>
    </row>
    <row r="2092" customFormat="false" ht="15" hidden="false" customHeight="false" outlineLevel="0" collapsed="false">
      <c r="A2092" s="25" t="s">
        <v>4559</v>
      </c>
      <c r="B2092" s="25" t="s">
        <v>124</v>
      </c>
      <c r="C2092" s="25" t="s">
        <v>126</v>
      </c>
      <c r="D2092" s="25" t="s">
        <v>4560</v>
      </c>
      <c r="E2092" s="25" t="s">
        <v>4554</v>
      </c>
      <c r="F2092" s="25" t="s">
        <v>4561</v>
      </c>
      <c r="G2092" s="25" t="s">
        <v>4556</v>
      </c>
      <c r="H2092" s="25" t="s">
        <v>3148</v>
      </c>
      <c r="I2092" s="25" t="s">
        <v>4557</v>
      </c>
      <c r="J2092" s="25" t="s">
        <v>4558</v>
      </c>
      <c r="K2092" s="25" t="s">
        <v>192</v>
      </c>
      <c r="L2092" s="25"/>
      <c r="M2092" s="25"/>
      <c r="N2092" s="25"/>
      <c r="O2092" s="25"/>
      <c r="P2092" s="33" t="n">
        <v>145</v>
      </c>
      <c r="Q2092" s="27" t="n">
        <f aca="false">INDEX(Markup_Vals,MATCH("Hardware &amp; Ironmongery",MarkupSub_Keys,0))</f>
        <v>0.48</v>
      </c>
      <c r="R2092" s="28" t="n">
        <f aca="false">P2092*(1+Q2092)</f>
        <v>214.6</v>
      </c>
      <c r="S2092" s="28" t="n">
        <f aca="false">R2092*(1-TradeDiscount)</f>
        <v>188.848</v>
      </c>
      <c r="T2092" s="28" t="n">
        <f aca="false">R2092*(1-VolumeDiscount)</f>
        <v>171.68</v>
      </c>
    </row>
    <row r="2093" customFormat="false" ht="15" hidden="false" customHeight="false" outlineLevel="0" collapsed="false">
      <c r="A2093" s="29" t="s">
        <v>4562</v>
      </c>
      <c r="B2093" s="29" t="s">
        <v>124</v>
      </c>
      <c r="C2093" s="29" t="s">
        <v>126</v>
      </c>
      <c r="D2093" s="29" t="s">
        <v>4563</v>
      </c>
      <c r="E2093" s="29" t="s">
        <v>4554</v>
      </c>
      <c r="F2093" s="29" t="s">
        <v>4564</v>
      </c>
      <c r="G2093" s="29" t="s">
        <v>4556</v>
      </c>
      <c r="H2093" s="29" t="s">
        <v>3148</v>
      </c>
      <c r="I2093" s="29" t="s">
        <v>4557</v>
      </c>
      <c r="J2093" s="29" t="s">
        <v>4558</v>
      </c>
      <c r="K2093" s="29" t="s">
        <v>192</v>
      </c>
      <c r="L2093" s="29"/>
      <c r="M2093" s="29"/>
      <c r="N2093" s="29"/>
      <c r="O2093" s="29"/>
      <c r="P2093" s="34" t="n">
        <v>155</v>
      </c>
      <c r="Q2093" s="31" t="n">
        <f aca="false">INDEX(Markup_Vals,MATCH("Hardware &amp; Ironmongery",MarkupSub_Keys,0))</f>
        <v>0.48</v>
      </c>
      <c r="R2093" s="32" t="n">
        <f aca="false">P2093*(1+Q2093)</f>
        <v>229.4</v>
      </c>
      <c r="S2093" s="32" t="n">
        <f aca="false">R2093*(1-TradeDiscount)</f>
        <v>201.872</v>
      </c>
      <c r="T2093" s="32" t="n">
        <f aca="false">R2093*(1-VolumeDiscount)</f>
        <v>183.52</v>
      </c>
    </row>
    <row r="2094" customFormat="false" ht="15" hidden="false" customHeight="false" outlineLevel="0" collapsed="false">
      <c r="A2094" s="25" t="s">
        <v>4565</v>
      </c>
      <c r="B2094" s="25" t="s">
        <v>124</v>
      </c>
      <c r="C2094" s="25" t="s">
        <v>126</v>
      </c>
      <c r="D2094" s="25" t="s">
        <v>4566</v>
      </c>
      <c r="E2094" s="25" t="s">
        <v>4554</v>
      </c>
      <c r="F2094" s="25" t="s">
        <v>4567</v>
      </c>
      <c r="G2094" s="25" t="s">
        <v>4556</v>
      </c>
      <c r="H2094" s="25" t="s">
        <v>3148</v>
      </c>
      <c r="I2094" s="25" t="s">
        <v>4557</v>
      </c>
      <c r="J2094" s="25" t="s">
        <v>4558</v>
      </c>
      <c r="K2094" s="25" t="s">
        <v>192</v>
      </c>
      <c r="L2094" s="25"/>
      <c r="M2094" s="25"/>
      <c r="N2094" s="25"/>
      <c r="O2094" s="25"/>
      <c r="P2094" s="33" t="n">
        <v>165</v>
      </c>
      <c r="Q2094" s="27" t="n">
        <f aca="false">INDEX(Markup_Vals,MATCH("Hardware &amp; Ironmongery",MarkupSub_Keys,0))</f>
        <v>0.48</v>
      </c>
      <c r="R2094" s="28" t="n">
        <f aca="false">P2094*(1+Q2094)</f>
        <v>244.2</v>
      </c>
      <c r="S2094" s="28" t="n">
        <f aca="false">R2094*(1-TradeDiscount)</f>
        <v>214.896</v>
      </c>
      <c r="T2094" s="28" t="n">
        <f aca="false">R2094*(1-VolumeDiscount)</f>
        <v>195.36</v>
      </c>
    </row>
    <row r="2095" customFormat="false" ht="15" hidden="false" customHeight="false" outlineLevel="0" collapsed="false">
      <c r="A2095" s="29" t="s">
        <v>4568</v>
      </c>
      <c r="B2095" s="29" t="s">
        <v>124</v>
      </c>
      <c r="C2095" s="29" t="s">
        <v>126</v>
      </c>
      <c r="D2095" s="29" t="s">
        <v>4569</v>
      </c>
      <c r="E2095" s="29" t="s">
        <v>4570</v>
      </c>
      <c r="F2095" s="29" t="s">
        <v>4571</v>
      </c>
      <c r="G2095" s="29" t="s">
        <v>4556</v>
      </c>
      <c r="H2095" s="29" t="s">
        <v>3148</v>
      </c>
      <c r="I2095" s="29" t="s">
        <v>4557</v>
      </c>
      <c r="J2095" s="29" t="s">
        <v>4558</v>
      </c>
      <c r="K2095" s="29" t="s">
        <v>192</v>
      </c>
      <c r="L2095" s="29"/>
      <c r="M2095" s="29"/>
      <c r="N2095" s="29"/>
      <c r="O2095" s="29"/>
      <c r="P2095" s="34" t="n">
        <v>380</v>
      </c>
      <c r="Q2095" s="31" t="n">
        <f aca="false">INDEX(Markup_Vals,MATCH("Hardware &amp; Ironmongery",MarkupSub_Keys,0))</f>
        <v>0.48</v>
      </c>
      <c r="R2095" s="32" t="n">
        <f aca="false">P2095*(1+Q2095)</f>
        <v>562.4</v>
      </c>
      <c r="S2095" s="32" t="n">
        <f aca="false">R2095*(1-TradeDiscount)</f>
        <v>494.912</v>
      </c>
      <c r="T2095" s="32" t="n">
        <f aca="false">R2095*(1-VolumeDiscount)</f>
        <v>449.92</v>
      </c>
    </row>
    <row r="2096" customFormat="false" ht="15" hidden="false" customHeight="false" outlineLevel="0" collapsed="false">
      <c r="A2096" s="25" t="s">
        <v>4572</v>
      </c>
      <c r="B2096" s="25" t="s">
        <v>124</v>
      </c>
      <c r="C2096" s="25" t="s">
        <v>126</v>
      </c>
      <c r="D2096" s="25" t="s">
        <v>4573</v>
      </c>
      <c r="E2096" s="25" t="s">
        <v>4570</v>
      </c>
      <c r="F2096" s="25" t="s">
        <v>4574</v>
      </c>
      <c r="G2096" s="25" t="s">
        <v>4556</v>
      </c>
      <c r="H2096" s="25" t="s">
        <v>3148</v>
      </c>
      <c r="I2096" s="25" t="s">
        <v>4557</v>
      </c>
      <c r="J2096" s="25" t="s">
        <v>4558</v>
      </c>
      <c r="K2096" s="25" t="s">
        <v>192</v>
      </c>
      <c r="L2096" s="25"/>
      <c r="M2096" s="25"/>
      <c r="N2096" s="25"/>
      <c r="O2096" s="25"/>
      <c r="P2096" s="33" t="n">
        <v>650</v>
      </c>
      <c r="Q2096" s="27" t="n">
        <f aca="false">INDEX(Markup_Vals,MATCH("Hardware &amp; Ironmongery",MarkupSub_Keys,0))</f>
        <v>0.48</v>
      </c>
      <c r="R2096" s="28" t="n">
        <f aca="false">P2096*(1+Q2096)</f>
        <v>962</v>
      </c>
      <c r="S2096" s="28" t="n">
        <f aca="false">R2096*(1-TradeDiscount)</f>
        <v>846.56</v>
      </c>
      <c r="T2096" s="28" t="n">
        <f aca="false">R2096*(1-VolumeDiscount)</f>
        <v>769.6</v>
      </c>
    </row>
    <row r="2097" customFormat="false" ht="15" hidden="false" customHeight="false" outlineLevel="0" collapsed="false">
      <c r="A2097" s="29" t="s">
        <v>4575</v>
      </c>
      <c r="B2097" s="29" t="s">
        <v>124</v>
      </c>
      <c r="C2097" s="29" t="s">
        <v>126</v>
      </c>
      <c r="D2097" s="29" t="s">
        <v>4576</v>
      </c>
      <c r="E2097" s="29" t="s">
        <v>4577</v>
      </c>
      <c r="F2097" s="29" t="s">
        <v>4578</v>
      </c>
      <c r="G2097" s="29" t="s">
        <v>4556</v>
      </c>
      <c r="H2097" s="29" t="s">
        <v>3148</v>
      </c>
      <c r="I2097" s="29" t="s">
        <v>4557</v>
      </c>
      <c r="J2097" s="29" t="s">
        <v>4558</v>
      </c>
      <c r="K2097" s="29" t="s">
        <v>192</v>
      </c>
      <c r="L2097" s="29"/>
      <c r="M2097" s="29"/>
      <c r="N2097" s="29"/>
      <c r="O2097" s="29"/>
      <c r="P2097" s="34" t="n">
        <v>220</v>
      </c>
      <c r="Q2097" s="31" t="n">
        <f aca="false">INDEX(Markup_Vals,MATCH("Hardware &amp; Ironmongery",MarkupSub_Keys,0))</f>
        <v>0.48</v>
      </c>
      <c r="R2097" s="32" t="n">
        <f aca="false">P2097*(1+Q2097)</f>
        <v>325.6</v>
      </c>
      <c r="S2097" s="32" t="n">
        <f aca="false">R2097*(1-TradeDiscount)</f>
        <v>286.528</v>
      </c>
      <c r="T2097" s="32" t="n">
        <f aca="false">R2097*(1-VolumeDiscount)</f>
        <v>260.48</v>
      </c>
    </row>
    <row r="2098" customFormat="false" ht="15" hidden="false" customHeight="false" outlineLevel="0" collapsed="false">
      <c r="A2098" s="25" t="s">
        <v>4579</v>
      </c>
      <c r="B2098" s="25" t="s">
        <v>124</v>
      </c>
      <c r="C2098" s="25" t="s">
        <v>126</v>
      </c>
      <c r="D2098" s="25" t="s">
        <v>4580</v>
      </c>
      <c r="E2098" s="25" t="s">
        <v>4577</v>
      </c>
      <c r="F2098" s="25" t="s">
        <v>4581</v>
      </c>
      <c r="G2098" s="25" t="s">
        <v>4556</v>
      </c>
      <c r="H2098" s="25" t="s">
        <v>3148</v>
      </c>
      <c r="I2098" s="25" t="s">
        <v>4557</v>
      </c>
      <c r="J2098" s="25" t="s">
        <v>4558</v>
      </c>
      <c r="K2098" s="25" t="s">
        <v>192</v>
      </c>
      <c r="L2098" s="25"/>
      <c r="M2098" s="25"/>
      <c r="N2098" s="25"/>
      <c r="O2098" s="25"/>
      <c r="P2098" s="33" t="n">
        <v>420</v>
      </c>
      <c r="Q2098" s="27" t="n">
        <f aca="false">INDEX(Markup_Vals,MATCH("Hardware &amp; Ironmongery",MarkupSub_Keys,0))</f>
        <v>0.48</v>
      </c>
      <c r="R2098" s="28" t="n">
        <f aca="false">P2098*(1+Q2098)</f>
        <v>621.6</v>
      </c>
      <c r="S2098" s="28" t="n">
        <f aca="false">R2098*(1-TradeDiscount)</f>
        <v>547.008</v>
      </c>
      <c r="T2098" s="28" t="n">
        <f aca="false">R2098*(1-VolumeDiscount)</f>
        <v>497.28</v>
      </c>
    </row>
    <row r="2099" customFormat="false" ht="15" hidden="false" customHeight="false" outlineLevel="0" collapsed="false">
      <c r="A2099" s="29" t="s">
        <v>4582</v>
      </c>
      <c r="B2099" s="29" t="s">
        <v>124</v>
      </c>
      <c r="C2099" s="29" t="s">
        <v>126</v>
      </c>
      <c r="D2099" s="29" t="s">
        <v>4583</v>
      </c>
      <c r="E2099" s="29" t="s">
        <v>4584</v>
      </c>
      <c r="F2099" s="29" t="s">
        <v>4571</v>
      </c>
      <c r="G2099" s="29" t="s">
        <v>4556</v>
      </c>
      <c r="H2099" s="29" t="s">
        <v>3148</v>
      </c>
      <c r="I2099" s="29" t="s">
        <v>4557</v>
      </c>
      <c r="J2099" s="29" t="s">
        <v>4558</v>
      </c>
      <c r="K2099" s="29" t="s">
        <v>192</v>
      </c>
      <c r="L2099" s="29"/>
      <c r="M2099" s="29"/>
      <c r="N2099" s="29"/>
      <c r="O2099" s="29"/>
      <c r="P2099" s="34" t="n">
        <v>95</v>
      </c>
      <c r="Q2099" s="31" t="n">
        <f aca="false">INDEX(Markup_Vals,MATCH("Hardware &amp; Ironmongery",MarkupSub_Keys,0))</f>
        <v>0.48</v>
      </c>
      <c r="R2099" s="32" t="n">
        <f aca="false">P2099*(1+Q2099)</f>
        <v>140.6</v>
      </c>
      <c r="S2099" s="32" t="n">
        <f aca="false">R2099*(1-TradeDiscount)</f>
        <v>123.728</v>
      </c>
      <c r="T2099" s="32" t="n">
        <f aca="false">R2099*(1-VolumeDiscount)</f>
        <v>112.48</v>
      </c>
    </row>
    <row r="2100" customFormat="false" ht="15" hidden="false" customHeight="false" outlineLevel="0" collapsed="false">
      <c r="A2100" s="25" t="s">
        <v>4585</v>
      </c>
      <c r="B2100" s="25" t="s">
        <v>124</v>
      </c>
      <c r="C2100" s="25" t="s">
        <v>126</v>
      </c>
      <c r="D2100" s="25" t="s">
        <v>4586</v>
      </c>
      <c r="E2100" s="25" t="s">
        <v>4584</v>
      </c>
      <c r="F2100" s="25" t="s">
        <v>4581</v>
      </c>
      <c r="G2100" s="25" t="s">
        <v>4556</v>
      </c>
      <c r="H2100" s="25" t="s">
        <v>3148</v>
      </c>
      <c r="I2100" s="25" t="s">
        <v>4557</v>
      </c>
      <c r="J2100" s="25" t="s">
        <v>4558</v>
      </c>
      <c r="K2100" s="25" t="s">
        <v>192</v>
      </c>
      <c r="L2100" s="25"/>
      <c r="M2100" s="25"/>
      <c r="N2100" s="25"/>
      <c r="O2100" s="25"/>
      <c r="P2100" s="33" t="n">
        <v>165</v>
      </c>
      <c r="Q2100" s="27" t="n">
        <f aca="false">INDEX(Markup_Vals,MATCH("Hardware &amp; Ironmongery",MarkupSub_Keys,0))</f>
        <v>0.48</v>
      </c>
      <c r="R2100" s="28" t="n">
        <f aca="false">P2100*(1+Q2100)</f>
        <v>244.2</v>
      </c>
      <c r="S2100" s="28" t="n">
        <f aca="false">R2100*(1-TradeDiscount)</f>
        <v>214.896</v>
      </c>
      <c r="T2100" s="28" t="n">
        <f aca="false">R2100*(1-VolumeDiscount)</f>
        <v>195.36</v>
      </c>
    </row>
    <row r="2101" customFormat="false" ht="15" hidden="false" customHeight="false" outlineLevel="0" collapsed="false">
      <c r="A2101" s="29" t="s">
        <v>4587</v>
      </c>
      <c r="B2101" s="29" t="s">
        <v>124</v>
      </c>
      <c r="C2101" s="29" t="s">
        <v>126</v>
      </c>
      <c r="D2101" s="29" t="s">
        <v>4588</v>
      </c>
      <c r="E2101" s="29" t="s">
        <v>4589</v>
      </c>
      <c r="F2101" s="29" t="s">
        <v>4571</v>
      </c>
      <c r="G2101" s="29" t="s">
        <v>4556</v>
      </c>
      <c r="H2101" s="29" t="s">
        <v>3148</v>
      </c>
      <c r="I2101" s="29" t="s">
        <v>4557</v>
      </c>
      <c r="J2101" s="29" t="s">
        <v>4558</v>
      </c>
      <c r="K2101" s="29" t="s">
        <v>192</v>
      </c>
      <c r="L2101" s="29"/>
      <c r="M2101" s="29"/>
      <c r="N2101" s="29"/>
      <c r="O2101" s="29"/>
      <c r="P2101" s="34" t="n">
        <v>85</v>
      </c>
      <c r="Q2101" s="31" t="n">
        <f aca="false">INDEX(Markup_Vals,MATCH("Hardware &amp; Ironmongery",MarkupSub_Keys,0))</f>
        <v>0.48</v>
      </c>
      <c r="R2101" s="32" t="n">
        <f aca="false">P2101*(1+Q2101)</f>
        <v>125.8</v>
      </c>
      <c r="S2101" s="32" t="n">
        <f aca="false">R2101*(1-TradeDiscount)</f>
        <v>110.704</v>
      </c>
      <c r="T2101" s="32" t="n">
        <f aca="false">R2101*(1-VolumeDiscount)</f>
        <v>100.64</v>
      </c>
    </row>
    <row r="2102" customFormat="false" ht="15" hidden="false" customHeight="false" outlineLevel="0" collapsed="false">
      <c r="A2102" s="25" t="s">
        <v>4590</v>
      </c>
      <c r="B2102" s="25" t="s">
        <v>124</v>
      </c>
      <c r="C2102" s="25" t="s">
        <v>126</v>
      </c>
      <c r="D2102" s="25" t="s">
        <v>4591</v>
      </c>
      <c r="E2102" s="25" t="s">
        <v>4589</v>
      </c>
      <c r="F2102" s="25" t="s">
        <v>4592</v>
      </c>
      <c r="G2102" s="25" t="s">
        <v>4556</v>
      </c>
      <c r="H2102" s="25" t="s">
        <v>3148</v>
      </c>
      <c r="I2102" s="25" t="s">
        <v>4557</v>
      </c>
      <c r="J2102" s="25" t="s">
        <v>4558</v>
      </c>
      <c r="K2102" s="25" t="s">
        <v>192</v>
      </c>
      <c r="L2102" s="25"/>
      <c r="M2102" s="25"/>
      <c r="N2102" s="25"/>
      <c r="O2102" s="25"/>
      <c r="P2102" s="33" t="n">
        <v>120</v>
      </c>
      <c r="Q2102" s="27" t="n">
        <f aca="false">INDEX(Markup_Vals,MATCH("Hardware &amp; Ironmongery",MarkupSub_Keys,0))</f>
        <v>0.48</v>
      </c>
      <c r="R2102" s="28" t="n">
        <f aca="false">P2102*(1+Q2102)</f>
        <v>177.6</v>
      </c>
      <c r="S2102" s="28" t="n">
        <f aca="false">R2102*(1-TradeDiscount)</f>
        <v>156.288</v>
      </c>
      <c r="T2102" s="28" t="n">
        <f aca="false">R2102*(1-VolumeDiscount)</f>
        <v>142.08</v>
      </c>
    </row>
    <row r="2103" customFormat="false" ht="15" hidden="false" customHeight="false" outlineLevel="0" collapsed="false">
      <c r="A2103" s="29" t="s">
        <v>4593</v>
      </c>
      <c r="B2103" s="29" t="s">
        <v>124</v>
      </c>
      <c r="C2103" s="29" t="s">
        <v>126</v>
      </c>
      <c r="D2103" s="29" t="s">
        <v>4594</v>
      </c>
      <c r="E2103" s="29" t="s">
        <v>4595</v>
      </c>
      <c r="F2103" s="29" t="s">
        <v>4571</v>
      </c>
      <c r="G2103" s="29" t="s">
        <v>4556</v>
      </c>
      <c r="H2103" s="29" t="s">
        <v>3148</v>
      </c>
      <c r="I2103" s="29" t="s">
        <v>4557</v>
      </c>
      <c r="J2103" s="29" t="s">
        <v>4558</v>
      </c>
      <c r="K2103" s="29" t="s">
        <v>192</v>
      </c>
      <c r="L2103" s="29"/>
      <c r="M2103" s="29"/>
      <c r="N2103" s="29"/>
      <c r="O2103" s="29"/>
      <c r="P2103" s="34" t="n">
        <v>280</v>
      </c>
      <c r="Q2103" s="31" t="n">
        <f aca="false">INDEX(Markup_Vals,MATCH("Hardware &amp; Ironmongery",MarkupSub_Keys,0))</f>
        <v>0.48</v>
      </c>
      <c r="R2103" s="32" t="n">
        <f aca="false">P2103*(1+Q2103)</f>
        <v>414.4</v>
      </c>
      <c r="S2103" s="32" t="n">
        <f aca="false">R2103*(1-TradeDiscount)</f>
        <v>364.672</v>
      </c>
      <c r="T2103" s="32" t="n">
        <f aca="false">R2103*(1-VolumeDiscount)</f>
        <v>331.52</v>
      </c>
    </row>
    <row r="2104" customFormat="false" ht="15" hidden="false" customHeight="false" outlineLevel="0" collapsed="false">
      <c r="A2104" s="25" t="s">
        <v>4596</v>
      </c>
      <c r="B2104" s="25" t="s">
        <v>124</v>
      </c>
      <c r="C2104" s="25" t="s">
        <v>126</v>
      </c>
      <c r="D2104" s="25" t="s">
        <v>4597</v>
      </c>
      <c r="E2104" s="25" t="s">
        <v>4595</v>
      </c>
      <c r="F2104" s="25" t="s">
        <v>4598</v>
      </c>
      <c r="G2104" s="25" t="s">
        <v>4556</v>
      </c>
      <c r="H2104" s="25" t="s">
        <v>3148</v>
      </c>
      <c r="I2104" s="25" t="s">
        <v>4557</v>
      </c>
      <c r="J2104" s="25" t="s">
        <v>4558</v>
      </c>
      <c r="K2104" s="25" t="s">
        <v>192</v>
      </c>
      <c r="L2104" s="25"/>
      <c r="M2104" s="25"/>
      <c r="N2104" s="25"/>
      <c r="O2104" s="25"/>
      <c r="P2104" s="33" t="n">
        <v>520</v>
      </c>
      <c r="Q2104" s="27" t="n">
        <f aca="false">INDEX(Markup_Vals,MATCH("Hardware &amp; Ironmongery",MarkupSub_Keys,0))</f>
        <v>0.48</v>
      </c>
      <c r="R2104" s="28" t="n">
        <f aca="false">P2104*(1+Q2104)</f>
        <v>769.6</v>
      </c>
      <c r="S2104" s="28" t="n">
        <f aca="false">R2104*(1-TradeDiscount)</f>
        <v>677.248</v>
      </c>
      <c r="T2104" s="28" t="n">
        <f aca="false">R2104*(1-VolumeDiscount)</f>
        <v>615.68</v>
      </c>
    </row>
    <row r="2105" customFormat="false" ht="15" hidden="false" customHeight="false" outlineLevel="0" collapsed="false">
      <c r="A2105" s="29" t="s">
        <v>4599</v>
      </c>
      <c r="B2105" s="29" t="s">
        <v>124</v>
      </c>
      <c r="C2105" s="29" t="s">
        <v>126</v>
      </c>
      <c r="D2105" s="29" t="s">
        <v>4600</v>
      </c>
      <c r="E2105" s="29" t="s">
        <v>4601</v>
      </c>
      <c r="F2105" s="29" t="s">
        <v>4602</v>
      </c>
      <c r="G2105" s="29" t="s">
        <v>4556</v>
      </c>
      <c r="H2105" s="29" t="s">
        <v>3148</v>
      </c>
      <c r="I2105" s="29" t="s">
        <v>4557</v>
      </c>
      <c r="J2105" s="29" t="s">
        <v>4558</v>
      </c>
      <c r="K2105" s="29" t="s">
        <v>192</v>
      </c>
      <c r="L2105" s="29"/>
      <c r="M2105" s="29"/>
      <c r="N2105" s="29"/>
      <c r="O2105" s="29"/>
      <c r="P2105" s="34" t="n">
        <v>65</v>
      </c>
      <c r="Q2105" s="31" t="n">
        <f aca="false">INDEX(Markup_Vals,MATCH("Hardware &amp; Ironmongery",MarkupSub_Keys,0))</f>
        <v>0.48</v>
      </c>
      <c r="R2105" s="32" t="n">
        <f aca="false">P2105*(1+Q2105)</f>
        <v>96.2</v>
      </c>
      <c r="S2105" s="32" t="n">
        <f aca="false">R2105*(1-TradeDiscount)</f>
        <v>84.656</v>
      </c>
      <c r="T2105" s="32" t="n">
        <f aca="false">R2105*(1-VolumeDiscount)</f>
        <v>76.96</v>
      </c>
    </row>
    <row r="2106" customFormat="false" ht="15" hidden="false" customHeight="false" outlineLevel="0" collapsed="false">
      <c r="A2106" s="25" t="s">
        <v>4603</v>
      </c>
      <c r="B2106" s="25" t="s">
        <v>124</v>
      </c>
      <c r="C2106" s="25" t="s">
        <v>126</v>
      </c>
      <c r="D2106" s="25" t="s">
        <v>4604</v>
      </c>
      <c r="E2106" s="25" t="s">
        <v>4601</v>
      </c>
      <c r="F2106" s="25" t="s">
        <v>4605</v>
      </c>
      <c r="G2106" s="25" t="s">
        <v>4556</v>
      </c>
      <c r="H2106" s="25" t="s">
        <v>3148</v>
      </c>
      <c r="I2106" s="25" t="s">
        <v>4557</v>
      </c>
      <c r="J2106" s="25" t="s">
        <v>4558</v>
      </c>
      <c r="K2106" s="25" t="s">
        <v>192</v>
      </c>
      <c r="L2106" s="25"/>
      <c r="M2106" s="25"/>
      <c r="N2106" s="25"/>
      <c r="O2106" s="25"/>
      <c r="P2106" s="33" t="n">
        <v>78</v>
      </c>
      <c r="Q2106" s="27" t="n">
        <f aca="false">INDEX(Markup_Vals,MATCH("Hardware &amp; Ironmongery",MarkupSub_Keys,0))</f>
        <v>0.48</v>
      </c>
      <c r="R2106" s="28" t="n">
        <f aca="false">P2106*(1+Q2106)</f>
        <v>115.44</v>
      </c>
      <c r="S2106" s="28" t="n">
        <f aca="false">R2106*(1-TradeDiscount)</f>
        <v>101.5872</v>
      </c>
      <c r="T2106" s="28" t="n">
        <f aca="false">R2106*(1-VolumeDiscount)</f>
        <v>92.352</v>
      </c>
    </row>
    <row r="2107" customFormat="false" ht="15" hidden="false" customHeight="false" outlineLevel="0" collapsed="false">
      <c r="A2107" s="29" t="s">
        <v>4606</v>
      </c>
      <c r="B2107" s="29" t="s">
        <v>124</v>
      </c>
      <c r="C2107" s="29" t="s">
        <v>126</v>
      </c>
      <c r="D2107" s="29" t="s">
        <v>4607</v>
      </c>
      <c r="E2107" s="29" t="s">
        <v>4601</v>
      </c>
      <c r="F2107" s="29" t="s">
        <v>4608</v>
      </c>
      <c r="G2107" s="29" t="s">
        <v>4556</v>
      </c>
      <c r="H2107" s="29" t="s">
        <v>3148</v>
      </c>
      <c r="I2107" s="29" t="s">
        <v>4557</v>
      </c>
      <c r="J2107" s="29" t="s">
        <v>4558</v>
      </c>
      <c r="K2107" s="29" t="s">
        <v>192</v>
      </c>
      <c r="L2107" s="29"/>
      <c r="M2107" s="29"/>
      <c r="N2107" s="29"/>
      <c r="O2107" s="29"/>
      <c r="P2107" s="34" t="n">
        <v>88</v>
      </c>
      <c r="Q2107" s="31" t="n">
        <f aca="false">INDEX(Markup_Vals,MATCH("Hardware &amp; Ironmongery",MarkupSub_Keys,0))</f>
        <v>0.48</v>
      </c>
      <c r="R2107" s="32" t="n">
        <f aca="false">P2107*(1+Q2107)</f>
        <v>130.24</v>
      </c>
      <c r="S2107" s="32" t="n">
        <f aca="false">R2107*(1-TradeDiscount)</f>
        <v>114.6112</v>
      </c>
      <c r="T2107" s="32" t="n">
        <f aca="false">R2107*(1-VolumeDiscount)</f>
        <v>104.192</v>
      </c>
    </row>
    <row r="2108" customFormat="false" ht="15" hidden="false" customHeight="false" outlineLevel="0" collapsed="false">
      <c r="A2108" s="25" t="s">
        <v>4609</v>
      </c>
      <c r="B2108" s="25" t="s">
        <v>124</v>
      </c>
      <c r="C2108" s="25" t="s">
        <v>126</v>
      </c>
      <c r="D2108" s="25" t="s">
        <v>4610</v>
      </c>
      <c r="E2108" s="25" t="s">
        <v>4611</v>
      </c>
      <c r="F2108" s="25" t="s">
        <v>4612</v>
      </c>
      <c r="G2108" s="25" t="s">
        <v>4556</v>
      </c>
      <c r="H2108" s="25" t="s">
        <v>3148</v>
      </c>
      <c r="I2108" s="25" t="s">
        <v>4557</v>
      </c>
      <c r="J2108" s="25" t="s">
        <v>4558</v>
      </c>
      <c r="K2108" s="25" t="s">
        <v>192</v>
      </c>
      <c r="L2108" s="25"/>
      <c r="M2108" s="25"/>
      <c r="N2108" s="25"/>
      <c r="O2108" s="25"/>
      <c r="P2108" s="33" t="n">
        <v>95</v>
      </c>
      <c r="Q2108" s="27" t="n">
        <f aca="false">INDEX(Markup_Vals,MATCH("Hardware &amp; Ironmongery",MarkupSub_Keys,0))</f>
        <v>0.48</v>
      </c>
      <c r="R2108" s="28" t="n">
        <f aca="false">P2108*(1+Q2108)</f>
        <v>140.6</v>
      </c>
      <c r="S2108" s="28" t="n">
        <f aca="false">R2108*(1-TradeDiscount)</f>
        <v>123.728</v>
      </c>
      <c r="T2108" s="28" t="n">
        <f aca="false">R2108*(1-VolumeDiscount)</f>
        <v>112.48</v>
      </c>
    </row>
    <row r="2109" customFormat="false" ht="15" hidden="false" customHeight="false" outlineLevel="0" collapsed="false">
      <c r="A2109" s="29" t="s">
        <v>4613</v>
      </c>
      <c r="B2109" s="29" t="s">
        <v>124</v>
      </c>
      <c r="C2109" s="29" t="s">
        <v>126</v>
      </c>
      <c r="D2109" s="29" t="s">
        <v>4614</v>
      </c>
      <c r="E2109" s="29" t="s">
        <v>4615</v>
      </c>
      <c r="F2109" s="29" t="s">
        <v>4571</v>
      </c>
      <c r="G2109" s="29" t="s">
        <v>4556</v>
      </c>
      <c r="H2109" s="29" t="s">
        <v>3148</v>
      </c>
      <c r="I2109" s="29" t="s">
        <v>4557</v>
      </c>
      <c r="J2109" s="29" t="s">
        <v>4558</v>
      </c>
      <c r="K2109" s="29" t="s">
        <v>192</v>
      </c>
      <c r="L2109" s="29"/>
      <c r="M2109" s="29"/>
      <c r="N2109" s="29"/>
      <c r="O2109" s="29"/>
      <c r="P2109" s="34" t="n">
        <v>35</v>
      </c>
      <c r="Q2109" s="31" t="n">
        <f aca="false">INDEX(Markup_Vals,MATCH("Hardware &amp; Ironmongery",MarkupSub_Keys,0))</f>
        <v>0.48</v>
      </c>
      <c r="R2109" s="32" t="n">
        <f aca="false">P2109*(1+Q2109)</f>
        <v>51.8</v>
      </c>
      <c r="S2109" s="32" t="n">
        <f aca="false">R2109*(1-TradeDiscount)</f>
        <v>45.584</v>
      </c>
      <c r="T2109" s="32" t="n">
        <f aca="false">R2109*(1-VolumeDiscount)</f>
        <v>41.44</v>
      </c>
    </row>
    <row r="2110" customFormat="false" ht="15" hidden="false" customHeight="false" outlineLevel="0" collapsed="false">
      <c r="A2110" s="25" t="s">
        <v>4616</v>
      </c>
      <c r="B2110" s="25" t="s">
        <v>124</v>
      </c>
      <c r="C2110" s="25" t="s">
        <v>126</v>
      </c>
      <c r="D2110" s="25" t="s">
        <v>4617</v>
      </c>
      <c r="E2110" s="25" t="s">
        <v>4618</v>
      </c>
      <c r="F2110" s="25" t="s">
        <v>4571</v>
      </c>
      <c r="G2110" s="25" t="s">
        <v>4556</v>
      </c>
      <c r="H2110" s="25" t="s">
        <v>3148</v>
      </c>
      <c r="I2110" s="25" t="s">
        <v>4557</v>
      </c>
      <c r="J2110" s="25" t="s">
        <v>4558</v>
      </c>
      <c r="K2110" s="25" t="s">
        <v>192</v>
      </c>
      <c r="L2110" s="25"/>
      <c r="M2110" s="25"/>
      <c r="N2110" s="25"/>
      <c r="O2110" s="25"/>
      <c r="P2110" s="33" t="n">
        <v>110</v>
      </c>
      <c r="Q2110" s="27" t="n">
        <f aca="false">INDEX(Markup_Vals,MATCH("Hardware &amp; Ironmongery",MarkupSub_Keys,0))</f>
        <v>0.48</v>
      </c>
      <c r="R2110" s="28" t="n">
        <f aca="false">P2110*(1+Q2110)</f>
        <v>162.8</v>
      </c>
      <c r="S2110" s="28" t="n">
        <f aca="false">R2110*(1-TradeDiscount)</f>
        <v>143.264</v>
      </c>
      <c r="T2110" s="28" t="n">
        <f aca="false">R2110*(1-VolumeDiscount)</f>
        <v>130.24</v>
      </c>
    </row>
    <row r="2111" customFormat="false" ht="15" hidden="false" customHeight="false" outlineLevel="0" collapsed="false">
      <c r="A2111" s="29" t="s">
        <v>4619</v>
      </c>
      <c r="B2111" s="29" t="s">
        <v>124</v>
      </c>
      <c r="C2111" s="29" t="s">
        <v>126</v>
      </c>
      <c r="D2111" s="29" t="s">
        <v>4620</v>
      </c>
      <c r="E2111" s="29" t="s">
        <v>4618</v>
      </c>
      <c r="F2111" s="29" t="s">
        <v>4574</v>
      </c>
      <c r="G2111" s="29" t="s">
        <v>4556</v>
      </c>
      <c r="H2111" s="29" t="s">
        <v>3148</v>
      </c>
      <c r="I2111" s="29" t="s">
        <v>4557</v>
      </c>
      <c r="J2111" s="29" t="s">
        <v>4558</v>
      </c>
      <c r="K2111" s="29" t="s">
        <v>192</v>
      </c>
      <c r="L2111" s="29"/>
      <c r="M2111" s="29"/>
      <c r="N2111" s="29"/>
      <c r="O2111" s="29"/>
      <c r="P2111" s="34" t="n">
        <v>210</v>
      </c>
      <c r="Q2111" s="31" t="n">
        <f aca="false">INDEX(Markup_Vals,MATCH("Hardware &amp; Ironmongery",MarkupSub_Keys,0))</f>
        <v>0.48</v>
      </c>
      <c r="R2111" s="32" t="n">
        <f aca="false">P2111*(1+Q2111)</f>
        <v>310.8</v>
      </c>
      <c r="S2111" s="32" t="n">
        <f aca="false">R2111*(1-TradeDiscount)</f>
        <v>273.504</v>
      </c>
      <c r="T2111" s="32" t="n">
        <f aca="false">R2111*(1-VolumeDiscount)</f>
        <v>248.64</v>
      </c>
    </row>
    <row r="2112" customFormat="false" ht="15" hidden="false" customHeight="false" outlineLevel="0" collapsed="false">
      <c r="A2112" s="25" t="s">
        <v>4621</v>
      </c>
      <c r="B2112" s="25" t="s">
        <v>124</v>
      </c>
      <c r="C2112" s="25" t="s">
        <v>127</v>
      </c>
      <c r="D2112" s="25" t="s">
        <v>4622</v>
      </c>
      <c r="E2112" s="25" t="s">
        <v>4623</v>
      </c>
      <c r="F2112" s="25" t="s">
        <v>4624</v>
      </c>
      <c r="G2112" s="25" t="s">
        <v>3148</v>
      </c>
      <c r="H2112" s="25" t="s">
        <v>74</v>
      </c>
      <c r="I2112" s="25" t="s">
        <v>3039</v>
      </c>
      <c r="J2112" s="25" t="s">
        <v>4558</v>
      </c>
      <c r="K2112" s="25" t="s">
        <v>192</v>
      </c>
      <c r="L2112" s="25"/>
      <c r="M2112" s="25"/>
      <c r="N2112" s="25"/>
      <c r="O2112" s="25"/>
      <c r="P2112" s="33" t="n">
        <v>190</v>
      </c>
      <c r="Q2112" s="27" t="n">
        <f aca="false">INDEX(Markup_Vals,MATCH("Glazing &amp; Glass",MarkupSub_Keys,0))</f>
        <v>0.25</v>
      </c>
      <c r="R2112" s="28" t="n">
        <f aca="false">P2112*(1+Q2112)</f>
        <v>237.5</v>
      </c>
      <c r="S2112" s="28" t="n">
        <f aca="false">R2112*(1-TradeDiscount)</f>
        <v>209</v>
      </c>
      <c r="T2112" s="28" t="n">
        <f aca="false">R2112*(1-VolumeDiscount)</f>
        <v>190</v>
      </c>
    </row>
    <row r="2113" customFormat="false" ht="15" hidden="false" customHeight="false" outlineLevel="0" collapsed="false">
      <c r="A2113" s="29" t="s">
        <v>4625</v>
      </c>
      <c r="B2113" s="29" t="s">
        <v>124</v>
      </c>
      <c r="C2113" s="29" t="s">
        <v>127</v>
      </c>
      <c r="D2113" s="29" t="s">
        <v>4626</v>
      </c>
      <c r="E2113" s="29" t="s">
        <v>4623</v>
      </c>
      <c r="F2113" s="29" t="s">
        <v>4627</v>
      </c>
      <c r="G2113" s="29" t="s">
        <v>3148</v>
      </c>
      <c r="H2113" s="29" t="s">
        <v>75</v>
      </c>
      <c r="I2113" s="29" t="s">
        <v>3039</v>
      </c>
      <c r="J2113" s="29" t="s">
        <v>4558</v>
      </c>
      <c r="K2113" s="29" t="s">
        <v>192</v>
      </c>
      <c r="L2113" s="29"/>
      <c r="M2113" s="29"/>
      <c r="N2113" s="29"/>
      <c r="O2113" s="29"/>
      <c r="P2113" s="34" t="n">
        <v>230</v>
      </c>
      <c r="Q2113" s="31" t="n">
        <f aca="false">INDEX(Markup_Vals,MATCH("Glazing &amp; Glass",MarkupSub_Keys,0))</f>
        <v>0.25</v>
      </c>
      <c r="R2113" s="32" t="n">
        <f aca="false">P2113*(1+Q2113)</f>
        <v>287.5</v>
      </c>
      <c r="S2113" s="32" t="n">
        <f aca="false">R2113*(1-TradeDiscount)</f>
        <v>253</v>
      </c>
      <c r="T2113" s="32" t="n">
        <f aca="false">R2113*(1-VolumeDiscount)</f>
        <v>230</v>
      </c>
    </row>
    <row r="2114" customFormat="false" ht="15" hidden="false" customHeight="false" outlineLevel="0" collapsed="false">
      <c r="A2114" s="25" t="s">
        <v>4628</v>
      </c>
      <c r="B2114" s="25" t="s">
        <v>124</v>
      </c>
      <c r="C2114" s="25" t="s">
        <v>127</v>
      </c>
      <c r="D2114" s="25" t="s">
        <v>4629</v>
      </c>
      <c r="E2114" s="25" t="s">
        <v>4623</v>
      </c>
      <c r="F2114" s="25" t="s">
        <v>4630</v>
      </c>
      <c r="G2114" s="25" t="s">
        <v>3148</v>
      </c>
      <c r="H2114" s="25" t="s">
        <v>76</v>
      </c>
      <c r="I2114" s="25" t="s">
        <v>3039</v>
      </c>
      <c r="J2114" s="25" t="s">
        <v>4558</v>
      </c>
      <c r="K2114" s="25" t="s">
        <v>192</v>
      </c>
      <c r="L2114" s="25"/>
      <c r="M2114" s="25"/>
      <c r="N2114" s="25"/>
      <c r="O2114" s="25"/>
      <c r="P2114" s="33" t="n">
        <v>270</v>
      </c>
      <c r="Q2114" s="27" t="n">
        <f aca="false">INDEX(Markup_Vals,MATCH("Glazing &amp; Glass",MarkupSub_Keys,0))</f>
        <v>0.25</v>
      </c>
      <c r="R2114" s="28" t="n">
        <f aca="false">P2114*(1+Q2114)</f>
        <v>337.5</v>
      </c>
      <c r="S2114" s="28" t="n">
        <f aca="false">R2114*(1-TradeDiscount)</f>
        <v>297</v>
      </c>
      <c r="T2114" s="28" t="n">
        <f aca="false">R2114*(1-VolumeDiscount)</f>
        <v>270</v>
      </c>
    </row>
    <row r="2115" customFormat="false" ht="15" hidden="false" customHeight="false" outlineLevel="0" collapsed="false">
      <c r="A2115" s="29" t="s">
        <v>4631</v>
      </c>
      <c r="B2115" s="29" t="s">
        <v>124</v>
      </c>
      <c r="C2115" s="29" t="s">
        <v>127</v>
      </c>
      <c r="D2115" s="29" t="s">
        <v>4632</v>
      </c>
      <c r="E2115" s="29" t="s">
        <v>4633</v>
      </c>
      <c r="F2115" s="29" t="s">
        <v>4624</v>
      </c>
      <c r="G2115" s="29" t="s">
        <v>3148</v>
      </c>
      <c r="H2115" s="29" t="s">
        <v>77</v>
      </c>
      <c r="I2115" s="29" t="s">
        <v>3039</v>
      </c>
      <c r="J2115" s="29" t="s">
        <v>4558</v>
      </c>
      <c r="K2115" s="29" t="s">
        <v>192</v>
      </c>
      <c r="L2115" s="29"/>
      <c r="M2115" s="29"/>
      <c r="N2115" s="29"/>
      <c r="O2115" s="29"/>
      <c r="P2115" s="34" t="n">
        <v>300</v>
      </c>
      <c r="Q2115" s="31" t="n">
        <f aca="false">INDEX(Markup_Vals,MATCH("Glazing &amp; Glass",MarkupSub_Keys,0))</f>
        <v>0.25</v>
      </c>
      <c r="R2115" s="32" t="n">
        <f aca="false">P2115*(1+Q2115)</f>
        <v>375</v>
      </c>
      <c r="S2115" s="32" t="n">
        <f aca="false">R2115*(1-TradeDiscount)</f>
        <v>330</v>
      </c>
      <c r="T2115" s="32" t="n">
        <f aca="false">R2115*(1-VolumeDiscount)</f>
        <v>300</v>
      </c>
    </row>
    <row r="2116" customFormat="false" ht="15" hidden="false" customHeight="false" outlineLevel="0" collapsed="false">
      <c r="A2116" s="25" t="s">
        <v>4634</v>
      </c>
      <c r="B2116" s="25" t="s">
        <v>124</v>
      </c>
      <c r="C2116" s="25" t="s">
        <v>127</v>
      </c>
      <c r="D2116" s="25" t="s">
        <v>4635</v>
      </c>
      <c r="E2116" s="25" t="s">
        <v>4633</v>
      </c>
      <c r="F2116" s="25" t="s">
        <v>4627</v>
      </c>
      <c r="G2116" s="25" t="s">
        <v>3148</v>
      </c>
      <c r="H2116" s="25" t="s">
        <v>78</v>
      </c>
      <c r="I2116" s="25" t="s">
        <v>3039</v>
      </c>
      <c r="J2116" s="25" t="s">
        <v>4558</v>
      </c>
      <c r="K2116" s="25" t="s">
        <v>192</v>
      </c>
      <c r="L2116" s="25"/>
      <c r="M2116" s="25"/>
      <c r="N2116" s="25"/>
      <c r="O2116" s="25"/>
      <c r="P2116" s="33" t="n">
        <v>340</v>
      </c>
      <c r="Q2116" s="27" t="n">
        <f aca="false">INDEX(Markup_Vals,MATCH("Glazing &amp; Glass",MarkupSub_Keys,0))</f>
        <v>0.25</v>
      </c>
      <c r="R2116" s="28" t="n">
        <f aca="false">P2116*(1+Q2116)</f>
        <v>425</v>
      </c>
      <c r="S2116" s="28" t="n">
        <f aca="false">R2116*(1-TradeDiscount)</f>
        <v>374</v>
      </c>
      <c r="T2116" s="28" t="n">
        <f aca="false">R2116*(1-VolumeDiscount)</f>
        <v>340</v>
      </c>
    </row>
    <row r="2117" customFormat="false" ht="15" hidden="false" customHeight="false" outlineLevel="0" collapsed="false">
      <c r="A2117" s="29" t="s">
        <v>4636</v>
      </c>
      <c r="B2117" s="29" t="s">
        <v>124</v>
      </c>
      <c r="C2117" s="29" t="s">
        <v>127</v>
      </c>
      <c r="D2117" s="29" t="s">
        <v>4637</v>
      </c>
      <c r="E2117" s="29" t="s">
        <v>4633</v>
      </c>
      <c r="F2117" s="29" t="s">
        <v>4630</v>
      </c>
      <c r="G2117" s="29" t="s">
        <v>3148</v>
      </c>
      <c r="H2117" s="29" t="s">
        <v>79</v>
      </c>
      <c r="I2117" s="29" t="s">
        <v>3039</v>
      </c>
      <c r="J2117" s="29" t="s">
        <v>4558</v>
      </c>
      <c r="K2117" s="29" t="s">
        <v>192</v>
      </c>
      <c r="L2117" s="29"/>
      <c r="M2117" s="29"/>
      <c r="N2117" s="29"/>
      <c r="O2117" s="29"/>
      <c r="P2117" s="34" t="n">
        <v>380</v>
      </c>
      <c r="Q2117" s="31" t="n">
        <f aca="false">INDEX(Markup_Vals,MATCH("Glazing &amp; Glass",MarkupSub_Keys,0))</f>
        <v>0.25</v>
      </c>
      <c r="R2117" s="32" t="n">
        <f aca="false">P2117*(1+Q2117)</f>
        <v>475</v>
      </c>
      <c r="S2117" s="32" t="n">
        <f aca="false">R2117*(1-TradeDiscount)</f>
        <v>418</v>
      </c>
      <c r="T2117" s="32" t="n">
        <f aca="false">R2117*(1-VolumeDiscount)</f>
        <v>380</v>
      </c>
    </row>
    <row r="2118" customFormat="false" ht="15" hidden="false" customHeight="false" outlineLevel="0" collapsed="false">
      <c r="A2118" s="25" t="s">
        <v>4638</v>
      </c>
      <c r="B2118" s="25" t="s">
        <v>124</v>
      </c>
      <c r="C2118" s="25" t="s">
        <v>127</v>
      </c>
      <c r="D2118" s="25" t="s">
        <v>4639</v>
      </c>
      <c r="E2118" s="25" t="s">
        <v>4633</v>
      </c>
      <c r="F2118" s="25" t="s">
        <v>4640</v>
      </c>
      <c r="G2118" s="25" t="s">
        <v>3148</v>
      </c>
      <c r="H2118" s="25" t="s">
        <v>80</v>
      </c>
      <c r="I2118" s="25" t="s">
        <v>3039</v>
      </c>
      <c r="J2118" s="25" t="s">
        <v>4558</v>
      </c>
      <c r="K2118" s="25" t="s">
        <v>192</v>
      </c>
      <c r="L2118" s="25"/>
      <c r="M2118" s="25"/>
      <c r="N2118" s="25"/>
      <c r="O2118" s="25"/>
      <c r="P2118" s="33" t="n">
        <v>480</v>
      </c>
      <c r="Q2118" s="27" t="n">
        <f aca="false">INDEX(Markup_Vals,MATCH("Glazing &amp; Glass",MarkupSub_Keys,0))</f>
        <v>0.25</v>
      </c>
      <c r="R2118" s="28" t="n">
        <f aca="false">P2118*(1+Q2118)</f>
        <v>600</v>
      </c>
      <c r="S2118" s="28" t="n">
        <f aca="false">R2118*(1-TradeDiscount)</f>
        <v>528</v>
      </c>
      <c r="T2118" s="28" t="n">
        <f aca="false">R2118*(1-VolumeDiscount)</f>
        <v>480</v>
      </c>
    </row>
    <row r="2119" customFormat="false" ht="15" hidden="false" customHeight="false" outlineLevel="0" collapsed="false">
      <c r="A2119" s="29" t="s">
        <v>4641</v>
      </c>
      <c r="B2119" s="29" t="s">
        <v>124</v>
      </c>
      <c r="C2119" s="29" t="s">
        <v>127</v>
      </c>
      <c r="D2119" s="29" t="s">
        <v>4642</v>
      </c>
      <c r="E2119" s="29" t="s">
        <v>4633</v>
      </c>
      <c r="F2119" s="29" t="s">
        <v>4643</v>
      </c>
      <c r="G2119" s="29" t="s">
        <v>3148</v>
      </c>
      <c r="H2119" s="29" t="s">
        <v>81</v>
      </c>
      <c r="I2119" s="29" t="s">
        <v>3039</v>
      </c>
      <c r="J2119" s="29" t="s">
        <v>4558</v>
      </c>
      <c r="K2119" s="29" t="s">
        <v>192</v>
      </c>
      <c r="L2119" s="29"/>
      <c r="M2119" s="29"/>
      <c r="N2119" s="29"/>
      <c r="O2119" s="29"/>
      <c r="P2119" s="34" t="n">
        <v>580</v>
      </c>
      <c r="Q2119" s="31" t="n">
        <f aca="false">INDEX(Markup_Vals,MATCH("Glazing &amp; Glass",MarkupSub_Keys,0))</f>
        <v>0.25</v>
      </c>
      <c r="R2119" s="32" t="n">
        <f aca="false">P2119*(1+Q2119)</f>
        <v>725</v>
      </c>
      <c r="S2119" s="32" t="n">
        <f aca="false">R2119*(1-TradeDiscount)</f>
        <v>638</v>
      </c>
      <c r="T2119" s="32" t="n">
        <f aca="false">R2119*(1-VolumeDiscount)</f>
        <v>580</v>
      </c>
    </row>
    <row r="2120" customFormat="false" ht="15" hidden="false" customHeight="false" outlineLevel="0" collapsed="false">
      <c r="A2120" s="25" t="s">
        <v>4644</v>
      </c>
      <c r="B2120" s="25" t="s">
        <v>124</v>
      </c>
      <c r="C2120" s="25" t="s">
        <v>127</v>
      </c>
      <c r="D2120" s="25" t="s">
        <v>4645</v>
      </c>
      <c r="E2120" s="25" t="s">
        <v>4646</v>
      </c>
      <c r="F2120" s="25" t="s">
        <v>4647</v>
      </c>
      <c r="G2120" s="25" t="s">
        <v>3148</v>
      </c>
      <c r="H2120" s="25" t="s">
        <v>82</v>
      </c>
      <c r="I2120" s="25" t="s">
        <v>3039</v>
      </c>
      <c r="J2120" s="25" t="s">
        <v>4558</v>
      </c>
      <c r="K2120" s="25" t="s">
        <v>192</v>
      </c>
      <c r="L2120" s="25"/>
      <c r="M2120" s="25"/>
      <c r="N2120" s="25"/>
      <c r="O2120" s="25"/>
      <c r="P2120" s="33" t="n">
        <v>420</v>
      </c>
      <c r="Q2120" s="27" t="n">
        <f aca="false">INDEX(Markup_Vals,MATCH("Glazing &amp; Glass",MarkupSub_Keys,0))</f>
        <v>0.25</v>
      </c>
      <c r="R2120" s="28" t="n">
        <f aca="false">P2120*(1+Q2120)</f>
        <v>525</v>
      </c>
      <c r="S2120" s="28" t="n">
        <f aca="false">R2120*(1-TradeDiscount)</f>
        <v>462</v>
      </c>
      <c r="T2120" s="28" t="n">
        <f aca="false">R2120*(1-VolumeDiscount)</f>
        <v>420</v>
      </c>
    </row>
    <row r="2121" customFormat="false" ht="15" hidden="false" customHeight="false" outlineLevel="0" collapsed="false">
      <c r="A2121" s="29" t="s">
        <v>4648</v>
      </c>
      <c r="B2121" s="29" t="s">
        <v>124</v>
      </c>
      <c r="C2121" s="29" t="s">
        <v>127</v>
      </c>
      <c r="D2121" s="29" t="s">
        <v>4649</v>
      </c>
      <c r="E2121" s="29" t="s">
        <v>4646</v>
      </c>
      <c r="F2121" s="29" t="s">
        <v>4650</v>
      </c>
      <c r="G2121" s="29" t="s">
        <v>3148</v>
      </c>
      <c r="H2121" s="29" t="s">
        <v>83</v>
      </c>
      <c r="I2121" s="29" t="s">
        <v>3039</v>
      </c>
      <c r="J2121" s="29" t="s">
        <v>4558</v>
      </c>
      <c r="K2121" s="29" t="s">
        <v>192</v>
      </c>
      <c r="L2121" s="29"/>
      <c r="M2121" s="29"/>
      <c r="N2121" s="29"/>
      <c r="O2121" s="29"/>
      <c r="P2121" s="34" t="n">
        <v>520</v>
      </c>
      <c r="Q2121" s="31" t="n">
        <f aca="false">INDEX(Markup_Vals,MATCH("Glazing &amp; Glass",MarkupSub_Keys,0))</f>
        <v>0.25</v>
      </c>
      <c r="R2121" s="32" t="n">
        <f aca="false">P2121*(1+Q2121)</f>
        <v>650</v>
      </c>
      <c r="S2121" s="32" t="n">
        <f aca="false">R2121*(1-TradeDiscount)</f>
        <v>572</v>
      </c>
      <c r="T2121" s="32" t="n">
        <f aca="false">R2121*(1-VolumeDiscount)</f>
        <v>520</v>
      </c>
    </row>
    <row r="2122" customFormat="false" ht="15" hidden="false" customHeight="false" outlineLevel="0" collapsed="false">
      <c r="A2122" s="25" t="s">
        <v>4651</v>
      </c>
      <c r="B2122" s="25" t="s">
        <v>124</v>
      </c>
      <c r="C2122" s="25" t="s">
        <v>127</v>
      </c>
      <c r="D2122" s="25" t="s">
        <v>4652</v>
      </c>
      <c r="E2122" s="25" t="s">
        <v>4653</v>
      </c>
      <c r="F2122" s="25" t="s">
        <v>4624</v>
      </c>
      <c r="G2122" s="25" t="s">
        <v>3148</v>
      </c>
      <c r="H2122" s="25" t="s">
        <v>84</v>
      </c>
      <c r="I2122" s="25" t="s">
        <v>3039</v>
      </c>
      <c r="J2122" s="25" t="s">
        <v>4558</v>
      </c>
      <c r="K2122" s="25" t="s">
        <v>192</v>
      </c>
      <c r="L2122" s="25"/>
      <c r="M2122" s="25"/>
      <c r="N2122" s="25"/>
      <c r="O2122" s="25"/>
      <c r="P2122" s="33" t="n">
        <v>210</v>
      </c>
      <c r="Q2122" s="27" t="n">
        <f aca="false">INDEX(Markup_Vals,MATCH("Glazing &amp; Glass",MarkupSub_Keys,0))</f>
        <v>0.25</v>
      </c>
      <c r="R2122" s="28" t="n">
        <f aca="false">P2122*(1+Q2122)</f>
        <v>262.5</v>
      </c>
      <c r="S2122" s="28" t="n">
        <f aca="false">R2122*(1-TradeDiscount)</f>
        <v>231</v>
      </c>
      <c r="T2122" s="28" t="n">
        <f aca="false">R2122*(1-VolumeDiscount)</f>
        <v>210</v>
      </c>
    </row>
    <row r="2123" customFormat="false" ht="15" hidden="false" customHeight="false" outlineLevel="0" collapsed="false">
      <c r="A2123" s="29" t="s">
        <v>4654</v>
      </c>
      <c r="B2123" s="29" t="s">
        <v>124</v>
      </c>
      <c r="C2123" s="29" t="s">
        <v>127</v>
      </c>
      <c r="D2123" s="29" t="s">
        <v>4655</v>
      </c>
      <c r="E2123" s="29" t="s">
        <v>4653</v>
      </c>
      <c r="F2123" s="29" t="s">
        <v>4627</v>
      </c>
      <c r="G2123" s="29" t="s">
        <v>3148</v>
      </c>
      <c r="H2123" s="29" t="s">
        <v>85</v>
      </c>
      <c r="I2123" s="29" t="s">
        <v>3039</v>
      </c>
      <c r="J2123" s="29" t="s">
        <v>4558</v>
      </c>
      <c r="K2123" s="29" t="s">
        <v>192</v>
      </c>
      <c r="L2123" s="29"/>
      <c r="M2123" s="29"/>
      <c r="N2123" s="29"/>
      <c r="O2123" s="29"/>
      <c r="P2123" s="34" t="n">
        <v>245</v>
      </c>
      <c r="Q2123" s="31" t="n">
        <f aca="false">INDEX(Markup_Vals,MATCH("Glazing &amp; Glass",MarkupSub_Keys,0))</f>
        <v>0.25</v>
      </c>
      <c r="R2123" s="32" t="n">
        <f aca="false">P2123*(1+Q2123)</f>
        <v>306.25</v>
      </c>
      <c r="S2123" s="32" t="n">
        <f aca="false">R2123*(1-TradeDiscount)</f>
        <v>269.5</v>
      </c>
      <c r="T2123" s="32" t="n">
        <f aca="false">R2123*(1-VolumeDiscount)</f>
        <v>245</v>
      </c>
    </row>
    <row r="2124" customFormat="false" ht="15" hidden="false" customHeight="false" outlineLevel="0" collapsed="false">
      <c r="A2124" s="25" t="s">
        <v>4656</v>
      </c>
      <c r="B2124" s="25" t="s">
        <v>124</v>
      </c>
      <c r="C2124" s="25" t="s">
        <v>127</v>
      </c>
      <c r="D2124" s="25" t="s">
        <v>4657</v>
      </c>
      <c r="E2124" s="25" t="s">
        <v>4658</v>
      </c>
      <c r="F2124" s="25" t="s">
        <v>4659</v>
      </c>
      <c r="G2124" s="25" t="s">
        <v>3148</v>
      </c>
      <c r="H2124" s="25" t="s">
        <v>86</v>
      </c>
      <c r="I2124" s="25" t="s">
        <v>3039</v>
      </c>
      <c r="J2124" s="25" t="s">
        <v>4558</v>
      </c>
      <c r="K2124" s="25" t="s">
        <v>192</v>
      </c>
      <c r="L2124" s="25"/>
      <c r="M2124" s="25"/>
      <c r="N2124" s="25"/>
      <c r="O2124" s="25"/>
      <c r="P2124" s="33" t="n">
        <v>400</v>
      </c>
      <c r="Q2124" s="27" t="n">
        <f aca="false">INDEX(Markup_Vals,MATCH("Glazing &amp; Glass",MarkupSub_Keys,0))</f>
        <v>0.25</v>
      </c>
      <c r="R2124" s="28" t="n">
        <f aca="false">P2124*(1+Q2124)</f>
        <v>500</v>
      </c>
      <c r="S2124" s="28" t="n">
        <f aca="false">R2124*(1-TradeDiscount)</f>
        <v>440</v>
      </c>
      <c r="T2124" s="28" t="n">
        <f aca="false">R2124*(1-VolumeDiscount)</f>
        <v>400</v>
      </c>
    </row>
    <row r="2125" customFormat="false" ht="15" hidden="false" customHeight="false" outlineLevel="0" collapsed="false">
      <c r="A2125" s="29" t="s">
        <v>4660</v>
      </c>
      <c r="B2125" s="29" t="s">
        <v>124</v>
      </c>
      <c r="C2125" s="29" t="s">
        <v>127</v>
      </c>
      <c r="D2125" s="29" t="s">
        <v>4661</v>
      </c>
      <c r="E2125" s="29" t="s">
        <v>4658</v>
      </c>
      <c r="F2125" s="29" t="s">
        <v>4662</v>
      </c>
      <c r="G2125" s="29" t="s">
        <v>3148</v>
      </c>
      <c r="H2125" s="29" t="s">
        <v>87</v>
      </c>
      <c r="I2125" s="29" t="s">
        <v>3039</v>
      </c>
      <c r="J2125" s="29" t="s">
        <v>4558</v>
      </c>
      <c r="K2125" s="29" t="s">
        <v>192</v>
      </c>
      <c r="L2125" s="29"/>
      <c r="M2125" s="29"/>
      <c r="N2125" s="29"/>
      <c r="O2125" s="29"/>
      <c r="P2125" s="34" t="n">
        <v>400</v>
      </c>
      <c r="Q2125" s="31" t="n">
        <f aca="false">INDEX(Markup_Vals,MATCH("Glazing &amp; Glass",MarkupSub_Keys,0))</f>
        <v>0.25</v>
      </c>
      <c r="R2125" s="32" t="n">
        <f aca="false">P2125*(1+Q2125)</f>
        <v>500</v>
      </c>
      <c r="S2125" s="32" t="n">
        <f aca="false">R2125*(1-TradeDiscount)</f>
        <v>440</v>
      </c>
      <c r="T2125" s="32" t="n">
        <f aca="false">R2125*(1-VolumeDiscount)</f>
        <v>400</v>
      </c>
    </row>
    <row r="2126" customFormat="false" ht="15" hidden="false" customHeight="false" outlineLevel="0" collapsed="false">
      <c r="A2126" s="25" t="s">
        <v>4663</v>
      </c>
      <c r="B2126" s="25" t="s">
        <v>124</v>
      </c>
      <c r="C2126" s="25" t="s">
        <v>127</v>
      </c>
      <c r="D2126" s="25" t="s">
        <v>4664</v>
      </c>
      <c r="E2126" s="25" t="s">
        <v>4658</v>
      </c>
      <c r="F2126" s="25" t="s">
        <v>4665</v>
      </c>
      <c r="G2126" s="25" t="s">
        <v>3148</v>
      </c>
      <c r="H2126" s="25" t="s">
        <v>88</v>
      </c>
      <c r="I2126" s="25" t="s">
        <v>3039</v>
      </c>
      <c r="J2126" s="25" t="s">
        <v>4558</v>
      </c>
      <c r="K2126" s="25" t="s">
        <v>192</v>
      </c>
      <c r="L2126" s="25"/>
      <c r="M2126" s="25"/>
      <c r="N2126" s="25"/>
      <c r="O2126" s="25"/>
      <c r="P2126" s="33" t="n">
        <v>410</v>
      </c>
      <c r="Q2126" s="27" t="n">
        <f aca="false">INDEX(Markup_Vals,MATCH("Glazing &amp; Glass",MarkupSub_Keys,0))</f>
        <v>0.25</v>
      </c>
      <c r="R2126" s="28" t="n">
        <f aca="false">P2126*(1+Q2126)</f>
        <v>512.5</v>
      </c>
      <c r="S2126" s="28" t="n">
        <f aca="false">R2126*(1-TradeDiscount)</f>
        <v>451</v>
      </c>
      <c r="T2126" s="28" t="n">
        <f aca="false">R2126*(1-VolumeDiscount)</f>
        <v>410</v>
      </c>
    </row>
    <row r="2127" customFormat="false" ht="15" hidden="false" customHeight="false" outlineLevel="0" collapsed="false">
      <c r="A2127" s="29" t="s">
        <v>4666</v>
      </c>
      <c r="B2127" s="29" t="s">
        <v>124</v>
      </c>
      <c r="C2127" s="29" t="s">
        <v>127</v>
      </c>
      <c r="D2127" s="29" t="s">
        <v>4667</v>
      </c>
      <c r="E2127" s="29" t="s">
        <v>4668</v>
      </c>
      <c r="F2127" s="29" t="s">
        <v>4624</v>
      </c>
      <c r="G2127" s="29" t="s">
        <v>3148</v>
      </c>
      <c r="H2127" s="29" t="s">
        <v>89</v>
      </c>
      <c r="I2127" s="29" t="s">
        <v>3039</v>
      </c>
      <c r="J2127" s="29" t="s">
        <v>4558</v>
      </c>
      <c r="K2127" s="29" t="s">
        <v>192</v>
      </c>
      <c r="L2127" s="29"/>
      <c r="M2127" s="29"/>
      <c r="N2127" s="29"/>
      <c r="O2127" s="29"/>
      <c r="P2127" s="34" t="n">
        <v>380</v>
      </c>
      <c r="Q2127" s="31" t="n">
        <f aca="false">INDEX(Markup_Vals,MATCH("Glazing &amp; Glass",MarkupSub_Keys,0))</f>
        <v>0.25</v>
      </c>
      <c r="R2127" s="32" t="n">
        <f aca="false">P2127*(1+Q2127)</f>
        <v>475</v>
      </c>
      <c r="S2127" s="32" t="n">
        <f aca="false">R2127*(1-TradeDiscount)</f>
        <v>418</v>
      </c>
      <c r="T2127" s="32" t="n">
        <f aca="false">R2127*(1-VolumeDiscount)</f>
        <v>380</v>
      </c>
    </row>
    <row r="2128" customFormat="false" ht="15" hidden="false" customHeight="false" outlineLevel="0" collapsed="false">
      <c r="A2128" s="25" t="s">
        <v>4669</v>
      </c>
      <c r="B2128" s="25" t="s">
        <v>124</v>
      </c>
      <c r="C2128" s="25" t="s">
        <v>127</v>
      </c>
      <c r="D2128" s="25" t="s">
        <v>4670</v>
      </c>
      <c r="E2128" s="25" t="s">
        <v>4668</v>
      </c>
      <c r="F2128" s="25" t="s">
        <v>4630</v>
      </c>
      <c r="G2128" s="25" t="s">
        <v>3148</v>
      </c>
      <c r="H2128" s="25" t="s">
        <v>90</v>
      </c>
      <c r="I2128" s="25" t="s">
        <v>3039</v>
      </c>
      <c r="J2128" s="25" t="s">
        <v>4558</v>
      </c>
      <c r="K2128" s="25" t="s">
        <v>192</v>
      </c>
      <c r="L2128" s="25"/>
      <c r="M2128" s="25"/>
      <c r="N2128" s="25"/>
      <c r="O2128" s="25"/>
      <c r="P2128" s="33" t="n">
        <v>430</v>
      </c>
      <c r="Q2128" s="27" t="n">
        <f aca="false">INDEX(Markup_Vals,MATCH("Glazing &amp; Glass",MarkupSub_Keys,0))</f>
        <v>0.25</v>
      </c>
      <c r="R2128" s="28" t="n">
        <f aca="false">P2128*(1+Q2128)</f>
        <v>537.5</v>
      </c>
      <c r="S2128" s="28" t="n">
        <f aca="false">R2128*(1-TradeDiscount)</f>
        <v>473</v>
      </c>
      <c r="T2128" s="28" t="n">
        <f aca="false">R2128*(1-VolumeDiscount)</f>
        <v>430</v>
      </c>
    </row>
    <row r="2129" customFormat="false" ht="15" hidden="false" customHeight="false" outlineLevel="0" collapsed="false">
      <c r="A2129" s="29" t="s">
        <v>4671</v>
      </c>
      <c r="B2129" s="29" t="s">
        <v>124</v>
      </c>
      <c r="C2129" s="29" t="s">
        <v>127</v>
      </c>
      <c r="D2129" s="29" t="s">
        <v>4672</v>
      </c>
      <c r="E2129" s="29" t="s">
        <v>4673</v>
      </c>
      <c r="F2129" s="29" t="s">
        <v>4674</v>
      </c>
      <c r="G2129" s="29" t="s">
        <v>3148</v>
      </c>
      <c r="H2129" s="29" t="s">
        <v>91</v>
      </c>
      <c r="I2129" s="29" t="s">
        <v>3039</v>
      </c>
      <c r="J2129" s="29" t="s">
        <v>4558</v>
      </c>
      <c r="K2129" s="29" t="s">
        <v>192</v>
      </c>
      <c r="L2129" s="29"/>
      <c r="M2129" s="29"/>
      <c r="N2129" s="29"/>
      <c r="O2129" s="29"/>
      <c r="P2129" s="34" t="n">
        <v>950</v>
      </c>
      <c r="Q2129" s="31" t="n">
        <f aca="false">INDEX(Markup_Vals,MATCH("Glazing &amp; Glass",MarkupSub_Keys,0))</f>
        <v>0.25</v>
      </c>
      <c r="R2129" s="32" t="n">
        <f aca="false">P2129*(1+Q2129)</f>
        <v>1187.5</v>
      </c>
      <c r="S2129" s="32" t="n">
        <f aca="false">R2129*(1-TradeDiscount)</f>
        <v>1045</v>
      </c>
      <c r="T2129" s="32" t="n">
        <f aca="false">R2129*(1-VolumeDiscount)</f>
        <v>950</v>
      </c>
    </row>
    <row r="2130" customFormat="false" ht="15" hidden="false" customHeight="false" outlineLevel="0" collapsed="false">
      <c r="A2130" s="25" t="s">
        <v>4675</v>
      </c>
      <c r="B2130" s="25" t="s">
        <v>124</v>
      </c>
      <c r="C2130" s="25" t="s">
        <v>127</v>
      </c>
      <c r="D2130" s="25" t="s">
        <v>4676</v>
      </c>
      <c r="E2130" s="25" t="s">
        <v>4673</v>
      </c>
      <c r="F2130" s="25" t="s">
        <v>4677</v>
      </c>
      <c r="G2130" s="25" t="s">
        <v>3148</v>
      </c>
      <c r="H2130" s="25" t="s">
        <v>92</v>
      </c>
      <c r="I2130" s="25" t="s">
        <v>3039</v>
      </c>
      <c r="J2130" s="25" t="s">
        <v>4558</v>
      </c>
      <c r="K2130" s="25" t="s">
        <v>192</v>
      </c>
      <c r="L2130" s="25"/>
      <c r="M2130" s="25"/>
      <c r="N2130" s="25"/>
      <c r="O2130" s="25"/>
      <c r="P2130" s="33" t="n">
        <v>1150</v>
      </c>
      <c r="Q2130" s="27" t="n">
        <f aca="false">INDEX(Markup_Vals,MATCH("Glazing &amp; Glass",MarkupSub_Keys,0))</f>
        <v>0.25</v>
      </c>
      <c r="R2130" s="28" t="n">
        <f aca="false">P2130*(1+Q2130)</f>
        <v>1437.5</v>
      </c>
      <c r="S2130" s="28" t="n">
        <f aca="false">R2130*(1-TradeDiscount)</f>
        <v>1265</v>
      </c>
      <c r="T2130" s="28" t="n">
        <f aca="false">R2130*(1-VolumeDiscount)</f>
        <v>1150</v>
      </c>
    </row>
    <row r="2131" customFormat="false" ht="15" hidden="false" customHeight="false" outlineLevel="0" collapsed="false">
      <c r="A2131" s="29" t="s">
        <v>4678</v>
      </c>
      <c r="B2131" s="29" t="s">
        <v>124</v>
      </c>
      <c r="C2131" s="29" t="s">
        <v>127</v>
      </c>
      <c r="D2131" s="29" t="s">
        <v>4679</v>
      </c>
      <c r="E2131" s="29" t="s">
        <v>4680</v>
      </c>
      <c r="F2131" s="29" t="s">
        <v>4624</v>
      </c>
      <c r="G2131" s="29" t="s">
        <v>3148</v>
      </c>
      <c r="H2131" s="29" t="s">
        <v>93</v>
      </c>
      <c r="I2131" s="29" t="s">
        <v>3039</v>
      </c>
      <c r="J2131" s="29" t="s">
        <v>4558</v>
      </c>
      <c r="K2131" s="29" t="s">
        <v>192</v>
      </c>
      <c r="L2131" s="29"/>
      <c r="M2131" s="29"/>
      <c r="N2131" s="29"/>
      <c r="O2131" s="29"/>
      <c r="P2131" s="34" t="n">
        <v>350</v>
      </c>
      <c r="Q2131" s="31" t="n">
        <f aca="false">INDEX(Markup_Vals,MATCH("Glazing &amp; Glass",MarkupSub_Keys,0))</f>
        <v>0.25</v>
      </c>
      <c r="R2131" s="32" t="n">
        <f aca="false">P2131*(1+Q2131)</f>
        <v>437.5</v>
      </c>
      <c r="S2131" s="32" t="n">
        <f aca="false">R2131*(1-TradeDiscount)</f>
        <v>385</v>
      </c>
      <c r="T2131" s="32" t="n">
        <f aca="false">R2131*(1-VolumeDiscount)</f>
        <v>350</v>
      </c>
    </row>
    <row r="2132" customFormat="false" ht="15" hidden="false" customHeight="false" outlineLevel="0" collapsed="false">
      <c r="A2132" s="25" t="s">
        <v>4681</v>
      </c>
      <c r="B2132" s="25" t="s">
        <v>124</v>
      </c>
      <c r="C2132" s="25" t="s">
        <v>127</v>
      </c>
      <c r="D2132" s="25" t="s">
        <v>4682</v>
      </c>
      <c r="E2132" s="25" t="s">
        <v>4680</v>
      </c>
      <c r="F2132" s="25" t="s">
        <v>4630</v>
      </c>
      <c r="G2132" s="25" t="s">
        <v>3148</v>
      </c>
      <c r="H2132" s="25" t="s">
        <v>94</v>
      </c>
      <c r="I2132" s="25" t="s">
        <v>3039</v>
      </c>
      <c r="J2132" s="25" t="s">
        <v>4558</v>
      </c>
      <c r="K2132" s="25" t="s">
        <v>192</v>
      </c>
      <c r="L2132" s="25"/>
      <c r="M2132" s="25"/>
      <c r="N2132" s="25"/>
      <c r="O2132" s="25"/>
      <c r="P2132" s="33" t="n">
        <v>400</v>
      </c>
      <c r="Q2132" s="27" t="n">
        <f aca="false">INDEX(Markup_Vals,MATCH("Glazing &amp; Glass",MarkupSub_Keys,0))</f>
        <v>0.25</v>
      </c>
      <c r="R2132" s="28" t="n">
        <f aca="false">P2132*(1+Q2132)</f>
        <v>500</v>
      </c>
      <c r="S2132" s="28" t="n">
        <f aca="false">R2132*(1-TradeDiscount)</f>
        <v>440</v>
      </c>
      <c r="T2132" s="28" t="n">
        <f aca="false">R2132*(1-VolumeDiscount)</f>
        <v>400</v>
      </c>
    </row>
    <row r="2133" customFormat="false" ht="15" hidden="false" customHeight="false" outlineLevel="0" collapsed="false">
      <c r="A2133" s="29" t="s">
        <v>4683</v>
      </c>
      <c r="B2133" s="29" t="s">
        <v>124</v>
      </c>
      <c r="C2133" s="29" t="s">
        <v>128</v>
      </c>
      <c r="D2133" s="29" t="s">
        <v>4684</v>
      </c>
      <c r="E2133" s="29" t="s">
        <v>4684</v>
      </c>
      <c r="F2133" s="29" t="s">
        <v>4685</v>
      </c>
      <c r="G2133" s="29" t="s">
        <v>3148</v>
      </c>
      <c r="H2133" s="29" t="s">
        <v>3148</v>
      </c>
      <c r="I2133" s="29" t="s">
        <v>190</v>
      </c>
      <c r="J2133" s="29" t="s">
        <v>4558</v>
      </c>
      <c r="K2133" s="29" t="s">
        <v>192</v>
      </c>
      <c r="L2133" s="29"/>
      <c r="M2133" s="29"/>
      <c r="N2133" s="29"/>
      <c r="O2133" s="29"/>
      <c r="P2133" s="34" t="n">
        <v>95</v>
      </c>
      <c r="Q2133" s="31" t="n">
        <f aca="false">INDEX(Markup_Vals,MATCH("Sealants, Gaskets &amp; Weatherproofing",MarkupSub_Keys,0))</f>
        <v>0.55</v>
      </c>
      <c r="R2133" s="32" t="n">
        <f aca="false">P2133*(1+Q2133)</f>
        <v>147.25</v>
      </c>
      <c r="S2133" s="32" t="n">
        <f aca="false">R2133*(1-TradeDiscount)</f>
        <v>129.58</v>
      </c>
      <c r="T2133" s="32" t="n">
        <f aca="false">R2133*(1-VolumeDiscount)</f>
        <v>117.8</v>
      </c>
    </row>
    <row r="2134" customFormat="false" ht="15" hidden="false" customHeight="false" outlineLevel="0" collapsed="false">
      <c r="A2134" s="25" t="s">
        <v>4686</v>
      </c>
      <c r="B2134" s="25" t="s">
        <v>124</v>
      </c>
      <c r="C2134" s="25" t="s">
        <v>128</v>
      </c>
      <c r="D2134" s="25" t="s">
        <v>4687</v>
      </c>
      <c r="E2134" s="25" t="s">
        <v>4687</v>
      </c>
      <c r="F2134" s="25" t="s">
        <v>4685</v>
      </c>
      <c r="G2134" s="25" t="s">
        <v>3148</v>
      </c>
      <c r="H2134" s="25" t="s">
        <v>3148</v>
      </c>
      <c r="I2134" s="25" t="s">
        <v>190</v>
      </c>
      <c r="J2134" s="25" t="s">
        <v>4558</v>
      </c>
      <c r="K2134" s="25" t="s">
        <v>192</v>
      </c>
      <c r="L2134" s="25"/>
      <c r="M2134" s="25"/>
      <c r="N2134" s="25"/>
      <c r="O2134" s="25"/>
      <c r="P2134" s="33" t="n">
        <v>95</v>
      </c>
      <c r="Q2134" s="27" t="n">
        <f aca="false">INDEX(Markup_Vals,MATCH("Sealants, Gaskets &amp; Weatherproofing",MarkupSub_Keys,0))</f>
        <v>0.55</v>
      </c>
      <c r="R2134" s="28" t="n">
        <f aca="false">P2134*(1+Q2134)</f>
        <v>147.25</v>
      </c>
      <c r="S2134" s="28" t="n">
        <f aca="false">R2134*(1-TradeDiscount)</f>
        <v>129.58</v>
      </c>
      <c r="T2134" s="28" t="n">
        <f aca="false">R2134*(1-VolumeDiscount)</f>
        <v>117.8</v>
      </c>
    </row>
    <row r="2135" customFormat="false" ht="15" hidden="false" customHeight="false" outlineLevel="0" collapsed="false">
      <c r="A2135" s="29" t="s">
        <v>4688</v>
      </c>
      <c r="B2135" s="29" t="s">
        <v>124</v>
      </c>
      <c r="C2135" s="29" t="s">
        <v>128</v>
      </c>
      <c r="D2135" s="29" t="s">
        <v>4689</v>
      </c>
      <c r="E2135" s="29" t="s">
        <v>4689</v>
      </c>
      <c r="F2135" s="29" t="s">
        <v>4685</v>
      </c>
      <c r="G2135" s="29" t="s">
        <v>3148</v>
      </c>
      <c r="H2135" s="29" t="s">
        <v>3148</v>
      </c>
      <c r="I2135" s="29" t="s">
        <v>190</v>
      </c>
      <c r="J2135" s="29" t="s">
        <v>4558</v>
      </c>
      <c r="K2135" s="29" t="s">
        <v>192</v>
      </c>
      <c r="L2135" s="29"/>
      <c r="M2135" s="29"/>
      <c r="N2135" s="29"/>
      <c r="O2135" s="29"/>
      <c r="P2135" s="34" t="n">
        <v>280</v>
      </c>
      <c r="Q2135" s="31" t="n">
        <f aca="false">INDEX(Markup_Vals,MATCH("Sealants, Gaskets &amp; Weatherproofing",MarkupSub_Keys,0))</f>
        <v>0.55</v>
      </c>
      <c r="R2135" s="32" t="n">
        <f aca="false">P2135*(1+Q2135)</f>
        <v>434</v>
      </c>
      <c r="S2135" s="32" t="n">
        <f aca="false">R2135*(1-TradeDiscount)</f>
        <v>381.92</v>
      </c>
      <c r="T2135" s="32" t="n">
        <f aca="false">R2135*(1-VolumeDiscount)</f>
        <v>347.2</v>
      </c>
    </row>
    <row r="2136" customFormat="false" ht="15" hidden="false" customHeight="false" outlineLevel="0" collapsed="false">
      <c r="A2136" s="25" t="s">
        <v>4690</v>
      </c>
      <c r="B2136" s="25" t="s">
        <v>124</v>
      </c>
      <c r="C2136" s="25" t="s">
        <v>128</v>
      </c>
      <c r="D2136" s="25" t="s">
        <v>4691</v>
      </c>
      <c r="E2136" s="25" t="s">
        <v>4691</v>
      </c>
      <c r="F2136" s="25" t="s">
        <v>4685</v>
      </c>
      <c r="G2136" s="25" t="s">
        <v>3148</v>
      </c>
      <c r="H2136" s="25" t="s">
        <v>3148</v>
      </c>
      <c r="I2136" s="25" t="s">
        <v>190</v>
      </c>
      <c r="J2136" s="25" t="s">
        <v>4558</v>
      </c>
      <c r="K2136" s="25" t="s">
        <v>192</v>
      </c>
      <c r="L2136" s="25"/>
      <c r="M2136" s="25"/>
      <c r="N2136" s="25"/>
      <c r="O2136" s="25"/>
      <c r="P2136" s="33" t="n">
        <v>650</v>
      </c>
      <c r="Q2136" s="27" t="n">
        <f aca="false">INDEX(Markup_Vals,MATCH("Sealants, Gaskets &amp; Weatherproofing",MarkupSub_Keys,0))</f>
        <v>0.55</v>
      </c>
      <c r="R2136" s="28" t="n">
        <f aca="false">P2136*(1+Q2136)</f>
        <v>1007.5</v>
      </c>
      <c r="S2136" s="28" t="n">
        <f aca="false">R2136*(1-TradeDiscount)</f>
        <v>886.6</v>
      </c>
      <c r="T2136" s="28" t="n">
        <f aca="false">R2136*(1-VolumeDiscount)</f>
        <v>806</v>
      </c>
    </row>
    <row r="2137" customFormat="false" ht="15" hidden="false" customHeight="false" outlineLevel="0" collapsed="false">
      <c r="A2137" s="29" t="s">
        <v>4692</v>
      </c>
      <c r="B2137" s="29" t="s">
        <v>124</v>
      </c>
      <c r="C2137" s="29" t="s">
        <v>128</v>
      </c>
      <c r="D2137" s="29" t="s">
        <v>4693</v>
      </c>
      <c r="E2137" s="29" t="s">
        <v>4693</v>
      </c>
      <c r="F2137" s="29" t="s">
        <v>4685</v>
      </c>
      <c r="G2137" s="29" t="s">
        <v>3148</v>
      </c>
      <c r="H2137" s="29" t="s">
        <v>3148</v>
      </c>
      <c r="I2137" s="29" t="s">
        <v>190</v>
      </c>
      <c r="J2137" s="29" t="s">
        <v>4558</v>
      </c>
      <c r="K2137" s="29" t="s">
        <v>192</v>
      </c>
      <c r="L2137" s="29"/>
      <c r="M2137" s="29"/>
      <c r="N2137" s="29"/>
      <c r="O2137" s="29"/>
      <c r="P2137" s="34" t="n">
        <v>580</v>
      </c>
      <c r="Q2137" s="31" t="n">
        <f aca="false">INDEX(Markup_Vals,MATCH("Sealants, Gaskets &amp; Weatherproofing",MarkupSub_Keys,0))</f>
        <v>0.55</v>
      </c>
      <c r="R2137" s="32" t="n">
        <f aca="false">P2137*(1+Q2137)</f>
        <v>899</v>
      </c>
      <c r="S2137" s="32" t="n">
        <f aca="false">R2137*(1-TradeDiscount)</f>
        <v>791.12</v>
      </c>
      <c r="T2137" s="32" t="n">
        <f aca="false">R2137*(1-VolumeDiscount)</f>
        <v>719.2</v>
      </c>
    </row>
    <row r="2138" customFormat="false" ht="15" hidden="false" customHeight="false" outlineLevel="0" collapsed="false">
      <c r="A2138" s="25" t="s">
        <v>4694</v>
      </c>
      <c r="B2138" s="25" t="s">
        <v>124</v>
      </c>
      <c r="C2138" s="25" t="s">
        <v>128</v>
      </c>
      <c r="D2138" s="25" t="s">
        <v>4695</v>
      </c>
      <c r="E2138" s="25" t="s">
        <v>4695</v>
      </c>
      <c r="F2138" s="25" t="s">
        <v>4685</v>
      </c>
      <c r="G2138" s="25" t="s">
        <v>3148</v>
      </c>
      <c r="H2138" s="25" t="s">
        <v>3148</v>
      </c>
      <c r="I2138" s="25" t="s">
        <v>190</v>
      </c>
      <c r="J2138" s="25" t="s">
        <v>4558</v>
      </c>
      <c r="K2138" s="25" t="s">
        <v>192</v>
      </c>
      <c r="L2138" s="25"/>
      <c r="M2138" s="25"/>
      <c r="N2138" s="25"/>
      <c r="O2138" s="25"/>
      <c r="P2138" s="33" t="n">
        <v>220</v>
      </c>
      <c r="Q2138" s="27" t="n">
        <f aca="false">INDEX(Markup_Vals,MATCH("Sealants, Gaskets &amp; Weatherproofing",MarkupSub_Keys,0))</f>
        <v>0.55</v>
      </c>
      <c r="R2138" s="28" t="n">
        <f aca="false">P2138*(1+Q2138)</f>
        <v>341</v>
      </c>
      <c r="S2138" s="28" t="n">
        <f aca="false">R2138*(1-TradeDiscount)</f>
        <v>300.08</v>
      </c>
      <c r="T2138" s="28" t="n">
        <f aca="false">R2138*(1-VolumeDiscount)</f>
        <v>272.8</v>
      </c>
    </row>
    <row r="2139" customFormat="false" ht="15" hidden="false" customHeight="false" outlineLevel="0" collapsed="false">
      <c r="A2139" s="29" t="s">
        <v>4696</v>
      </c>
      <c r="B2139" s="29" t="s">
        <v>124</v>
      </c>
      <c r="C2139" s="29" t="s">
        <v>128</v>
      </c>
      <c r="D2139" s="29" t="s">
        <v>4697</v>
      </c>
      <c r="E2139" s="29" t="s">
        <v>4697</v>
      </c>
      <c r="F2139" s="29" t="s">
        <v>4685</v>
      </c>
      <c r="G2139" s="29" t="s">
        <v>3148</v>
      </c>
      <c r="H2139" s="29" t="s">
        <v>3148</v>
      </c>
      <c r="I2139" s="29" t="s">
        <v>190</v>
      </c>
      <c r="J2139" s="29" t="s">
        <v>4558</v>
      </c>
      <c r="K2139" s="29" t="s">
        <v>192</v>
      </c>
      <c r="L2139" s="29"/>
      <c r="M2139" s="29"/>
      <c r="N2139" s="29"/>
      <c r="O2139" s="29"/>
      <c r="P2139" s="34" t="n">
        <v>145</v>
      </c>
      <c r="Q2139" s="31" t="n">
        <f aca="false">INDEX(Markup_Vals,MATCH("Sealants, Gaskets &amp; Weatherproofing",MarkupSub_Keys,0))</f>
        <v>0.55</v>
      </c>
      <c r="R2139" s="32" t="n">
        <f aca="false">P2139*(1+Q2139)</f>
        <v>224.75</v>
      </c>
      <c r="S2139" s="32" t="n">
        <f aca="false">R2139*(1-TradeDiscount)</f>
        <v>197.78</v>
      </c>
      <c r="T2139" s="32" t="n">
        <f aca="false">R2139*(1-VolumeDiscount)</f>
        <v>179.8</v>
      </c>
    </row>
    <row r="2140" customFormat="false" ht="15" hidden="false" customHeight="false" outlineLevel="0" collapsed="false">
      <c r="A2140" s="25" t="s">
        <v>4698</v>
      </c>
      <c r="B2140" s="25" t="s">
        <v>124</v>
      </c>
      <c r="C2140" s="25" t="s">
        <v>128</v>
      </c>
      <c r="D2140" s="25" t="s">
        <v>4699</v>
      </c>
      <c r="E2140" s="25" t="s">
        <v>4699</v>
      </c>
      <c r="F2140" s="25" t="s">
        <v>4685</v>
      </c>
      <c r="G2140" s="25" t="s">
        <v>3148</v>
      </c>
      <c r="H2140" s="25" t="s">
        <v>3148</v>
      </c>
      <c r="I2140" s="25" t="s">
        <v>190</v>
      </c>
      <c r="J2140" s="25" t="s">
        <v>4558</v>
      </c>
      <c r="K2140" s="25" t="s">
        <v>192</v>
      </c>
      <c r="L2140" s="25"/>
      <c r="M2140" s="25"/>
      <c r="N2140" s="25"/>
      <c r="O2140" s="25"/>
      <c r="P2140" s="33" t="n">
        <v>135</v>
      </c>
      <c r="Q2140" s="27" t="n">
        <f aca="false">INDEX(Markup_Vals,MATCH("Sealants, Gaskets &amp; Weatherproofing",MarkupSub_Keys,0))</f>
        <v>0.55</v>
      </c>
      <c r="R2140" s="28" t="n">
        <f aca="false">P2140*(1+Q2140)</f>
        <v>209.25</v>
      </c>
      <c r="S2140" s="28" t="n">
        <f aca="false">R2140*(1-TradeDiscount)</f>
        <v>184.14</v>
      </c>
      <c r="T2140" s="28" t="n">
        <f aca="false">R2140*(1-VolumeDiscount)</f>
        <v>167.4</v>
      </c>
    </row>
    <row r="2141" customFormat="false" ht="15" hidden="false" customHeight="false" outlineLevel="0" collapsed="false">
      <c r="A2141" s="29" t="s">
        <v>4700</v>
      </c>
      <c r="B2141" s="29" t="s">
        <v>124</v>
      </c>
      <c r="C2141" s="29" t="s">
        <v>129</v>
      </c>
      <c r="D2141" s="29" t="s">
        <v>4701</v>
      </c>
      <c r="E2141" s="29" t="s">
        <v>4701</v>
      </c>
      <c r="F2141" s="29" t="s">
        <v>4685</v>
      </c>
      <c r="G2141" s="29" t="s">
        <v>3148</v>
      </c>
      <c r="H2141" s="29" t="s">
        <v>3148</v>
      </c>
      <c r="I2141" s="29" t="s">
        <v>190</v>
      </c>
      <c r="J2141" s="29" t="s">
        <v>4558</v>
      </c>
      <c r="K2141" s="29" t="s">
        <v>192</v>
      </c>
      <c r="L2141" s="29"/>
      <c r="M2141" s="29"/>
      <c r="N2141" s="29"/>
      <c r="O2141" s="29"/>
      <c r="P2141" s="34" t="n">
        <v>380</v>
      </c>
      <c r="Q2141" s="31" t="n">
        <f aca="false">INDEX(Markup_Vals,MATCH("Fixings, Fasteners &amp; Brackets",MarkupSub_Keys,0))</f>
        <v>0.55</v>
      </c>
      <c r="R2141" s="32" t="n">
        <f aca="false">P2141*(1+Q2141)</f>
        <v>589</v>
      </c>
      <c r="S2141" s="32" t="n">
        <f aca="false">R2141*(1-TradeDiscount)</f>
        <v>518.32</v>
      </c>
      <c r="T2141" s="32" t="n">
        <f aca="false">R2141*(1-VolumeDiscount)</f>
        <v>471.2</v>
      </c>
    </row>
    <row r="2142" customFormat="false" ht="15" hidden="false" customHeight="false" outlineLevel="0" collapsed="false">
      <c r="A2142" s="25" t="s">
        <v>4702</v>
      </c>
      <c r="B2142" s="25" t="s">
        <v>124</v>
      </c>
      <c r="C2142" s="25" t="s">
        <v>129</v>
      </c>
      <c r="D2142" s="25" t="s">
        <v>4703</v>
      </c>
      <c r="E2142" s="25" t="s">
        <v>4703</v>
      </c>
      <c r="F2142" s="25" t="s">
        <v>4685</v>
      </c>
      <c r="G2142" s="25" t="s">
        <v>3148</v>
      </c>
      <c r="H2142" s="25" t="s">
        <v>3148</v>
      </c>
      <c r="I2142" s="25" t="s">
        <v>190</v>
      </c>
      <c r="J2142" s="25" t="s">
        <v>4558</v>
      </c>
      <c r="K2142" s="25" t="s">
        <v>192</v>
      </c>
      <c r="L2142" s="25"/>
      <c r="M2142" s="25"/>
      <c r="N2142" s="25"/>
      <c r="O2142" s="25"/>
      <c r="P2142" s="33" t="n">
        <v>290</v>
      </c>
      <c r="Q2142" s="27" t="n">
        <f aca="false">INDEX(Markup_Vals,MATCH("Fixings, Fasteners &amp; Brackets",MarkupSub_Keys,0))</f>
        <v>0.55</v>
      </c>
      <c r="R2142" s="28" t="n">
        <f aca="false">P2142*(1+Q2142)</f>
        <v>449.5</v>
      </c>
      <c r="S2142" s="28" t="n">
        <f aca="false">R2142*(1-TradeDiscount)</f>
        <v>395.56</v>
      </c>
      <c r="T2142" s="28" t="n">
        <f aca="false">R2142*(1-VolumeDiscount)</f>
        <v>359.6</v>
      </c>
    </row>
    <row r="2143" customFormat="false" ht="15" hidden="false" customHeight="false" outlineLevel="0" collapsed="false">
      <c r="A2143" s="29" t="s">
        <v>4704</v>
      </c>
      <c r="B2143" s="29" t="s">
        <v>124</v>
      </c>
      <c r="C2143" s="29" t="s">
        <v>129</v>
      </c>
      <c r="D2143" s="29" t="s">
        <v>4705</v>
      </c>
      <c r="E2143" s="29" t="s">
        <v>4705</v>
      </c>
      <c r="F2143" s="29" t="s">
        <v>4685</v>
      </c>
      <c r="G2143" s="29" t="s">
        <v>3148</v>
      </c>
      <c r="H2143" s="29" t="s">
        <v>3148</v>
      </c>
      <c r="I2143" s="29" t="s">
        <v>190</v>
      </c>
      <c r="J2143" s="29" t="s">
        <v>4558</v>
      </c>
      <c r="K2143" s="29" t="s">
        <v>192</v>
      </c>
      <c r="L2143" s="29"/>
      <c r="M2143" s="29"/>
      <c r="N2143" s="29"/>
      <c r="O2143" s="29"/>
      <c r="P2143" s="34" t="n">
        <v>220</v>
      </c>
      <c r="Q2143" s="31" t="n">
        <f aca="false">INDEX(Markup_Vals,MATCH("Fixings, Fasteners &amp; Brackets",MarkupSub_Keys,0))</f>
        <v>0.55</v>
      </c>
      <c r="R2143" s="32" t="n">
        <f aca="false">P2143*(1+Q2143)</f>
        <v>341</v>
      </c>
      <c r="S2143" s="32" t="n">
        <f aca="false">R2143*(1-TradeDiscount)</f>
        <v>300.08</v>
      </c>
      <c r="T2143" s="32" t="n">
        <f aca="false">R2143*(1-VolumeDiscount)</f>
        <v>272.8</v>
      </c>
    </row>
    <row r="2144" customFormat="false" ht="15" hidden="false" customHeight="false" outlineLevel="0" collapsed="false">
      <c r="A2144" s="25" t="s">
        <v>4706</v>
      </c>
      <c r="B2144" s="25" t="s">
        <v>124</v>
      </c>
      <c r="C2144" s="25" t="s">
        <v>129</v>
      </c>
      <c r="D2144" s="25" t="s">
        <v>4707</v>
      </c>
      <c r="E2144" s="25" t="s">
        <v>4707</v>
      </c>
      <c r="F2144" s="25" t="s">
        <v>4685</v>
      </c>
      <c r="G2144" s="25" t="s">
        <v>3148</v>
      </c>
      <c r="H2144" s="25" t="s">
        <v>3148</v>
      </c>
      <c r="I2144" s="25" t="s">
        <v>190</v>
      </c>
      <c r="J2144" s="25" t="s">
        <v>4558</v>
      </c>
      <c r="K2144" s="25" t="s">
        <v>192</v>
      </c>
      <c r="L2144" s="25"/>
      <c r="M2144" s="25"/>
      <c r="N2144" s="25"/>
      <c r="O2144" s="25"/>
      <c r="P2144" s="33" t="n">
        <v>18</v>
      </c>
      <c r="Q2144" s="27" t="n">
        <f aca="false">INDEX(Markup_Vals,MATCH("Fixings, Fasteners &amp; Brackets",MarkupSub_Keys,0))</f>
        <v>0.55</v>
      </c>
      <c r="R2144" s="28" t="n">
        <f aca="false">P2144*(1+Q2144)</f>
        <v>27.9</v>
      </c>
      <c r="S2144" s="28" t="n">
        <f aca="false">R2144*(1-TradeDiscount)</f>
        <v>24.552</v>
      </c>
      <c r="T2144" s="28" t="n">
        <f aca="false">R2144*(1-VolumeDiscount)</f>
        <v>22.32</v>
      </c>
    </row>
    <row r="2145" customFormat="false" ht="15" hidden="false" customHeight="false" outlineLevel="0" collapsed="false">
      <c r="A2145" s="29" t="s">
        <v>4708</v>
      </c>
      <c r="B2145" s="29" t="s">
        <v>124</v>
      </c>
      <c r="C2145" s="29" t="s">
        <v>129</v>
      </c>
      <c r="D2145" s="29" t="s">
        <v>4709</v>
      </c>
      <c r="E2145" s="29" t="s">
        <v>4709</v>
      </c>
      <c r="F2145" s="29" t="s">
        <v>4685</v>
      </c>
      <c r="G2145" s="29" t="s">
        <v>3148</v>
      </c>
      <c r="H2145" s="29" t="s">
        <v>3148</v>
      </c>
      <c r="I2145" s="29" t="s">
        <v>190</v>
      </c>
      <c r="J2145" s="29" t="s">
        <v>4558</v>
      </c>
      <c r="K2145" s="29" t="s">
        <v>192</v>
      </c>
      <c r="L2145" s="29"/>
      <c r="M2145" s="29"/>
      <c r="N2145" s="29"/>
      <c r="O2145" s="29"/>
      <c r="P2145" s="34" t="n">
        <v>15</v>
      </c>
      <c r="Q2145" s="31" t="n">
        <f aca="false">INDEX(Markup_Vals,MATCH("Fixings, Fasteners &amp; Brackets",MarkupSub_Keys,0))</f>
        <v>0.55</v>
      </c>
      <c r="R2145" s="32" t="n">
        <f aca="false">P2145*(1+Q2145)</f>
        <v>23.25</v>
      </c>
      <c r="S2145" s="32" t="n">
        <f aca="false">R2145*(1-TradeDiscount)</f>
        <v>20.46</v>
      </c>
      <c r="T2145" s="32" t="n">
        <f aca="false">R2145*(1-VolumeDiscount)</f>
        <v>18.6</v>
      </c>
    </row>
    <row r="2146" customFormat="false" ht="15" hidden="false" customHeight="false" outlineLevel="0" collapsed="false">
      <c r="A2146" s="25" t="s">
        <v>4710</v>
      </c>
      <c r="B2146" s="25" t="s">
        <v>124</v>
      </c>
      <c r="C2146" s="25" t="s">
        <v>129</v>
      </c>
      <c r="D2146" s="25" t="s">
        <v>4711</v>
      </c>
      <c r="E2146" s="25" t="s">
        <v>4711</v>
      </c>
      <c r="F2146" s="25" t="s">
        <v>4685</v>
      </c>
      <c r="G2146" s="25" t="s">
        <v>3148</v>
      </c>
      <c r="H2146" s="25" t="s">
        <v>3148</v>
      </c>
      <c r="I2146" s="25" t="s">
        <v>190</v>
      </c>
      <c r="J2146" s="25" t="s">
        <v>4558</v>
      </c>
      <c r="K2146" s="25" t="s">
        <v>192</v>
      </c>
      <c r="L2146" s="25"/>
      <c r="M2146" s="25"/>
      <c r="N2146" s="25"/>
      <c r="O2146" s="25"/>
      <c r="P2146" s="33" t="n">
        <v>95</v>
      </c>
      <c r="Q2146" s="27" t="n">
        <f aca="false">INDEX(Markup_Vals,MATCH("Fixings, Fasteners &amp; Brackets",MarkupSub_Keys,0))</f>
        <v>0.55</v>
      </c>
      <c r="R2146" s="28" t="n">
        <f aca="false">P2146*(1+Q2146)</f>
        <v>147.25</v>
      </c>
      <c r="S2146" s="28" t="n">
        <f aca="false">R2146*(1-TradeDiscount)</f>
        <v>129.58</v>
      </c>
      <c r="T2146" s="28" t="n">
        <f aca="false">R2146*(1-VolumeDiscount)</f>
        <v>117.8</v>
      </c>
    </row>
    <row r="2147" customFormat="false" ht="15" hidden="false" customHeight="false" outlineLevel="0" collapsed="false">
      <c r="A2147" s="29" t="s">
        <v>4712</v>
      </c>
      <c r="B2147" s="29" t="s">
        <v>124</v>
      </c>
      <c r="C2147" s="29" t="s">
        <v>129</v>
      </c>
      <c r="D2147" s="29" t="s">
        <v>4713</v>
      </c>
      <c r="E2147" s="29" t="s">
        <v>4713</v>
      </c>
      <c r="F2147" s="29" t="s">
        <v>4685</v>
      </c>
      <c r="G2147" s="29" t="s">
        <v>3148</v>
      </c>
      <c r="H2147" s="29" t="s">
        <v>3148</v>
      </c>
      <c r="I2147" s="29" t="s">
        <v>190</v>
      </c>
      <c r="J2147" s="29" t="s">
        <v>4558</v>
      </c>
      <c r="K2147" s="29" t="s">
        <v>192</v>
      </c>
      <c r="L2147" s="29"/>
      <c r="M2147" s="29"/>
      <c r="N2147" s="29"/>
      <c r="O2147" s="29"/>
      <c r="P2147" s="34" t="n">
        <v>165</v>
      </c>
      <c r="Q2147" s="31" t="n">
        <f aca="false">INDEX(Markup_Vals,MATCH("Fixings, Fasteners &amp; Brackets",MarkupSub_Keys,0))</f>
        <v>0.55</v>
      </c>
      <c r="R2147" s="32" t="n">
        <f aca="false">P2147*(1+Q2147)</f>
        <v>255.75</v>
      </c>
      <c r="S2147" s="32" t="n">
        <f aca="false">R2147*(1-TradeDiscount)</f>
        <v>225.06</v>
      </c>
      <c r="T2147" s="32" t="n">
        <f aca="false">R2147*(1-VolumeDiscount)</f>
        <v>204.6</v>
      </c>
    </row>
    <row r="2148" customFormat="false" ht="15" hidden="false" customHeight="false" outlineLevel="0" collapsed="false">
      <c r="A2148" s="25" t="s">
        <v>4714</v>
      </c>
      <c r="B2148" s="25" t="s">
        <v>124</v>
      </c>
      <c r="C2148" s="25" t="s">
        <v>129</v>
      </c>
      <c r="D2148" s="25" t="s">
        <v>4715</v>
      </c>
      <c r="E2148" s="25" t="s">
        <v>4715</v>
      </c>
      <c r="F2148" s="25" t="s">
        <v>4685</v>
      </c>
      <c r="G2148" s="25" t="s">
        <v>3148</v>
      </c>
      <c r="H2148" s="25" t="s">
        <v>3148</v>
      </c>
      <c r="I2148" s="25" t="s">
        <v>190</v>
      </c>
      <c r="J2148" s="25" t="s">
        <v>4558</v>
      </c>
      <c r="K2148" s="25" t="s">
        <v>192</v>
      </c>
      <c r="L2148" s="25"/>
      <c r="M2148" s="25"/>
      <c r="N2148" s="25"/>
      <c r="O2148" s="25"/>
      <c r="P2148" s="33" t="n">
        <v>45</v>
      </c>
      <c r="Q2148" s="27" t="n">
        <f aca="false">INDEX(Markup_Vals,MATCH("Fixings, Fasteners &amp; Brackets",MarkupSub_Keys,0))</f>
        <v>0.55</v>
      </c>
      <c r="R2148" s="28" t="n">
        <f aca="false">P2148*(1+Q2148)</f>
        <v>69.75</v>
      </c>
      <c r="S2148" s="28" t="n">
        <f aca="false">R2148*(1-TradeDiscount)</f>
        <v>61.38</v>
      </c>
      <c r="T2148" s="28" t="n">
        <f aca="false">R2148*(1-VolumeDiscount)</f>
        <v>55.8</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2026-09-17T11:28:30Z</dcterms:created>
  <dc:creator>openpyxl</dc:creator>
  <dc:description/>
  <dc:language>en-US</dc:language>
  <cp:lastModifiedBy/>
  <dcterms:modified xsi:type="dcterms:W3CDTF">2026-09-17T11:28:32Z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